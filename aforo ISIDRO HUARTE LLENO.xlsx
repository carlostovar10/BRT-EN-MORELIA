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VIDEOS AFOROS\ISIDRO HUARTE\"/>
    </mc:Choice>
  </mc:AlternateContent>
  <xr:revisionPtr revIDLastSave="0" documentId="13_ncr:1_{40AB088D-791A-47AD-9370-28F8BE6A8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dro Huar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8" i="1" l="1"/>
  <c r="S62" i="1"/>
  <c r="S54" i="1"/>
  <c r="S46" i="1"/>
  <c r="S50" i="1"/>
  <c r="S42" i="1"/>
  <c r="S34" i="1"/>
  <c r="S38" i="1"/>
  <c r="S30" i="1"/>
  <c r="U54" i="1"/>
  <c r="U42" i="1"/>
  <c r="U30" i="1"/>
  <c r="T54" i="1"/>
  <c r="T42" i="1"/>
  <c r="T30" i="1"/>
  <c r="Z30" i="1"/>
  <c r="Z31" i="1"/>
  <c r="Z32" i="1"/>
  <c r="Z33" i="1"/>
  <c r="AB47" i="1" l="1"/>
  <c r="R66" i="1"/>
  <c r="O66" i="1"/>
  <c r="N66" i="1"/>
  <c r="M66" i="1"/>
  <c r="L66" i="1"/>
  <c r="K66" i="1"/>
  <c r="J66" i="1"/>
  <c r="I66" i="1"/>
  <c r="H66" i="1"/>
  <c r="G66" i="1"/>
  <c r="F66" i="1"/>
  <c r="E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Q50" i="1" l="1"/>
  <c r="Q34" i="1"/>
  <c r="Q58" i="1"/>
  <c r="Q46" i="1"/>
  <c r="Q38" i="1"/>
  <c r="Q42" i="1"/>
  <c r="Q30" i="1"/>
  <c r="Q62" i="1"/>
  <c r="Q54" i="1"/>
  <c r="P66" i="1"/>
  <c r="X64" i="1" l="1"/>
  <c r="Q68" i="1"/>
  <c r="Q69" i="1" s="1"/>
  <c r="Q66" i="1"/>
  <c r="I67" i="1" s="1"/>
  <c r="M67" i="1" l="1"/>
  <c r="J67" i="1"/>
  <c r="F67" i="1"/>
  <c r="L67" i="1"/>
  <c r="K67" i="1"/>
  <c r="H67" i="1"/>
  <c r="E67" i="1"/>
  <c r="O67" i="1"/>
  <c r="G67" i="1"/>
  <c r="Q67" i="1"/>
  <c r="N67" i="1"/>
  <c r="P67" i="1" l="1"/>
</calcChain>
</file>

<file path=xl/sharedStrings.xml><?xml version="1.0" encoding="utf-8"?>
<sst xmlns="http://schemas.openxmlformats.org/spreadsheetml/2006/main" count="56" uniqueCount="47">
  <si>
    <t>Isidro Huarte</t>
  </si>
  <si>
    <t>Hora</t>
  </si>
  <si>
    <t>Motocicleta</t>
  </si>
  <si>
    <t>Ap</t>
  </si>
  <si>
    <t>Ac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</si>
  <si>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</si>
  <si>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</si>
  <si>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</si>
  <si>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</si>
  <si>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</si>
  <si>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</si>
  <si>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</si>
  <si>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</si>
  <si>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</si>
  <si>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NBS</t>
  </si>
  <si>
    <t>NBL</t>
  </si>
  <si>
    <t>NBR</t>
  </si>
  <si>
    <t>SBS</t>
  </si>
  <si>
    <t>SBL</t>
  </si>
  <si>
    <t>SBR</t>
  </si>
  <si>
    <t>EBS</t>
  </si>
  <si>
    <t>EBL</t>
  </si>
  <si>
    <t>EBR</t>
  </si>
  <si>
    <t>Suma</t>
  </si>
  <si>
    <t>Porcentaje</t>
  </si>
  <si>
    <t>Tránsito por hora</t>
  </si>
  <si>
    <t>Tránsito por dia</t>
  </si>
  <si>
    <t>PEATONES</t>
  </si>
  <si>
    <t>B</t>
  </si>
  <si>
    <t xml:space="preserve">peatones </t>
  </si>
  <si>
    <t>periodo</t>
  </si>
  <si>
    <t xml:space="preserve">vehiculos mixtos </t>
  </si>
  <si>
    <t>FHMD15=VHMD/(4x qmax)</t>
  </si>
  <si>
    <t>FHDM15= 732/4x202</t>
  </si>
  <si>
    <t xml:space="preserve">FHDM15=  </t>
  </si>
  <si>
    <t xml:space="preserve"> Factor de horario de maxima demanda </t>
  </si>
  <si>
    <t xml:space="preserve">Volumen horario de maxima demanda </t>
  </si>
  <si>
    <t xml:space="preserve">VHMD/4= </t>
  </si>
  <si>
    <t>202/4 =50.5</t>
  </si>
  <si>
    <t>tasa de flujo maximo en un periodo de 15 minutos</t>
  </si>
  <si>
    <t>13:00 a 13:15    con  202  vehiculos</t>
  </si>
  <si>
    <t xml:space="preserve">maxima demanda al periodo correponde </t>
  </si>
  <si>
    <t>vehiculos mixtos/ hora</t>
  </si>
  <si>
    <t>con 71 peatones</t>
  </si>
  <si>
    <t>71/4 =17.75</t>
  </si>
  <si>
    <t>peatones/ hora</t>
  </si>
  <si>
    <t>FHDM15= 244/4x71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</si>
</sst>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27" xfId="1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65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7" xfId="0" applyBorder="1"/>
    <xf numFmtId="0" fontId="0" fillId="0" borderId="13" xfId="0" applyBorder="1"/>
    <xf numFmtId="0" fontId="2" fillId="0" borderId="0" xfId="0" applyFont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64" fontId="0" fillId="0" borderId="3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" fillId="0" borderId="0" xfId="0" applyFont="1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0" borderId="24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1" fontId="0" fillId="0" borderId="0" xfId="0" applyNumberForma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3" borderId="0" xfId="0" applyFill="1" applyBorder="1"/>
    <xf numFmtId="0" fontId="2" fillId="0" borderId="0" xfId="0" applyFont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9" fontId="0" fillId="0" borderId="4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9" fontId="0" fillId="0" borderId="32" xfId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</xdr:row>
      <xdr:rowOff>40822</xdr:rowOff>
    </xdr:from>
    <xdr:to>
      <xdr:col>15</xdr:col>
      <xdr:colOff>176893</xdr:colOff>
      <xdr:row>25</xdr:row>
      <xdr:rowOff>83247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9CF63B-6CA0-451C-9AF8-208183CC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31322"/>
          <a:ext cx="9168493" cy="4614425"/>
        </a:xfrm>
        <a:prstGeom prst="rect">
          <a:avLst/>
        </a:prstGeom>
      </xdr:spPr>
    </xdr:pic>
    <xdr:clientData/>
  </xdr:twoCellAnchor>
  <xdr:twoCellAnchor>
    <xdr:from>
      <xdr:col>5</xdr:col>
      <xdr:colOff>478971</xdr:colOff>
      <xdr:row>16</xdr:row>
      <xdr:rowOff>91158</xdr:rowOff>
    </xdr:from>
    <xdr:to>
      <xdr:col>6</xdr:col>
      <xdr:colOff>581117</xdr:colOff>
      <xdr:row>17</xdr:row>
      <xdr:rowOff>87086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F64D6A6-7781-4913-B66E-55A469671D91}"/>
            </a:ext>
          </a:extLst>
        </xdr:cNvPr>
        <xdr:cNvCxnSpPr/>
      </xdr:nvCxnSpPr>
      <xdr:spPr>
        <a:xfrm flipV="1">
          <a:off x="4441371" y="3017238"/>
          <a:ext cx="894626" cy="178808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440261</xdr:colOff>
      <xdr:row>12</xdr:row>
      <xdr:rowOff>106694</xdr:rowOff>
    </xdr:from>
    <xdr:to>
      <xdr:col>6</xdr:col>
      <xdr:colOff>343423</xdr:colOff>
      <xdr:row>15</xdr:row>
      <xdr:rowOff>37206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5B9FF51-88B1-400F-A768-95FA3EAB9BCA}"/>
            </a:ext>
          </a:extLst>
        </xdr:cNvPr>
        <xdr:cNvGrpSpPr/>
      </xdr:nvGrpSpPr>
      <xdr:grpSpPr>
        <a:xfrm rot="21129948">
          <a:off x="4413547" y="2327380"/>
          <a:ext cx="697819" cy="485683"/>
          <a:chOff x="6143625" y="409575"/>
          <a:chExt cx="1266825" cy="466725"/>
        </a:xfrm>
      </xdr:grpSpPr>
      <xdr:cxnSp macro="">
        <xdr:nvCxnSpPr>
          <xdr:cNvPr id="5" name="Conector recto de flecha 4">
            <a:extLst>
              <a:ext uri="{FF2B5EF4-FFF2-40B4-BE49-F238E27FC236}">
                <a16:creationId xmlns:a16="http://schemas.microsoft.com/office/drawing/2014/main" id="{658864BD-1657-3738-C899-8872D660A3BF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CA985E7E-D033-5D7E-5EAF-88EA980E556C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4</xdr:col>
      <xdr:colOff>65312</xdr:colOff>
      <xdr:row>13</xdr:row>
      <xdr:rowOff>51828</xdr:rowOff>
    </xdr:from>
    <xdr:ext cx="1436915" cy="593304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C93A0D7-4926-4190-A6DE-BA884FA34020}"/>
            </a:ext>
          </a:extLst>
        </xdr:cNvPr>
        <xdr:cNvSpPr/>
      </xdr:nvSpPr>
      <xdr:spPr>
        <a:xfrm>
          <a:off x="3235232" y="2429268"/>
          <a:ext cx="1436915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5</xdr:col>
      <xdr:colOff>671286</xdr:colOff>
      <xdr:row>19</xdr:row>
      <xdr:rowOff>32566</xdr:rowOff>
    </xdr:from>
    <xdr:to>
      <xdr:col>6</xdr:col>
      <xdr:colOff>574448</xdr:colOff>
      <xdr:row>21</xdr:row>
      <xdr:rowOff>170699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98B5DE13-754C-4788-9CA0-49A29FAEAE74}"/>
            </a:ext>
          </a:extLst>
        </xdr:cNvPr>
        <xdr:cNvGrpSpPr/>
      </xdr:nvGrpSpPr>
      <xdr:grpSpPr>
        <a:xfrm rot="21129948" flipV="1">
          <a:off x="4644572" y="3548652"/>
          <a:ext cx="697819" cy="508247"/>
          <a:chOff x="6143625" y="409575"/>
          <a:chExt cx="1266825" cy="466725"/>
        </a:xfrm>
      </xdr:grpSpPr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66C0BE34-BCCF-3F67-B4DD-BE72100843CC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E1B52211-C0BE-BD14-E7D4-E1577061A198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4</xdr:col>
      <xdr:colOff>76198</xdr:colOff>
      <xdr:row>15</xdr:row>
      <xdr:rowOff>106257</xdr:rowOff>
    </xdr:from>
    <xdr:ext cx="1436915" cy="593304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575749A9-D08A-4BE1-927F-109B92098A0B}"/>
            </a:ext>
          </a:extLst>
        </xdr:cNvPr>
        <xdr:cNvSpPr/>
      </xdr:nvSpPr>
      <xdr:spPr>
        <a:xfrm>
          <a:off x="3246118" y="2849457"/>
          <a:ext cx="1436915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163284</xdr:colOff>
      <xdr:row>17</xdr:row>
      <xdr:rowOff>171571</xdr:rowOff>
    </xdr:from>
    <xdr:ext cx="1436915" cy="593304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1BA0BBE-33A2-4A15-98FF-2149DA23D538}"/>
            </a:ext>
          </a:extLst>
        </xdr:cNvPr>
        <xdr:cNvSpPr/>
      </xdr:nvSpPr>
      <xdr:spPr>
        <a:xfrm>
          <a:off x="3333204" y="3280531"/>
          <a:ext cx="1436915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11</xdr:col>
      <xdr:colOff>261257</xdr:colOff>
      <xdr:row>16</xdr:row>
      <xdr:rowOff>32657</xdr:rowOff>
    </xdr:from>
    <xdr:to>
      <xdr:col>12</xdr:col>
      <xdr:colOff>198013</xdr:colOff>
      <xdr:row>20</xdr:row>
      <xdr:rowOff>39684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D4791B1F-7FB8-43A5-8286-97F08F832959}"/>
            </a:ext>
          </a:extLst>
        </xdr:cNvPr>
        <xdr:cNvCxnSpPr/>
      </xdr:nvCxnSpPr>
      <xdr:spPr>
        <a:xfrm flipH="1" flipV="1">
          <a:off x="8978537" y="2958737"/>
          <a:ext cx="729236" cy="738547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774933</xdr:colOff>
      <xdr:row>19</xdr:row>
      <xdr:rowOff>626</xdr:rowOff>
    </xdr:from>
    <xdr:to>
      <xdr:col>11</xdr:col>
      <xdr:colOff>465958</xdr:colOff>
      <xdr:row>22</xdr:row>
      <xdr:rowOff>143274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95C1ED6F-ECEC-41FF-8ED2-007197799D82}"/>
            </a:ext>
          </a:extLst>
        </xdr:cNvPr>
        <xdr:cNvGrpSpPr/>
      </xdr:nvGrpSpPr>
      <xdr:grpSpPr>
        <a:xfrm rot="14147053">
          <a:off x="8615436" y="3622780"/>
          <a:ext cx="697819" cy="485683"/>
          <a:chOff x="6143625" y="409575"/>
          <a:chExt cx="1266825" cy="466725"/>
        </a:xfrm>
      </xdr:grpSpPr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A7E8BE91-C059-C900-BEB2-C7518FC8F976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15">
            <a:extLst>
              <a:ext uri="{FF2B5EF4-FFF2-40B4-BE49-F238E27FC236}">
                <a16:creationId xmlns:a16="http://schemas.microsoft.com/office/drawing/2014/main" id="{FF4CE742-0336-F855-5256-DA4B691332FA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791029</xdr:colOff>
      <xdr:row>14</xdr:row>
      <xdr:rowOff>152310</xdr:rowOff>
    </xdr:from>
    <xdr:to>
      <xdr:col>12</xdr:col>
      <xdr:colOff>694191</xdr:colOff>
      <xdr:row>17</xdr:row>
      <xdr:rowOff>105386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0BE8E97D-C82A-4836-8C5D-AB0A966924B1}"/>
            </a:ext>
          </a:extLst>
        </xdr:cNvPr>
        <xdr:cNvGrpSpPr/>
      </xdr:nvGrpSpPr>
      <xdr:grpSpPr>
        <a:xfrm rot="13056527" flipV="1">
          <a:off x="9532258" y="2743110"/>
          <a:ext cx="697819" cy="508247"/>
          <a:chOff x="6143625" y="409575"/>
          <a:chExt cx="1266825" cy="466725"/>
        </a:xfrm>
      </xdr:grpSpPr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8B0FCE82-8D86-62F9-D977-37186D424683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062A6AA3-4CDF-BFD3-4BE2-7E6766663EC7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65314</xdr:colOff>
      <xdr:row>21</xdr:row>
      <xdr:rowOff>138913</xdr:rowOff>
    </xdr:from>
    <xdr:ext cx="1436915" cy="593304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853A204C-E837-47F2-B265-4CAB56919F56}"/>
            </a:ext>
          </a:extLst>
        </xdr:cNvPr>
        <xdr:cNvSpPr/>
      </xdr:nvSpPr>
      <xdr:spPr>
        <a:xfrm>
          <a:off x="8782594" y="3979393"/>
          <a:ext cx="1436915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11</xdr:col>
      <xdr:colOff>674914</xdr:colOff>
      <xdr:row>19</xdr:row>
      <xdr:rowOff>128027</xdr:rowOff>
    </xdr:from>
    <xdr:ext cx="1436915" cy="593304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4D4E3B26-B0C8-40E9-B02B-C30EEEC41F5B}"/>
            </a:ext>
          </a:extLst>
        </xdr:cNvPr>
        <xdr:cNvSpPr/>
      </xdr:nvSpPr>
      <xdr:spPr>
        <a:xfrm>
          <a:off x="9392194" y="3602747"/>
          <a:ext cx="1436915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12</xdr:col>
      <xdr:colOff>304800</xdr:colOff>
      <xdr:row>17</xdr:row>
      <xdr:rowOff>19170</xdr:rowOff>
    </xdr:from>
    <xdr:ext cx="1436915" cy="593304"/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2C5A3087-201E-402C-AE1E-BC98194B79C2}"/>
            </a:ext>
          </a:extLst>
        </xdr:cNvPr>
        <xdr:cNvSpPr/>
      </xdr:nvSpPr>
      <xdr:spPr>
        <a:xfrm>
          <a:off x="9814560" y="3128130"/>
          <a:ext cx="1436915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7</xdr:col>
      <xdr:colOff>676984</xdr:colOff>
      <xdr:row>8</xdr:row>
      <xdr:rowOff>50570</xdr:rowOff>
    </xdr:from>
    <xdr:to>
      <xdr:col>8</xdr:col>
      <xdr:colOff>424543</xdr:colOff>
      <xdr:row>12</xdr:row>
      <xdr:rowOff>43542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4E32C4C3-0C40-4951-9B7E-D71A6AE48FDC}"/>
            </a:ext>
          </a:extLst>
        </xdr:cNvPr>
        <xdr:cNvCxnSpPr/>
      </xdr:nvCxnSpPr>
      <xdr:spPr>
        <a:xfrm>
          <a:off x="6224344" y="1513610"/>
          <a:ext cx="540039" cy="724492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124745</xdr:colOff>
      <xdr:row>9</xdr:row>
      <xdr:rowOff>55235</xdr:rowOff>
    </xdr:from>
    <xdr:to>
      <xdr:col>7</xdr:col>
      <xdr:colOff>610428</xdr:colOff>
      <xdr:row>13</xdr:row>
      <xdr:rowOff>137693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AC1EDBA9-5261-489E-8723-AFCCAFD14FB3}"/>
            </a:ext>
          </a:extLst>
        </xdr:cNvPr>
        <xdr:cNvGrpSpPr/>
      </xdr:nvGrpSpPr>
      <xdr:grpSpPr>
        <a:xfrm rot="14147053" flipH="1">
          <a:off x="5518843" y="1889251"/>
          <a:ext cx="822687" cy="485683"/>
          <a:chOff x="6143625" y="409575"/>
          <a:chExt cx="1266825" cy="466725"/>
        </a:xfrm>
      </xdr:grpSpPr>
      <xdr:cxnSp macro="">
        <xdr:nvCxnSpPr>
          <xdr:cNvPr id="25" name="Conector recto de flecha 24">
            <a:extLst>
              <a:ext uri="{FF2B5EF4-FFF2-40B4-BE49-F238E27FC236}">
                <a16:creationId xmlns:a16="http://schemas.microsoft.com/office/drawing/2014/main" id="{BB5655A5-9593-97C1-C631-A4538EA24301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cto 25">
            <a:extLst>
              <a:ext uri="{FF2B5EF4-FFF2-40B4-BE49-F238E27FC236}">
                <a16:creationId xmlns:a16="http://schemas.microsoft.com/office/drawing/2014/main" id="{857B5A70-4A99-29F6-9716-FC406CE59346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562798</xdr:colOff>
      <xdr:row>6</xdr:row>
      <xdr:rowOff>88934</xdr:rowOff>
    </xdr:from>
    <xdr:to>
      <xdr:col>9</xdr:col>
      <xdr:colOff>276388</xdr:colOff>
      <xdr:row>10</xdr:row>
      <xdr:rowOff>171393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591845F8-BADF-4AF5-A8CB-9D0C506286B6}"/>
            </a:ext>
          </a:extLst>
        </xdr:cNvPr>
        <xdr:cNvGrpSpPr/>
      </xdr:nvGrpSpPr>
      <xdr:grpSpPr>
        <a:xfrm rot="14151598" flipH="1" flipV="1">
          <a:off x="6762835" y="1356497"/>
          <a:ext cx="822687" cy="508247"/>
          <a:chOff x="6143625" y="409575"/>
          <a:chExt cx="1266825" cy="466725"/>
        </a:xfrm>
      </xdr:grpSpPr>
      <xdr:cxnSp macro="">
        <xdr:nvCxnSpPr>
          <xdr:cNvPr id="28" name="Conector recto de flecha 27">
            <a:extLst>
              <a:ext uri="{FF2B5EF4-FFF2-40B4-BE49-F238E27FC236}">
                <a16:creationId xmlns:a16="http://schemas.microsoft.com/office/drawing/2014/main" id="{50DE0C26-E470-FDFD-83E5-F3A55A133076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701151D6-AE96-320C-316B-9FD6A9AD694C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751114</xdr:colOff>
      <xdr:row>5</xdr:row>
      <xdr:rowOff>79074</xdr:rowOff>
    </xdr:from>
    <xdr:ext cx="1436915" cy="699470"/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F552E8AC-7B0E-417C-852C-D06B7E9F8D3B}"/>
            </a:ext>
          </a:extLst>
        </xdr:cNvPr>
        <xdr:cNvSpPr/>
      </xdr:nvSpPr>
      <xdr:spPr>
        <a:xfrm rot="10800000" flipV="1">
          <a:off x="5505994" y="993474"/>
          <a:ext cx="1436915" cy="69947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65314</xdr:colOff>
      <xdr:row>6</xdr:row>
      <xdr:rowOff>46417</xdr:rowOff>
    </xdr:from>
    <xdr:ext cx="1436915" cy="699470"/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A996BCEC-A577-468E-9B01-EF68552C00D9}"/>
            </a:ext>
          </a:extLst>
        </xdr:cNvPr>
        <xdr:cNvSpPr/>
      </xdr:nvSpPr>
      <xdr:spPr>
        <a:xfrm rot="10800000" flipV="1">
          <a:off x="4820194" y="1143697"/>
          <a:ext cx="1436915" cy="69947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32657</xdr:colOff>
      <xdr:row>4</xdr:row>
      <xdr:rowOff>122616</xdr:rowOff>
    </xdr:from>
    <xdr:ext cx="1436915" cy="699470"/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A43FD8B9-CF1F-4938-9557-2E678AD5C81E}"/>
            </a:ext>
          </a:extLst>
        </xdr:cNvPr>
        <xdr:cNvSpPr/>
      </xdr:nvSpPr>
      <xdr:spPr>
        <a:xfrm rot="10800000" flipV="1">
          <a:off x="6372497" y="854136"/>
          <a:ext cx="1436915" cy="69947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7:AC69"/>
  <sheetViews>
    <sheetView tabSelected="1" topLeftCell="M34" zoomScale="70" zoomScaleNormal="70" workbookViewId="0">
      <selection activeCell="V54" sqref="V54"/>
    </sheetView>
  </sheetViews>
  <sheetFormatPr baseColWidth="10" defaultRowHeight="14.4" x14ac:dyDescent="0.3"/>
  <cols>
    <col min="25" max="25" width="11.44140625" customWidth="1"/>
    <col min="26" max="26" width="13.5546875" bestFit="1" customWidth="1"/>
    <col min="28" max="28" width="14.33203125" customWidth="1"/>
  </cols>
  <sheetData>
    <row r="27" spans="2:28" ht="15" thickBot="1" x14ac:dyDescent="0.35"/>
    <row r="28" spans="2:28" ht="15" thickBot="1" x14ac:dyDescent="0.35">
      <c r="C28" s="48" t="s">
        <v>0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50"/>
      <c r="S28" s="53"/>
      <c r="T28" s="53"/>
      <c r="U28" s="53"/>
      <c r="V28" s="57"/>
      <c r="W28" s="57"/>
    </row>
    <row r="29" spans="2:28" ht="29.4" thickBot="1" x14ac:dyDescent="0.35">
      <c r="C29" s="51" t="s">
        <v>1</v>
      </c>
      <c r="D29" s="52"/>
      <c r="E29" s="1" t="s">
        <v>2</v>
      </c>
      <c r="F29" s="1" t="s">
        <v>3</v>
      </c>
      <c r="G29" s="1" t="s">
        <v>4</v>
      </c>
      <c r="H29" s="1" t="s">
        <v>28</v>
      </c>
      <c r="I29" s="1" t="s">
        <v>5</v>
      </c>
      <c r="J29" s="1" t="s">
        <v>6</v>
      </c>
      <c r="K29" s="1" t="s">
        <v>7</v>
      </c>
      <c r="L29" s="1" t="s">
        <v>8</v>
      </c>
      <c r="M29" s="1" t="s">
        <v>9</v>
      </c>
      <c r="N29" s="1" t="s">
        <v>10</v>
      </c>
      <c r="O29" s="1" t="s">
        <v>11</v>
      </c>
      <c r="P29" s="1" t="s">
        <v>12</v>
      </c>
      <c r="Q29" s="1" t="s">
        <v>13</v>
      </c>
      <c r="R29" s="1" t="s">
        <v>27</v>
      </c>
      <c r="S29" s="31"/>
      <c r="T29" s="31"/>
      <c r="U29" s="31"/>
      <c r="V29" s="64"/>
      <c r="W29" s="64"/>
      <c r="X29" s="59" t="s">
        <v>30</v>
      </c>
      <c r="Z29" s="30" t="s">
        <v>29</v>
      </c>
    </row>
    <row r="30" spans="2:28" x14ac:dyDescent="0.3">
      <c r="B30" s="40" t="s">
        <v>14</v>
      </c>
      <c r="C30" s="2">
        <v>0.54166666666666663</v>
      </c>
      <c r="D30" s="3">
        <v>0.55208333333333337</v>
      </c>
      <c r="E30" s="4">
        <v>18</v>
      </c>
      <c r="F30" s="4">
        <v>51</v>
      </c>
      <c r="G30" s="4">
        <v>30</v>
      </c>
      <c r="H30" s="4">
        <v>3</v>
      </c>
      <c r="I30" s="4"/>
      <c r="J30" s="4"/>
      <c r="K30" s="4"/>
      <c r="L30" s="4"/>
      <c r="M30" s="4"/>
      <c r="N30" s="4"/>
      <c r="O30" s="5"/>
      <c r="P30" s="6">
        <f>SUM(E30:O30)</f>
        <v>102</v>
      </c>
      <c r="Q30" s="40">
        <f>SUM(P30:P33)</f>
        <v>386</v>
      </c>
      <c r="R30" s="28">
        <v>49</v>
      </c>
      <c r="S30" s="65">
        <f>+Q30/$T$30</f>
        <v>0.8616071428571429</v>
      </c>
      <c r="T30" s="56">
        <f>+Q30+Q34+Q38</f>
        <v>448</v>
      </c>
      <c r="U30" s="68">
        <f>+T30/Q66</f>
        <v>0.61202185792349728</v>
      </c>
      <c r="V30" s="58"/>
      <c r="W30" s="58"/>
      <c r="X30" s="60">
        <v>0.54166666666666663</v>
      </c>
      <c r="Y30" s="32">
        <v>0.55208333333333337</v>
      </c>
      <c r="Z30" s="36">
        <f>SUM(R30+R34+R38+R42+R46+R50+R54+R58+R62)</f>
        <v>71</v>
      </c>
    </row>
    <row r="31" spans="2:28" x14ac:dyDescent="0.3">
      <c r="B31" s="41"/>
      <c r="C31" s="7">
        <v>0.55208333333333337</v>
      </c>
      <c r="D31" s="8">
        <v>0.5625</v>
      </c>
      <c r="E31" s="9">
        <v>12</v>
      </c>
      <c r="F31" s="9">
        <v>55</v>
      </c>
      <c r="G31" s="9">
        <v>33</v>
      </c>
      <c r="H31" s="9">
        <v>4</v>
      </c>
      <c r="I31" s="9"/>
      <c r="J31" s="9"/>
      <c r="K31" s="9"/>
      <c r="L31" s="9"/>
      <c r="M31" s="9"/>
      <c r="N31" s="9"/>
      <c r="O31" s="10"/>
      <c r="P31" s="11">
        <f t="shared" ref="P31:P67" si="0">SUM(E31:O31)</f>
        <v>104</v>
      </c>
      <c r="Q31" s="41"/>
      <c r="R31" s="29">
        <v>16</v>
      </c>
      <c r="S31" s="66"/>
      <c r="T31" s="56"/>
      <c r="U31" s="68"/>
      <c r="V31" s="58"/>
      <c r="W31" s="58"/>
      <c r="X31" s="61">
        <v>0.55208333333333337</v>
      </c>
      <c r="Y31" s="33">
        <v>0.5625</v>
      </c>
      <c r="Z31" s="37">
        <f>SUM(R31+R35+R39+R43+R47+R51+R55+R59+R63)</f>
        <v>52</v>
      </c>
      <c r="AB31" t="s">
        <v>35</v>
      </c>
    </row>
    <row r="32" spans="2:28" x14ac:dyDescent="0.3">
      <c r="B32" s="41"/>
      <c r="C32" s="12">
        <v>0.5625</v>
      </c>
      <c r="D32" s="13">
        <v>0.57291666666666663</v>
      </c>
      <c r="E32" s="9">
        <v>10</v>
      </c>
      <c r="F32" s="9">
        <v>41</v>
      </c>
      <c r="G32" s="9">
        <v>35</v>
      </c>
      <c r="H32" s="9">
        <v>5</v>
      </c>
      <c r="I32" s="9"/>
      <c r="J32" s="9"/>
      <c r="K32" s="9"/>
      <c r="L32" s="9"/>
      <c r="M32" s="9"/>
      <c r="N32" s="9"/>
      <c r="O32" s="10"/>
      <c r="P32" s="11">
        <f t="shared" si="0"/>
        <v>91</v>
      </c>
      <c r="Q32" s="41"/>
      <c r="R32" s="29">
        <v>20</v>
      </c>
      <c r="S32" s="66"/>
      <c r="T32" s="56"/>
      <c r="U32" s="68"/>
      <c r="V32" s="58"/>
      <c r="W32" s="58"/>
      <c r="X32" s="62">
        <v>0.5625</v>
      </c>
      <c r="Y32" s="34">
        <v>0.57291666666666663</v>
      </c>
      <c r="Z32" s="37">
        <f>SUM(R32+R36+R40+R44+R48+R52+R56+R60+R64)</f>
        <v>55</v>
      </c>
    </row>
    <row r="33" spans="2:29" ht="15" thickBot="1" x14ac:dyDescent="0.35">
      <c r="B33" s="42"/>
      <c r="C33" s="14">
        <v>0.57291666666666663</v>
      </c>
      <c r="D33" s="15">
        <v>0.58333333333333337</v>
      </c>
      <c r="E33" s="9">
        <v>11</v>
      </c>
      <c r="F33" s="9">
        <v>45</v>
      </c>
      <c r="G33" s="9">
        <v>30</v>
      </c>
      <c r="H33" s="9">
        <v>3</v>
      </c>
      <c r="I33" s="9"/>
      <c r="J33" s="9"/>
      <c r="K33" s="9"/>
      <c r="L33" s="9"/>
      <c r="M33" s="9"/>
      <c r="N33" s="9"/>
      <c r="O33" s="10"/>
      <c r="P33" s="11">
        <f t="shared" si="0"/>
        <v>89</v>
      </c>
      <c r="Q33" s="42"/>
      <c r="R33" s="29">
        <v>16</v>
      </c>
      <c r="S33" s="67"/>
      <c r="T33" s="56"/>
      <c r="U33" s="68"/>
      <c r="V33" s="58"/>
      <c r="W33" s="58"/>
      <c r="X33" s="63">
        <v>0.57291666666666663</v>
      </c>
      <c r="Y33" s="35">
        <v>0.58333333333333337</v>
      </c>
      <c r="Z33" s="38">
        <f>SUM(R33+R37+R41+R45+R49+R53+R57+R61+R65)</f>
        <v>66</v>
      </c>
      <c r="AB33" t="s">
        <v>32</v>
      </c>
    </row>
    <row r="34" spans="2:29" x14ac:dyDescent="0.3">
      <c r="B34" s="40" t="s">
        <v>15</v>
      </c>
      <c r="C34" s="2">
        <v>0.54166666666666663</v>
      </c>
      <c r="D34" s="3">
        <v>0.55208333333333337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11">
        <f t="shared" si="0"/>
        <v>0</v>
      </c>
      <c r="Q34" s="40">
        <f>SUM(P34:P37)</f>
        <v>0</v>
      </c>
      <c r="R34" s="29"/>
      <c r="S34" s="65">
        <f t="shared" ref="S34:S41" si="1">+Q34/$T$30</f>
        <v>0</v>
      </c>
      <c r="T34" s="56"/>
      <c r="U34" s="68"/>
      <c r="V34" s="58"/>
      <c r="W34" s="58"/>
      <c r="AB34" t="s">
        <v>46</v>
      </c>
    </row>
    <row r="35" spans="2:29" x14ac:dyDescent="0.3">
      <c r="B35" s="41"/>
      <c r="C35" s="7">
        <v>0.55208333333333337</v>
      </c>
      <c r="D35" s="8">
        <v>0.5625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11">
        <f t="shared" si="0"/>
        <v>0</v>
      </c>
      <c r="Q35" s="41"/>
      <c r="R35" s="29"/>
      <c r="S35" s="66"/>
      <c r="T35" s="56"/>
      <c r="U35" s="68"/>
      <c r="V35" s="58"/>
      <c r="W35" s="58"/>
      <c r="AB35" t="s">
        <v>34</v>
      </c>
      <c r="AC35">
        <v>1.1599999999999999</v>
      </c>
    </row>
    <row r="36" spans="2:29" x14ac:dyDescent="0.3">
      <c r="B36" s="41"/>
      <c r="C36" s="12">
        <v>0.5625</v>
      </c>
      <c r="D36" s="13">
        <v>0.57291666666666663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11">
        <f t="shared" si="0"/>
        <v>0</v>
      </c>
      <c r="Q36" s="41"/>
      <c r="R36" s="29">
        <v>1</v>
      </c>
      <c r="S36" s="66"/>
      <c r="T36" s="56"/>
      <c r="U36" s="68"/>
      <c r="V36" s="58"/>
      <c r="W36" s="58"/>
    </row>
    <row r="37" spans="2:29" ht="15" thickBot="1" x14ac:dyDescent="0.35">
      <c r="B37" s="42"/>
      <c r="C37" s="14">
        <v>0.57291666666666663</v>
      </c>
      <c r="D37" s="15">
        <v>0.58333333333333337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11">
        <f t="shared" si="0"/>
        <v>0</v>
      </c>
      <c r="Q37" s="42"/>
      <c r="R37" s="29"/>
      <c r="S37" s="67"/>
      <c r="T37" s="56"/>
      <c r="U37" s="68"/>
      <c r="V37" s="58"/>
      <c r="W37" s="58"/>
      <c r="AB37" t="s">
        <v>36</v>
      </c>
    </row>
    <row r="38" spans="2:29" x14ac:dyDescent="0.3">
      <c r="B38" s="40" t="s">
        <v>16</v>
      </c>
      <c r="C38" s="2">
        <v>0.54166666666666663</v>
      </c>
      <c r="D38" s="3">
        <v>0.55208333333333337</v>
      </c>
      <c r="E38" s="9">
        <v>1</v>
      </c>
      <c r="F38" s="9">
        <v>8</v>
      </c>
      <c r="G38" s="9">
        <v>5</v>
      </c>
      <c r="H38" s="9"/>
      <c r="I38" s="9"/>
      <c r="J38" s="9"/>
      <c r="K38" s="9"/>
      <c r="L38" s="9"/>
      <c r="M38" s="9"/>
      <c r="N38" s="9"/>
      <c r="O38" s="10"/>
      <c r="P38" s="11">
        <f t="shared" si="0"/>
        <v>14</v>
      </c>
      <c r="Q38" s="40">
        <f>SUM(P38:P41)</f>
        <v>62</v>
      </c>
      <c r="R38" s="29">
        <v>3</v>
      </c>
      <c r="S38" s="65">
        <f t="shared" ref="S38:S41" si="2">+Q38/$T$30</f>
        <v>0.13839285714285715</v>
      </c>
      <c r="T38" s="56"/>
      <c r="U38" s="68"/>
      <c r="V38" s="58"/>
      <c r="W38" s="58"/>
      <c r="AB38" t="s">
        <v>37</v>
      </c>
    </row>
    <row r="39" spans="2:29" x14ac:dyDescent="0.3">
      <c r="B39" s="41"/>
      <c r="C39" s="7">
        <v>0.55208333333333337</v>
      </c>
      <c r="D39" s="8">
        <v>0.5625</v>
      </c>
      <c r="E39" s="9">
        <v>2</v>
      </c>
      <c r="F39" s="9">
        <v>4</v>
      </c>
      <c r="G39" s="9">
        <v>1</v>
      </c>
      <c r="H39" s="9"/>
      <c r="I39" s="9"/>
      <c r="J39" s="9">
        <v>1</v>
      </c>
      <c r="K39" s="9"/>
      <c r="L39" s="9"/>
      <c r="M39" s="9"/>
      <c r="N39" s="9"/>
      <c r="O39" s="10"/>
      <c r="P39" s="11">
        <f t="shared" si="0"/>
        <v>8</v>
      </c>
      <c r="Q39" s="41"/>
      <c r="R39" s="29">
        <v>2</v>
      </c>
      <c r="S39" s="66"/>
      <c r="T39" s="56"/>
      <c r="U39" s="68"/>
      <c r="V39" s="58"/>
      <c r="W39" s="58"/>
      <c r="AB39" t="s">
        <v>44</v>
      </c>
    </row>
    <row r="40" spans="2:29" x14ac:dyDescent="0.3">
      <c r="B40" s="41"/>
      <c r="C40" s="12">
        <v>0.5625</v>
      </c>
      <c r="D40" s="13">
        <v>0.57291666666666663</v>
      </c>
      <c r="E40" s="9">
        <v>5</v>
      </c>
      <c r="F40" s="9">
        <v>13</v>
      </c>
      <c r="G40" s="9">
        <v>6</v>
      </c>
      <c r="H40" s="9"/>
      <c r="I40" s="9"/>
      <c r="J40" s="9"/>
      <c r="K40" s="9"/>
      <c r="L40" s="9"/>
      <c r="M40" s="9"/>
      <c r="N40" s="9"/>
      <c r="O40" s="10"/>
      <c r="P40" s="11">
        <f t="shared" si="0"/>
        <v>24</v>
      </c>
      <c r="Q40" s="41"/>
      <c r="R40" s="29">
        <v>3</v>
      </c>
      <c r="S40" s="66"/>
      <c r="T40" s="56"/>
      <c r="U40" s="68"/>
      <c r="V40" s="58"/>
      <c r="W40" s="58"/>
    </row>
    <row r="41" spans="2:29" ht="15" thickBot="1" x14ac:dyDescent="0.35">
      <c r="B41" s="42"/>
      <c r="C41" s="14">
        <v>0.57291666666666663</v>
      </c>
      <c r="D41" s="15">
        <v>0.58333333333333337</v>
      </c>
      <c r="E41" s="9">
        <v>5</v>
      </c>
      <c r="F41" s="9">
        <v>9</v>
      </c>
      <c r="G41" s="9">
        <v>2</v>
      </c>
      <c r="H41" s="9"/>
      <c r="I41" s="9"/>
      <c r="J41" s="9"/>
      <c r="K41" s="9"/>
      <c r="L41" s="9"/>
      <c r="M41" s="9"/>
      <c r="N41" s="9"/>
      <c r="O41" s="9"/>
      <c r="P41" s="9">
        <f t="shared" si="0"/>
        <v>16</v>
      </c>
      <c r="Q41" s="42"/>
      <c r="R41" s="29">
        <v>1</v>
      </c>
      <c r="S41" s="67"/>
      <c r="T41" s="56"/>
      <c r="U41" s="68"/>
      <c r="V41" s="58"/>
      <c r="W41" s="58"/>
      <c r="AB41" t="s">
        <v>39</v>
      </c>
    </row>
    <row r="42" spans="2:29" ht="15" thickBot="1" x14ac:dyDescent="0.35">
      <c r="B42" s="40" t="s">
        <v>17</v>
      </c>
      <c r="C42" s="2">
        <v>0.54166666666666663</v>
      </c>
      <c r="D42" s="3">
        <v>0.55208333333333337</v>
      </c>
      <c r="E42" s="9">
        <v>2</v>
      </c>
      <c r="F42" s="9">
        <v>7</v>
      </c>
      <c r="G42" s="9">
        <v>7</v>
      </c>
      <c r="H42" s="9"/>
      <c r="I42" s="9"/>
      <c r="J42" s="9"/>
      <c r="K42" s="9"/>
      <c r="L42" s="9"/>
      <c r="M42" s="9"/>
      <c r="N42" s="9"/>
      <c r="O42" s="9"/>
      <c r="P42" s="9">
        <f t="shared" si="0"/>
        <v>16</v>
      </c>
      <c r="Q42" s="40">
        <f>SUM(P42:P45)</f>
        <v>76</v>
      </c>
      <c r="R42" s="29">
        <v>6</v>
      </c>
      <c r="S42" s="65">
        <f>+Q42/$T$42</f>
        <v>0.8</v>
      </c>
      <c r="T42" s="56">
        <f>+Q42+Q46+Q50</f>
        <v>95</v>
      </c>
      <c r="U42" s="68">
        <f>+T42/Q66</f>
        <v>0.12978142076502733</v>
      </c>
      <c r="V42" s="58"/>
      <c r="W42" s="58"/>
      <c r="X42" s="39" t="s">
        <v>30</v>
      </c>
      <c r="Z42" s="39" t="s">
        <v>31</v>
      </c>
    </row>
    <row r="43" spans="2:29" x14ac:dyDescent="0.3">
      <c r="B43" s="41"/>
      <c r="C43" s="7">
        <v>0.55208333333333337</v>
      </c>
      <c r="D43" s="8">
        <v>0.5625</v>
      </c>
      <c r="E43" s="9">
        <v>2</v>
      </c>
      <c r="F43" s="9">
        <v>13</v>
      </c>
      <c r="G43" s="9">
        <v>4</v>
      </c>
      <c r="H43" s="9"/>
      <c r="I43" s="9"/>
      <c r="J43" s="9"/>
      <c r="K43" s="9"/>
      <c r="L43" s="9"/>
      <c r="M43" s="9"/>
      <c r="N43" s="9"/>
      <c r="O43" s="9"/>
      <c r="P43" s="9">
        <f t="shared" si="0"/>
        <v>19</v>
      </c>
      <c r="Q43" s="41"/>
      <c r="R43" s="29">
        <v>15</v>
      </c>
      <c r="S43" s="66"/>
      <c r="T43" s="56"/>
      <c r="U43" s="68"/>
      <c r="V43" s="58"/>
      <c r="W43" s="58"/>
      <c r="X43" s="60">
        <v>0.54166666666666663</v>
      </c>
      <c r="Y43" s="32">
        <v>0.55208333333333337</v>
      </c>
      <c r="Z43" s="36">
        <v>202</v>
      </c>
      <c r="AB43" t="s">
        <v>40</v>
      </c>
      <c r="AC43" t="s">
        <v>43</v>
      </c>
    </row>
    <row r="44" spans="2:29" x14ac:dyDescent="0.3">
      <c r="B44" s="41"/>
      <c r="C44" s="12">
        <v>0.5625</v>
      </c>
      <c r="D44" s="13">
        <v>0.57291666666666663</v>
      </c>
      <c r="E44" s="9">
        <v>2</v>
      </c>
      <c r="F44" s="9">
        <v>10</v>
      </c>
      <c r="G44" s="9">
        <v>5</v>
      </c>
      <c r="H44" s="9"/>
      <c r="I44" s="9"/>
      <c r="J44" s="9"/>
      <c r="K44" s="9"/>
      <c r="L44" s="9"/>
      <c r="M44" s="9"/>
      <c r="N44" s="9"/>
      <c r="O44" s="9"/>
      <c r="P44" s="9">
        <f t="shared" si="0"/>
        <v>17</v>
      </c>
      <c r="Q44" s="41"/>
      <c r="R44" s="29">
        <v>10</v>
      </c>
      <c r="S44" s="66"/>
      <c r="T44" s="56"/>
      <c r="U44" s="68"/>
      <c r="V44" s="58"/>
      <c r="W44" s="58"/>
      <c r="X44" s="61">
        <v>0.55208333333333337</v>
      </c>
      <c r="Y44" s="33">
        <v>0.5625</v>
      </c>
      <c r="Z44" s="37">
        <v>178</v>
      </c>
    </row>
    <row r="45" spans="2:29" ht="15" thickBot="1" x14ac:dyDescent="0.35">
      <c r="B45" s="42"/>
      <c r="C45" s="14">
        <v>0.57291666666666663</v>
      </c>
      <c r="D45" s="15">
        <v>0.58333333333333337</v>
      </c>
      <c r="E45" s="9">
        <v>1</v>
      </c>
      <c r="F45" s="9">
        <v>15</v>
      </c>
      <c r="G45" s="9">
        <v>7</v>
      </c>
      <c r="H45" s="9">
        <v>1</v>
      </c>
      <c r="I45" s="9"/>
      <c r="J45" s="9"/>
      <c r="K45" s="9"/>
      <c r="L45" s="9"/>
      <c r="M45" s="9"/>
      <c r="N45" s="9"/>
      <c r="O45" s="9"/>
      <c r="P45" s="9">
        <f t="shared" si="0"/>
        <v>24</v>
      </c>
      <c r="Q45" s="42"/>
      <c r="R45" s="29">
        <v>25</v>
      </c>
      <c r="S45" s="67"/>
      <c r="T45" s="56"/>
      <c r="U45" s="68"/>
      <c r="V45" s="58"/>
      <c r="W45" s="58"/>
      <c r="X45" s="62">
        <v>0.5625</v>
      </c>
      <c r="Y45" s="34">
        <v>0.57291666666666663</v>
      </c>
      <c r="Z45" s="37">
        <v>172</v>
      </c>
      <c r="AB45" t="s">
        <v>41</v>
      </c>
    </row>
    <row r="46" spans="2:29" ht="15" thickBot="1" x14ac:dyDescent="0.35">
      <c r="B46" s="40" t="s">
        <v>18</v>
      </c>
      <c r="C46" s="2">
        <v>0.54166666666666663</v>
      </c>
      <c r="D46" s="3">
        <v>0.55208333333333337</v>
      </c>
      <c r="E46" s="9">
        <v>3</v>
      </c>
      <c r="F46" s="9">
        <v>3</v>
      </c>
      <c r="G46" s="9">
        <v>3</v>
      </c>
      <c r="H46" s="9"/>
      <c r="I46" s="9"/>
      <c r="J46" s="9"/>
      <c r="K46" s="9"/>
      <c r="L46" s="9"/>
      <c r="M46" s="9"/>
      <c r="N46" s="9"/>
      <c r="O46" s="9"/>
      <c r="P46" s="9">
        <f t="shared" si="0"/>
        <v>9</v>
      </c>
      <c r="Q46" s="40">
        <f>SUM(P46:P49)</f>
        <v>19</v>
      </c>
      <c r="R46" s="29"/>
      <c r="S46" s="65">
        <f t="shared" ref="S46:S53" si="3">+Q46/$T$42</f>
        <v>0.2</v>
      </c>
      <c r="T46" s="56"/>
      <c r="U46" s="68"/>
      <c r="V46" s="58"/>
      <c r="W46" s="58"/>
      <c r="X46" s="63">
        <v>0.57291666666666663</v>
      </c>
      <c r="Y46" s="35">
        <v>0.58333333333333337</v>
      </c>
      <c r="Z46" s="38">
        <v>179</v>
      </c>
    </row>
    <row r="47" spans="2:29" x14ac:dyDescent="0.3">
      <c r="B47" s="41"/>
      <c r="C47" s="7">
        <v>0.55208333333333337</v>
      </c>
      <c r="D47" s="8">
        <v>0.5625</v>
      </c>
      <c r="E47" s="9">
        <v>1</v>
      </c>
      <c r="F47" s="9">
        <v>4</v>
      </c>
      <c r="G47" s="9">
        <v>1</v>
      </c>
      <c r="H47" s="9"/>
      <c r="I47" s="9"/>
      <c r="J47" s="9"/>
      <c r="K47" s="9"/>
      <c r="L47" s="9"/>
      <c r="M47" s="9"/>
      <c r="N47" s="9"/>
      <c r="O47" s="9"/>
      <c r="P47" s="9">
        <f t="shared" si="0"/>
        <v>6</v>
      </c>
      <c r="Q47" s="41"/>
      <c r="R47" s="29"/>
      <c r="S47" s="66"/>
      <c r="T47" s="56"/>
      <c r="U47" s="68"/>
      <c r="V47" s="58"/>
      <c r="W47" s="58"/>
      <c r="AB47">
        <f>SUM(Z30+Z32+Z31+Z33)</f>
        <v>244</v>
      </c>
      <c r="AC47" t="s">
        <v>45</v>
      </c>
    </row>
    <row r="48" spans="2:29" x14ac:dyDescent="0.3">
      <c r="B48" s="41"/>
      <c r="C48" s="12">
        <v>0.5625</v>
      </c>
      <c r="D48" s="13">
        <v>0.57291666666666663</v>
      </c>
      <c r="E48" s="9"/>
      <c r="F48" s="9"/>
      <c r="G48" s="9">
        <v>1</v>
      </c>
      <c r="H48" s="9"/>
      <c r="I48" s="9"/>
      <c r="J48" s="9"/>
      <c r="K48" s="9"/>
      <c r="L48" s="9"/>
      <c r="M48" s="9"/>
      <c r="N48" s="9"/>
      <c r="O48" s="9"/>
      <c r="P48" s="9">
        <f t="shared" si="0"/>
        <v>1</v>
      </c>
      <c r="Q48" s="41"/>
      <c r="R48" s="29">
        <v>4</v>
      </c>
      <c r="S48" s="66"/>
      <c r="T48" s="56"/>
      <c r="U48" s="68"/>
      <c r="V48" s="58"/>
      <c r="W48" s="58"/>
      <c r="X48" t="s">
        <v>35</v>
      </c>
    </row>
    <row r="49" spans="2:25" ht="15" thickBot="1" x14ac:dyDescent="0.35">
      <c r="B49" s="42"/>
      <c r="C49" s="14">
        <v>0.57291666666666663</v>
      </c>
      <c r="D49" s="15">
        <v>0.58333333333333337</v>
      </c>
      <c r="E49" s="9">
        <v>1</v>
      </c>
      <c r="F49" s="9">
        <v>2</v>
      </c>
      <c r="G49" s="9"/>
      <c r="H49" s="9"/>
      <c r="I49" s="9"/>
      <c r="J49" s="9"/>
      <c r="K49" s="9"/>
      <c r="L49" s="9"/>
      <c r="M49" s="9"/>
      <c r="N49" s="9"/>
      <c r="O49" s="9"/>
      <c r="P49" s="9">
        <f t="shared" si="0"/>
        <v>3</v>
      </c>
      <c r="Q49" s="42"/>
      <c r="R49" s="29">
        <v>1</v>
      </c>
      <c r="S49" s="67"/>
      <c r="T49" s="56"/>
      <c r="U49" s="68"/>
      <c r="V49" s="54"/>
      <c r="W49" s="54"/>
    </row>
    <row r="50" spans="2:25" x14ac:dyDescent="0.3">
      <c r="B50" s="40" t="s">
        <v>19</v>
      </c>
      <c r="C50" s="2">
        <v>0.54166666666666663</v>
      </c>
      <c r="D50" s="3">
        <v>0.55208333333333337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>
        <f t="shared" si="0"/>
        <v>0</v>
      </c>
      <c r="Q50" s="40">
        <f>SUM(P50:P53)</f>
        <v>0</v>
      </c>
      <c r="R50" s="29"/>
      <c r="S50" s="65">
        <f t="shared" ref="S50:S53" si="4">+Q50/$T$42</f>
        <v>0</v>
      </c>
      <c r="T50" s="56"/>
      <c r="U50" s="68"/>
      <c r="V50" s="54"/>
      <c r="W50" s="54"/>
      <c r="X50" t="s">
        <v>32</v>
      </c>
    </row>
    <row r="51" spans="2:25" x14ac:dyDescent="0.3">
      <c r="B51" s="41"/>
      <c r="C51" s="7">
        <v>0.55208333333333337</v>
      </c>
      <c r="D51" s="8">
        <v>0.5625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>
        <f t="shared" si="0"/>
        <v>0</v>
      </c>
      <c r="Q51" s="41"/>
      <c r="R51" s="29">
        <v>7</v>
      </c>
      <c r="S51" s="66"/>
      <c r="T51" s="56"/>
      <c r="U51" s="68"/>
      <c r="V51" s="54"/>
      <c r="W51" s="54"/>
      <c r="X51" t="s">
        <v>33</v>
      </c>
    </row>
    <row r="52" spans="2:25" x14ac:dyDescent="0.3">
      <c r="B52" s="41"/>
      <c r="C52" s="12">
        <v>0.5625</v>
      </c>
      <c r="D52" s="13">
        <v>0.57291666666666663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>
        <f t="shared" si="0"/>
        <v>0</v>
      </c>
      <c r="Q52" s="41"/>
      <c r="R52" s="29">
        <v>5</v>
      </c>
      <c r="S52" s="66"/>
      <c r="T52" s="56"/>
      <c r="U52" s="68"/>
      <c r="V52" s="54"/>
      <c r="W52" s="54"/>
      <c r="X52" t="s">
        <v>34</v>
      </c>
      <c r="Y52">
        <v>1.1000000000000001</v>
      </c>
    </row>
    <row r="53" spans="2:25" ht="15" thickBot="1" x14ac:dyDescent="0.35">
      <c r="B53" s="42"/>
      <c r="C53" s="14">
        <v>0.57291666666666663</v>
      </c>
      <c r="D53" s="15">
        <v>0.58333333333333337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>
        <f t="shared" si="0"/>
        <v>0</v>
      </c>
      <c r="Q53" s="42"/>
      <c r="R53" s="29">
        <v>6</v>
      </c>
      <c r="S53" s="67"/>
      <c r="T53" s="56"/>
      <c r="U53" s="68"/>
      <c r="V53" s="54"/>
      <c r="W53" s="54"/>
    </row>
    <row r="54" spans="2:25" x14ac:dyDescent="0.3">
      <c r="B54" s="40" t="s">
        <v>20</v>
      </c>
      <c r="C54" s="2">
        <v>0.54166666666666663</v>
      </c>
      <c r="D54" s="3">
        <v>0.55208333333333337</v>
      </c>
      <c r="E54" s="9">
        <v>5</v>
      </c>
      <c r="F54" s="9">
        <v>23</v>
      </c>
      <c r="G54" s="9">
        <v>15</v>
      </c>
      <c r="H54" s="9"/>
      <c r="I54" s="9"/>
      <c r="J54" s="9"/>
      <c r="K54" s="9"/>
      <c r="L54" s="9"/>
      <c r="M54" s="9"/>
      <c r="N54" s="9"/>
      <c r="O54" s="9"/>
      <c r="P54" s="9">
        <f t="shared" si="0"/>
        <v>43</v>
      </c>
      <c r="Q54" s="40">
        <f>SUM(P54:P57)</f>
        <v>123</v>
      </c>
      <c r="R54" s="29">
        <v>13</v>
      </c>
      <c r="S54" s="65">
        <f>+Q54/$T$54</f>
        <v>0.65079365079365081</v>
      </c>
      <c r="T54" s="56">
        <f>+Q54+Q58+Q62</f>
        <v>189</v>
      </c>
      <c r="U54" s="68">
        <f>+T54/Q66</f>
        <v>0.25819672131147542</v>
      </c>
      <c r="V54" s="54"/>
      <c r="W54" s="54"/>
      <c r="X54" t="s">
        <v>36</v>
      </c>
    </row>
    <row r="55" spans="2:25" x14ac:dyDescent="0.3">
      <c r="B55" s="41"/>
      <c r="C55" s="7">
        <v>0.55208333333333337</v>
      </c>
      <c r="D55" s="8">
        <v>0.5625</v>
      </c>
      <c r="E55" s="9">
        <v>6</v>
      </c>
      <c r="F55" s="9">
        <v>12</v>
      </c>
      <c r="G55" s="9">
        <v>7</v>
      </c>
      <c r="H55" s="9"/>
      <c r="I55" s="9"/>
      <c r="J55" s="9"/>
      <c r="K55" s="9"/>
      <c r="L55" s="9"/>
      <c r="M55" s="9"/>
      <c r="N55" s="9"/>
      <c r="O55" s="9"/>
      <c r="P55" s="9">
        <f t="shared" si="0"/>
        <v>25</v>
      </c>
      <c r="Q55" s="41"/>
      <c r="R55" s="29">
        <v>12</v>
      </c>
      <c r="S55" s="66"/>
      <c r="T55" s="56"/>
      <c r="U55" s="68"/>
      <c r="V55" s="54"/>
      <c r="W55" s="54"/>
      <c r="X55" t="s">
        <v>37</v>
      </c>
    </row>
    <row r="56" spans="2:25" x14ac:dyDescent="0.3">
      <c r="B56" s="41"/>
      <c r="C56" s="12">
        <v>0.5625</v>
      </c>
      <c r="D56" s="13">
        <v>0.57291666666666663</v>
      </c>
      <c r="E56" s="9">
        <v>4</v>
      </c>
      <c r="F56" s="9">
        <v>12</v>
      </c>
      <c r="G56" s="9">
        <v>5</v>
      </c>
      <c r="H56" s="9"/>
      <c r="I56" s="9"/>
      <c r="J56" s="9"/>
      <c r="K56" s="9"/>
      <c r="L56" s="9"/>
      <c r="M56" s="9"/>
      <c r="N56" s="9"/>
      <c r="O56" s="9"/>
      <c r="P56" s="9">
        <f t="shared" si="0"/>
        <v>21</v>
      </c>
      <c r="Q56" s="41"/>
      <c r="R56" s="29">
        <v>6</v>
      </c>
      <c r="S56" s="66"/>
      <c r="T56" s="56"/>
      <c r="U56" s="68"/>
      <c r="V56" s="54"/>
      <c r="W56" s="54"/>
      <c r="X56" t="s">
        <v>38</v>
      </c>
    </row>
    <row r="57" spans="2:25" ht="15" thickBot="1" x14ac:dyDescent="0.35">
      <c r="B57" s="42"/>
      <c r="C57" s="14">
        <v>0.57291666666666663</v>
      </c>
      <c r="D57" s="15">
        <v>0.58333333333333337</v>
      </c>
      <c r="E57" s="9">
        <v>6</v>
      </c>
      <c r="F57" s="9">
        <v>17</v>
      </c>
      <c r="G57" s="9">
        <v>11</v>
      </c>
      <c r="H57" s="9"/>
      <c r="I57" s="9"/>
      <c r="J57" s="9"/>
      <c r="K57" s="9"/>
      <c r="L57" s="9"/>
      <c r="M57" s="9"/>
      <c r="N57" s="9"/>
      <c r="O57" s="9"/>
      <c r="P57" s="9">
        <f t="shared" si="0"/>
        <v>34</v>
      </c>
      <c r="Q57" s="42"/>
      <c r="R57" s="29">
        <v>14</v>
      </c>
      <c r="S57" s="67"/>
      <c r="T57" s="56"/>
      <c r="U57" s="68"/>
      <c r="V57" s="54"/>
      <c r="W57" s="54"/>
    </row>
    <row r="58" spans="2:25" x14ac:dyDescent="0.3">
      <c r="B58" s="40" t="s">
        <v>21</v>
      </c>
      <c r="C58" s="2">
        <v>0.54166666666666663</v>
      </c>
      <c r="D58" s="3">
        <v>0.55208333333333337</v>
      </c>
      <c r="E58" s="9">
        <v>1</v>
      </c>
      <c r="F58" s="9">
        <v>8</v>
      </c>
      <c r="G58" s="9">
        <v>3</v>
      </c>
      <c r="H58" s="9"/>
      <c r="I58" s="9"/>
      <c r="J58" s="9">
        <v>1</v>
      </c>
      <c r="K58" s="9"/>
      <c r="L58" s="9"/>
      <c r="M58" s="9"/>
      <c r="N58" s="9"/>
      <c r="O58" s="9"/>
      <c r="P58" s="9">
        <f t="shared" si="0"/>
        <v>13</v>
      </c>
      <c r="Q58" s="40">
        <f>SUM(P58:P61)</f>
        <v>52</v>
      </c>
      <c r="R58" s="29"/>
      <c r="S58" s="65">
        <f t="shared" ref="S58:S65" si="5">+Q58/$T$54</f>
        <v>0.27513227513227512</v>
      </c>
      <c r="T58" s="56"/>
      <c r="U58" s="68"/>
      <c r="V58" s="54"/>
      <c r="W58" s="54"/>
      <c r="X58" t="s">
        <v>39</v>
      </c>
    </row>
    <row r="59" spans="2:25" x14ac:dyDescent="0.3">
      <c r="B59" s="41"/>
      <c r="C59" s="7">
        <v>0.55208333333333337</v>
      </c>
      <c r="D59" s="8">
        <v>0.5625</v>
      </c>
      <c r="E59" s="9"/>
      <c r="F59" s="9">
        <v>10</v>
      </c>
      <c r="G59" s="9">
        <v>2</v>
      </c>
      <c r="H59" s="9"/>
      <c r="I59" s="9"/>
      <c r="J59" s="9"/>
      <c r="K59" s="9"/>
      <c r="L59" s="9"/>
      <c r="M59" s="9"/>
      <c r="N59" s="9"/>
      <c r="O59" s="9"/>
      <c r="P59" s="9">
        <f t="shared" si="0"/>
        <v>12</v>
      </c>
      <c r="Q59" s="41"/>
      <c r="R59" s="29"/>
      <c r="S59" s="66"/>
      <c r="T59" s="56"/>
      <c r="U59" s="68"/>
      <c r="V59" s="54"/>
      <c r="W59" s="54"/>
    </row>
    <row r="60" spans="2:25" x14ac:dyDescent="0.3">
      <c r="B60" s="41"/>
      <c r="C60" s="12">
        <v>0.5625</v>
      </c>
      <c r="D60" s="13">
        <v>0.57291666666666663</v>
      </c>
      <c r="E60" s="9">
        <v>2</v>
      </c>
      <c r="F60" s="9">
        <v>10</v>
      </c>
      <c r="G60" s="9">
        <v>4</v>
      </c>
      <c r="H60" s="9"/>
      <c r="I60" s="9"/>
      <c r="J60" s="9"/>
      <c r="K60" s="9"/>
      <c r="L60" s="9"/>
      <c r="M60" s="9"/>
      <c r="N60" s="9"/>
      <c r="O60" s="9"/>
      <c r="P60" s="9">
        <f t="shared" si="0"/>
        <v>16</v>
      </c>
      <c r="Q60" s="41"/>
      <c r="R60" s="29">
        <v>4</v>
      </c>
      <c r="S60" s="66"/>
      <c r="T60" s="56"/>
      <c r="U60" s="68"/>
      <c r="V60" s="54"/>
      <c r="W60" s="54"/>
      <c r="X60" t="s">
        <v>40</v>
      </c>
    </row>
    <row r="61" spans="2:25" ht="15" thickBot="1" x14ac:dyDescent="0.35">
      <c r="B61" s="42"/>
      <c r="C61" s="14">
        <v>0.57291666666666663</v>
      </c>
      <c r="D61" s="15">
        <v>0.58333333333333337</v>
      </c>
      <c r="E61" s="9">
        <v>1</v>
      </c>
      <c r="F61" s="9">
        <v>7</v>
      </c>
      <c r="G61" s="9">
        <v>3</v>
      </c>
      <c r="H61" s="9"/>
      <c r="I61" s="9"/>
      <c r="J61" s="9"/>
      <c r="K61" s="9"/>
      <c r="L61" s="9"/>
      <c r="M61" s="9"/>
      <c r="N61" s="9"/>
      <c r="O61" s="9"/>
      <c r="P61" s="9">
        <f t="shared" si="0"/>
        <v>11</v>
      </c>
      <c r="Q61" s="42"/>
      <c r="R61" s="29">
        <v>3</v>
      </c>
      <c r="S61" s="67"/>
      <c r="T61" s="56"/>
      <c r="U61" s="68"/>
      <c r="V61" s="54"/>
      <c r="W61" s="54"/>
    </row>
    <row r="62" spans="2:25" x14ac:dyDescent="0.3">
      <c r="B62" s="40" t="s">
        <v>22</v>
      </c>
      <c r="C62" s="2">
        <v>0.54166666666666663</v>
      </c>
      <c r="D62" s="3">
        <v>0.55208333333333337</v>
      </c>
      <c r="E62" s="9">
        <v>1</v>
      </c>
      <c r="F62" s="9">
        <v>1</v>
      </c>
      <c r="G62" s="9">
        <v>3</v>
      </c>
      <c r="H62" s="9"/>
      <c r="I62" s="9"/>
      <c r="J62" s="9"/>
      <c r="K62" s="9"/>
      <c r="L62" s="9"/>
      <c r="M62" s="9"/>
      <c r="N62" s="9"/>
      <c r="O62" s="9"/>
      <c r="P62" s="9">
        <f t="shared" si="0"/>
        <v>5</v>
      </c>
      <c r="Q62" s="40">
        <f>SUM(P62:P65)</f>
        <v>14</v>
      </c>
      <c r="R62" s="29"/>
      <c r="S62" s="65">
        <f t="shared" ref="S62:S65" si="6">+Q62/$T$54</f>
        <v>7.407407407407407E-2</v>
      </c>
      <c r="T62" s="56"/>
      <c r="U62" s="68"/>
      <c r="V62" s="54"/>
      <c r="W62" s="54"/>
      <c r="X62" t="s">
        <v>41</v>
      </c>
    </row>
    <row r="63" spans="2:25" x14ac:dyDescent="0.3">
      <c r="B63" s="41"/>
      <c r="C63" s="7">
        <v>0.55208333333333337</v>
      </c>
      <c r="D63" s="8">
        <v>0.5625</v>
      </c>
      <c r="E63" s="9"/>
      <c r="F63" s="9">
        <v>4</v>
      </c>
      <c r="G63" s="9"/>
      <c r="H63" s="9"/>
      <c r="I63" s="9"/>
      <c r="J63" s="9"/>
      <c r="K63" s="9"/>
      <c r="L63" s="9"/>
      <c r="M63" s="9"/>
      <c r="N63" s="9"/>
      <c r="O63" s="9"/>
      <c r="P63" s="9">
        <f t="shared" si="0"/>
        <v>4</v>
      </c>
      <c r="Q63" s="41"/>
      <c r="R63" s="29"/>
      <c r="S63" s="66"/>
      <c r="T63" s="56"/>
      <c r="U63" s="68"/>
      <c r="V63" s="54"/>
      <c r="W63" s="54"/>
    </row>
    <row r="64" spans="2:25" x14ac:dyDescent="0.3">
      <c r="B64" s="41"/>
      <c r="C64" s="12">
        <v>0.5625</v>
      </c>
      <c r="D64" s="13">
        <v>0.57291666666666663</v>
      </c>
      <c r="E64" s="9">
        <v>1</v>
      </c>
      <c r="F64" s="9">
        <v>1</v>
      </c>
      <c r="G64" s="9">
        <v>1</v>
      </c>
      <c r="H64" s="9"/>
      <c r="I64" s="9"/>
      <c r="J64" s="9"/>
      <c r="K64" s="9"/>
      <c r="L64" s="9"/>
      <c r="M64" s="9"/>
      <c r="N64" s="9"/>
      <c r="O64" s="9"/>
      <c r="P64" s="9">
        <f t="shared" si="0"/>
        <v>3</v>
      </c>
      <c r="Q64" s="41"/>
      <c r="R64" s="29">
        <v>2</v>
      </c>
      <c r="S64" s="66"/>
      <c r="T64" s="56"/>
      <c r="U64" s="68"/>
      <c r="V64" s="54"/>
      <c r="W64" s="54"/>
      <c r="X64">
        <f>SUM(Q30+Q34+Q38+Q42+Q46+Q50+Q54+Q58+Q62)</f>
        <v>732</v>
      </c>
      <c r="Y64" t="s">
        <v>42</v>
      </c>
    </row>
    <row r="65" spans="2:23" ht="15" thickBot="1" x14ac:dyDescent="0.35">
      <c r="B65" s="42"/>
      <c r="C65" s="14">
        <v>0.57291666666666663</v>
      </c>
      <c r="D65" s="15">
        <v>0.58333333333333337</v>
      </c>
      <c r="E65" s="16"/>
      <c r="F65" s="17"/>
      <c r="G65" s="17">
        <v>2</v>
      </c>
      <c r="H65" s="17"/>
      <c r="I65" s="17"/>
      <c r="J65" s="17"/>
      <c r="K65" s="17"/>
      <c r="L65" s="17"/>
      <c r="M65" s="17"/>
      <c r="N65" s="17"/>
      <c r="O65" s="18"/>
      <c r="P65" s="9">
        <f t="shared" si="0"/>
        <v>2</v>
      </c>
      <c r="Q65" s="42"/>
      <c r="R65" s="29"/>
      <c r="S65" s="67"/>
      <c r="T65" s="56"/>
      <c r="U65" s="68"/>
      <c r="V65" s="54"/>
      <c r="W65" s="54"/>
    </row>
    <row r="66" spans="2:23" ht="15" thickBot="1" x14ac:dyDescent="0.35">
      <c r="C66" s="46" t="s">
        <v>23</v>
      </c>
      <c r="D66" s="47"/>
      <c r="E66" s="19">
        <f>SUM(E30:E65)</f>
        <v>103</v>
      </c>
      <c r="F66" s="19">
        <f t="shared" ref="F66:P66" si="7">SUM(F30:F65)</f>
        <v>385</v>
      </c>
      <c r="G66" s="19">
        <f t="shared" si="7"/>
        <v>226</v>
      </c>
      <c r="H66" s="19">
        <f t="shared" si="7"/>
        <v>16</v>
      </c>
      <c r="I66" s="19">
        <f t="shared" si="7"/>
        <v>0</v>
      </c>
      <c r="J66" s="19">
        <f t="shared" si="7"/>
        <v>2</v>
      </c>
      <c r="K66" s="19">
        <f t="shared" si="7"/>
        <v>0</v>
      </c>
      <c r="L66" s="19">
        <f t="shared" si="7"/>
        <v>0</v>
      </c>
      <c r="M66" s="19">
        <f t="shared" si="7"/>
        <v>0</v>
      </c>
      <c r="N66" s="19">
        <f t="shared" si="7"/>
        <v>0</v>
      </c>
      <c r="O66" s="19">
        <f t="shared" si="7"/>
        <v>0</v>
      </c>
      <c r="P66" s="19">
        <f t="shared" si="7"/>
        <v>732</v>
      </c>
      <c r="Q66" s="20">
        <f>SUM(Q30:Q65)</f>
        <v>732</v>
      </c>
      <c r="R66" s="20">
        <f>SUM(R30:R65)</f>
        <v>244</v>
      </c>
      <c r="S66" s="55"/>
      <c r="T66" s="55"/>
      <c r="U66" s="55"/>
      <c r="V66" s="55"/>
      <c r="W66" s="55"/>
    </row>
    <row r="67" spans="2:23" ht="15" thickBot="1" x14ac:dyDescent="0.35">
      <c r="C67" s="46" t="s">
        <v>24</v>
      </c>
      <c r="D67" s="47"/>
      <c r="E67" s="21">
        <f t="shared" ref="E67:O67" si="8">E66/$Q$66</f>
        <v>0.14071038251366119</v>
      </c>
      <c r="F67" s="22">
        <f t="shared" si="8"/>
        <v>0.52595628415300544</v>
      </c>
      <c r="G67" s="22">
        <f t="shared" si="8"/>
        <v>0.30874316939890711</v>
      </c>
      <c r="H67" s="22">
        <f t="shared" si="8"/>
        <v>2.185792349726776E-2</v>
      </c>
      <c r="I67" s="22">
        <f t="shared" si="8"/>
        <v>0</v>
      </c>
      <c r="J67" s="22">
        <f t="shared" si="8"/>
        <v>2.7322404371584699E-3</v>
      </c>
      <c r="K67" s="22">
        <f t="shared" si="8"/>
        <v>0</v>
      </c>
      <c r="L67" s="22">
        <f t="shared" si="8"/>
        <v>0</v>
      </c>
      <c r="M67" s="22">
        <f t="shared" si="8"/>
        <v>0</v>
      </c>
      <c r="N67" s="22">
        <f t="shared" si="8"/>
        <v>0</v>
      </c>
      <c r="O67" s="23">
        <f t="shared" si="8"/>
        <v>0</v>
      </c>
      <c r="P67" s="24">
        <f t="shared" si="0"/>
        <v>1</v>
      </c>
      <c r="Q67" s="25">
        <f>Q66/$Q$66</f>
        <v>1</v>
      </c>
    </row>
    <row r="68" spans="2:23" ht="15" thickBot="1" x14ac:dyDescent="0.35">
      <c r="C68" s="26"/>
      <c r="D68" s="26"/>
      <c r="N68" s="43" t="s">
        <v>25</v>
      </c>
      <c r="O68" s="44"/>
      <c r="P68" s="45"/>
      <c r="Q68" s="20">
        <f>AVERAGE(Q30:Q41)</f>
        <v>149.33333333333334</v>
      </c>
    </row>
    <row r="69" spans="2:23" ht="15" thickBot="1" x14ac:dyDescent="0.35">
      <c r="C69" s="26"/>
      <c r="D69" s="26"/>
      <c r="N69" s="43" t="s">
        <v>26</v>
      </c>
      <c r="O69" s="44"/>
      <c r="P69" s="45"/>
      <c r="Q69" s="27">
        <f>Q68*12</f>
        <v>1792</v>
      </c>
    </row>
  </sheetData>
  <mergeCells count="39">
    <mergeCell ref="U30:U41"/>
    <mergeCell ref="U42:U53"/>
    <mergeCell ref="U54:U65"/>
    <mergeCell ref="S50:S53"/>
    <mergeCell ref="S54:S57"/>
    <mergeCell ref="S58:S61"/>
    <mergeCell ref="S62:S65"/>
    <mergeCell ref="T30:T41"/>
    <mergeCell ref="T42:T53"/>
    <mergeCell ref="T54:T65"/>
    <mergeCell ref="S30:S33"/>
    <mergeCell ref="S34:S37"/>
    <mergeCell ref="S38:S41"/>
    <mergeCell ref="S42:S45"/>
    <mergeCell ref="S46:S49"/>
    <mergeCell ref="C28:R28"/>
    <mergeCell ref="B38:B41"/>
    <mergeCell ref="Q38:Q41"/>
    <mergeCell ref="B42:B45"/>
    <mergeCell ref="Q42:Q45"/>
    <mergeCell ref="C29:D29"/>
    <mergeCell ref="B30:B33"/>
    <mergeCell ref="Q30:Q33"/>
    <mergeCell ref="B34:B37"/>
    <mergeCell ref="Q34:Q37"/>
    <mergeCell ref="B46:B49"/>
    <mergeCell ref="Q46:Q49"/>
    <mergeCell ref="N69:P69"/>
    <mergeCell ref="B50:B53"/>
    <mergeCell ref="Q50:Q53"/>
    <mergeCell ref="B54:B57"/>
    <mergeCell ref="Q54:Q57"/>
    <mergeCell ref="B58:B61"/>
    <mergeCell ref="Q58:Q61"/>
    <mergeCell ref="B62:B65"/>
    <mergeCell ref="Q62:Q65"/>
    <mergeCell ref="C66:D66"/>
    <mergeCell ref="C67:D67"/>
    <mergeCell ref="N68:P68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Isidro Huarte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2023-11-07T03:26:02Z</dcterms:created>
  <dcterms:modified xsi:type="dcterms:W3CDTF">2024-01-18T03:47:11Z</dcterms:modified>
</cp:coreProperties>
</file>