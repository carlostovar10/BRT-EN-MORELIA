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TAREAS MAESTRIA\TESIS\"/>
    </mc:Choice>
  </mc:AlternateContent>
  <xr:revisionPtr revIDLastSave="0" documentId="13_ncr:1_{32FB293B-E120-4A66-8E3B-DD869597BF26}" xr6:coauthVersionLast="47" xr6:coauthVersionMax="47" xr10:uidLastSave="{00000000-0000-0000-0000-000000000000}"/>
  <bookViews>
    <workbookView xWindow="-108" yWindow="-108" windowWidth="23256" windowHeight="12456" activeTab="2" xr2:uid="{7A9C93B4-D966-482E-9E65-A537185D9D74}"/>
  </bookViews>
  <sheets>
    <sheet name="TDPA" sheetId="1" r:id="rId1"/>
    <sheet name="AFOROS (2)" sheetId="5" r:id="rId2"/>
    <sheet name="AFOROS PW" sheetId="4" r:id="rId3"/>
    <sheet name="AFOROS" sheetId="2" r:id="rId4"/>
    <sheet name="Hoja1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8" i="5" l="1"/>
  <c r="BQ19" i="5"/>
  <c r="AN14" i="5"/>
  <c r="CU40" i="5"/>
  <c r="DC17" i="5"/>
  <c r="DL10" i="5"/>
  <c r="DF10" i="5"/>
  <c r="DK14" i="5"/>
  <c r="CS10" i="5"/>
  <c r="CB13" i="5"/>
  <c r="BK47" i="5"/>
  <c r="BH22" i="5"/>
  <c r="BD18" i="5"/>
  <c r="BD17" i="5"/>
  <c r="AY18" i="5" s="1"/>
  <c r="AU21" i="5"/>
  <c r="AD21" i="5"/>
  <c r="S20" i="5"/>
  <c r="R18" i="2"/>
  <c r="Y21" i="2"/>
  <c r="Y21" i="5"/>
  <c r="R18" i="5"/>
  <c r="BL44" i="5"/>
  <c r="BT43" i="5"/>
  <c r="CV38" i="5"/>
  <c r="CV51" i="5" s="1"/>
  <c r="CU34" i="5"/>
  <c r="CX32" i="5"/>
  <c r="BK30" i="5"/>
  <c r="BC30" i="5"/>
  <c r="AH27" i="5"/>
  <c r="CV24" i="5"/>
  <c r="BM23" i="5"/>
  <c r="BM24" i="5" s="1"/>
  <c r="BI23" i="5"/>
  <c r="CV22" i="5"/>
  <c r="BN21" i="5"/>
  <c r="BU13" i="5" s="1"/>
  <c r="BW8" i="5" s="1"/>
  <c r="AI21" i="5"/>
  <c r="AF21" i="5"/>
  <c r="AD20" i="5"/>
  <c r="AI19" i="5"/>
  <c r="BI18" i="5"/>
  <c r="AD18" i="5"/>
  <c r="CW15" i="5"/>
  <c r="AG15" i="5"/>
  <c r="CY13" i="5"/>
  <c r="CU13" i="5"/>
  <c r="CR13" i="5"/>
  <c r="BX13" i="5"/>
  <c r="CB12" i="5"/>
  <c r="CX11" i="5"/>
  <c r="CV8" i="5"/>
  <c r="T8" i="5"/>
  <c r="DH2" i="5"/>
  <c r="BM24" i="2"/>
  <c r="BM23" i="2"/>
  <c r="AF21" i="2"/>
  <c r="S20" i="2"/>
  <c r="T18" i="2"/>
  <c r="V18" i="2" s="1"/>
  <c r="BL44" i="2"/>
  <c r="BK44" i="2" s="1"/>
  <c r="BI18" i="2"/>
  <c r="BK30" i="2"/>
  <c r="BO21" i="5" l="1"/>
  <c r="BK44" i="5"/>
  <c r="CU51" i="5"/>
  <c r="CN54" i="5" s="1"/>
  <c r="BT43" i="2"/>
  <c r="CV24" i="2"/>
  <c r="CV38" i="2"/>
  <c r="CV51" i="2" s="1"/>
  <c r="CX32" i="2"/>
  <c r="CU34" i="2"/>
  <c r="CU51" i="2" l="1"/>
  <c r="CN54" i="2" s="1"/>
  <c r="CV22" i="2"/>
  <c r="DE2" i="2"/>
  <c r="DI10" i="2"/>
  <c r="DB13" i="2" l="1"/>
  <c r="CW15" i="2" l="1"/>
  <c r="CV8" i="2"/>
  <c r="CX11" i="2"/>
  <c r="CU13" i="2"/>
  <c r="CR13" i="2"/>
  <c r="DB10" i="2" l="1"/>
  <c r="DH13" i="2"/>
  <c r="CY13" i="2" l="1"/>
  <c r="CB12" i="2" l="1"/>
  <c r="BX13" i="2"/>
  <c r="BT21" i="2"/>
  <c r="BN21" i="2" l="1"/>
  <c r="BO20" i="2" l="1"/>
  <c r="BU13" i="2" s="1"/>
  <c r="BW8" i="2" s="1"/>
  <c r="BO21" i="2"/>
  <c r="BL19" i="2"/>
  <c r="BI23" i="2"/>
  <c r="BD18" i="2"/>
  <c r="BD17" i="2"/>
  <c r="AY18" i="2" s="1"/>
  <c r="BD30" i="2"/>
  <c r="BC30" i="2"/>
  <c r="AD18" i="2"/>
  <c r="AI21" i="2"/>
  <c r="AH27" i="2"/>
  <c r="AG15" i="2"/>
  <c r="AI19" i="2"/>
  <c r="AD20" i="2"/>
  <c r="BF29" i="2" l="1"/>
  <c r="BH22" i="2"/>
  <c r="V20" i="2" l="1"/>
  <c r="T8" i="2"/>
  <c r="D110" i="1"/>
  <c r="D103" i="1"/>
  <c r="D96" i="1"/>
  <c r="D89" i="1"/>
  <c r="D82" i="1"/>
  <c r="D75" i="1"/>
  <c r="E75" i="1" s="1"/>
  <c r="F75" i="1" s="1"/>
  <c r="H75" i="1" s="1"/>
  <c r="D68" i="1"/>
  <c r="E68" i="1" s="1"/>
  <c r="F68" i="1" s="1"/>
  <c r="H68" i="1" s="1"/>
  <c r="D61" i="1"/>
  <c r="E61" i="1" s="1"/>
  <c r="F61" i="1" s="1"/>
  <c r="H61" i="1" s="1"/>
  <c r="D54" i="1"/>
  <c r="E54" i="1" s="1"/>
  <c r="F54" i="1" s="1"/>
  <c r="H54" i="1" s="1"/>
  <c r="D47" i="1"/>
  <c r="D40" i="1"/>
  <c r="E40" i="1" s="1"/>
  <c r="F40" i="1" s="1"/>
  <c r="H40" i="1" s="1"/>
  <c r="D33" i="1"/>
  <c r="D26" i="1"/>
  <c r="E26" i="1" s="1"/>
  <c r="F26" i="1" s="1"/>
  <c r="H26" i="1" s="1"/>
  <c r="D19" i="1"/>
  <c r="E19" i="1" s="1"/>
  <c r="D12" i="1"/>
  <c r="E12" i="1" s="1"/>
  <c r="F12" i="1" s="1"/>
  <c r="H12" i="1" s="1"/>
  <c r="D5" i="1"/>
  <c r="E5" i="1" l="1"/>
  <c r="F5" i="1" s="1"/>
  <c r="H5" i="1" s="1"/>
  <c r="E110" i="1"/>
  <c r="F110" i="1" s="1"/>
  <c r="H110" i="1" s="1"/>
  <c r="E103" i="1"/>
  <c r="F103" i="1" s="1"/>
  <c r="H103" i="1" s="1"/>
  <c r="E96" i="1"/>
  <c r="F96" i="1" s="1"/>
  <c r="H96" i="1" s="1"/>
  <c r="E89" i="1"/>
  <c r="F89" i="1" s="1"/>
  <c r="H89" i="1" s="1"/>
  <c r="E82" i="1"/>
  <c r="F82" i="1" s="1"/>
  <c r="H82" i="1" s="1"/>
  <c r="E47" i="1"/>
  <c r="F47" i="1" s="1"/>
  <c r="H47" i="1" s="1"/>
  <c r="E33" i="1"/>
  <c r="F33" i="1" s="1"/>
  <c r="H33" i="1" s="1"/>
  <c r="F19" i="1"/>
  <c r="H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BW8" authorId="0" shapeId="0" xr:uid="{4DFF312B-F4A4-4813-A78F-AEE484E66EA0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PIERDEN UN POCO POR LAS CALLES ANTERIORES</t>
        </r>
      </text>
    </comment>
    <comment ref="DE10" authorId="0" shapeId="0" xr:uid="{9710685D-FF0C-4453-94B8-3635CBACC16D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 PORQUE ES MUY CERCA CON LOS 744 DE LAS CAMARAS, SE REDUCE POR LAS CALLES ANTERIORES</t>
        </r>
      </text>
    </comment>
    <comment ref="CG11" authorId="0" shapeId="0" xr:uid="{024FE167-8B46-41E8-A81A-8197DC4B04BF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BAJA EL FLUJO POR TODAS LA CALLES ANTERIORES DEL CENTRO</t>
        </r>
      </text>
    </comment>
    <comment ref="CL11" authorId="0" shapeId="0" xr:uid="{481E5E42-11F9-4ECD-81C2-3AD0F2B8BE34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BAJA EL FLUJO POR TODAS LAS CALLES ANTERIORES DEL CENTRO</t>
        </r>
      </text>
    </comment>
    <comment ref="CR12" authorId="0" shapeId="0" xr:uid="{A46F79B9-5963-44D6-BD31-3B4F8E93EAAB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CALIBRADO-COINDICE CON LAS CAMARAS
</t>
        </r>
      </text>
    </comment>
    <comment ref="DO12" authorId="0" shapeId="0" xr:uid="{0B4850BC-D024-4B71-A405-89CBF91D2236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BAJO POCO POR LAS CALLES ANTERIORES</t>
        </r>
      </text>
    </comment>
    <comment ref="BU13" authorId="0" shapeId="0" xr:uid="{2FB079AF-EDDB-4D72-BBDF-B99A43702466}">
      <text>
        <r>
          <rPr>
            <b/>
            <sz val="9"/>
            <color indexed="81"/>
            <rFont val="Tahoma"/>
            <family val="2"/>
          </rPr>
          <t>Carlos Tovar:
FLUJO CALIBRADO</t>
        </r>
      </text>
    </comment>
    <comment ref="DF13" authorId="0" shapeId="0" xr:uid="{DE1A9BEC-37E7-4A65-BC02-411651F4ED11}">
      <text>
        <r>
          <rPr>
            <b/>
            <sz val="9"/>
            <color indexed="81"/>
            <rFont val="Tahoma"/>
            <family val="2"/>
          </rPr>
          <t xml:space="preserve">Carlos Tovar:
Aumenta por todas las calles anteriores a la glorieta
</t>
        </r>
      </text>
    </comment>
    <comment ref="DK13" authorId="0" shapeId="0" xr:uid="{CA754890-CA90-4D27-946D-0C41DB7B909E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 CON LAS INTERSECCIONES DE LA GLORIETA</t>
        </r>
      </text>
    </comment>
    <comment ref="T18" authorId="0" shapeId="0" xr:uid="{03F02BAA-E53D-4AD2-BC8E-F034F06D455C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U18" authorId="0" shapeId="0" xr:uid="{685F8705-0C68-43DF-ADC7-3551C9D02239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QUE PASA POR ARRIBA</t>
        </r>
      </text>
    </comment>
    <comment ref="AB18" authorId="0" shapeId="0" xr:uid="{BD6AF9E5-C044-41F9-A410-C7986B8B8645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AUMENTAN CON LAS CALLES QUE ESTAN ANTES DE MARTIRES</t>
        </r>
      </text>
    </comment>
    <comment ref="AD18" authorId="0" shapeId="0" xr:uid="{5E074B74-EDD4-411E-9FC6-9BDA924FF6F3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AV18" authorId="0" shapeId="0" xr:uid="{244C0AFB-DADB-42FC-B60C-61A398E2D2A8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BAJA POCO POR CALLES QUE SE INCORPORAN </t>
        </r>
      </text>
    </comment>
    <comment ref="AY18" authorId="0" shapeId="0" xr:uid="{28C76E29-D170-4040-BFCB-CBE17E8DD071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CALIRBADO
</t>
        </r>
      </text>
    </comment>
    <comment ref="BI18" authorId="0" shapeId="0" xr:uid="{F1C3B97E-CFB2-421E-92C9-20A991C88E31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AI19" authorId="0" shapeId="0" xr:uid="{4FFD82A4-88B6-4D96-A3F9-C2E8E672455B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BAJA PORQUE UNA PARTE SE VA POR AV PEDREGAL Y EL RIO</t>
        </r>
      </text>
    </comment>
    <comment ref="U20" authorId="0" shapeId="0" xr:uid="{CB40BFEE-DB70-4B98-AB3B-AE1309BBFD57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QUE PASA POR ARRIBA</t>
        </r>
      </text>
    </comment>
    <comment ref="Y20" authorId="0" shapeId="0" xr:uid="{D255B3C6-3941-4F45-9F3C-1CA5E7CC934C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SON MAS POR LOS CARROS DE ARRIBA, ESTAN DE COLOR ROJO
</t>
        </r>
      </text>
    </comment>
    <comment ref="AD20" authorId="0" shapeId="0" xr:uid="{8C6B723F-2758-43F1-929C-BF27D1FA6B23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BAJAN POCOS POR LA CALLES ANTERIORES</t>
        </r>
      </text>
    </comment>
    <comment ref="AV20" authorId="0" shapeId="0" xr:uid="{45466E86-2FE6-45AA-97D4-E784BE85AC2B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BAJA EL FLUJO CON LAS CALLES ANTERIORES</t>
        </r>
      </text>
    </comment>
    <comment ref="Y21" authorId="0" shapeId="0" xr:uid="{DAE2CC8A-43AE-4998-AF8E-89C82C4DECB5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AI21" authorId="0" shapeId="0" xr:uid="{2244E9E9-F8E1-4BA8-821C-C5C5473A555A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BN21" authorId="0" shapeId="0" xr:uid="{952D8FC2-3955-4A3A-8D5E-B7AE207B4768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
</t>
        </r>
      </text>
    </comment>
    <comment ref="BH22" authorId="0" shapeId="0" xr:uid="{12D7C450-0C9A-4C3F-B5F5-7E6C3194D30E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
</t>
        </r>
      </text>
    </comment>
    <comment ref="CV30" authorId="0" shapeId="0" xr:uid="{146877A1-6957-48C1-A2DD-B857CB424F85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AUMENTAN DE 567 A 648 POR LAS CALLES ANTERIORES, PARA LLEGAR AL ACUEDUCTO</t>
        </r>
      </text>
    </comment>
    <comment ref="CV38" authorId="0" shapeId="0" xr:uid="{74A27751-4AC2-47F6-9754-CD55CD51DF73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 CON LAS VUELTAS Y SIGA</t>
        </r>
      </text>
    </comment>
    <comment ref="BK44" authorId="0" shapeId="0" xr:uid="{A51CA35D-1899-4B1F-A63B-FFA5408FAB90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VERIFICADO</t>
        </r>
      </text>
    </comment>
    <comment ref="BL44" authorId="0" shapeId="0" xr:uid="{747B9C3F-8D4B-4E45-B282-DDBA22367FD1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</t>
        </r>
      </text>
    </comment>
    <comment ref="BT44" authorId="0" shapeId="0" xr:uid="{5E17D8D0-FA48-4434-8DD8-614B6B2FE032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REDUCE POR LAS CALLES ANTERIORES DEL CENTRO PARA LLEGAR AQUI</t>
        </r>
      </text>
    </comment>
    <comment ref="CK45" authorId="0" shapeId="0" xr:uid="{AB8E8E43-4F0F-4EFD-BD02-A367C548A63C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VERIFICADO</t>
        </r>
      </text>
    </comment>
    <comment ref="CN54" authorId="0" shapeId="0" xr:uid="{7A395F3A-A715-46A9-9F04-3D59E78FB352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CALIRBADO CON LAS VUELTAS E INTERSECCIONES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Tovar</author>
  </authors>
  <commentList>
    <comment ref="BW8" authorId="0" shapeId="0" xr:uid="{E8601EED-B452-417E-A6E2-ADA4BB1A9EC9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PIERDEN UN POCO POR LAS CALLES ANTERIORES</t>
        </r>
      </text>
    </comment>
    <comment ref="DB10" authorId="0" shapeId="0" xr:uid="{4E65DAED-3BC2-489D-A0CA-0A7F371B8B10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 PORQUE ES MUY CERCA CON LOS 744 DE LAS CAMARAS, SE REDUCE POR LAS CALLES ANTERIORES</t>
        </r>
      </text>
    </comment>
    <comment ref="CG11" authorId="0" shapeId="0" xr:uid="{9CEDF509-B709-4060-A939-AC12E2097576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BAJA EL FLUJO POR TODAS LA CALLES ANTERIORES DEL CENTRO</t>
        </r>
      </text>
    </comment>
    <comment ref="CL11" authorId="0" shapeId="0" xr:uid="{F4786CF4-5C68-4C16-8FFA-D3209C55E598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BAJA EL FLUJO POR TODAS LAS CALLES ANTERIORES DEL CENTRO</t>
        </r>
      </text>
    </comment>
    <comment ref="CR12" authorId="0" shapeId="0" xr:uid="{EF7DC774-E172-495C-A629-8EB17E9E1C04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CALIBRADO-COINDICE CON LAS CAMARAS
</t>
        </r>
      </text>
    </comment>
    <comment ref="DL12" authorId="0" shapeId="0" xr:uid="{6E615D03-1969-46B7-8A65-E380BFD5A669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BAJO POCO POR LAS CALLES ANTERIORES</t>
        </r>
      </text>
    </comment>
    <comment ref="BU13" authorId="0" shapeId="0" xr:uid="{86E61EB8-B763-4FB1-A6A3-D143ECBA606B}">
      <text>
        <r>
          <rPr>
            <b/>
            <sz val="9"/>
            <color indexed="81"/>
            <rFont val="Tahoma"/>
            <family val="2"/>
          </rPr>
          <t>Carlos Tovar:
FLUJO CALIBRADO</t>
        </r>
      </text>
    </comment>
    <comment ref="DC13" authorId="0" shapeId="0" xr:uid="{AE38C596-4B12-45B0-81C3-CA624C5F44E0}">
      <text>
        <r>
          <rPr>
            <b/>
            <sz val="9"/>
            <color indexed="81"/>
            <rFont val="Tahoma"/>
            <family val="2"/>
          </rPr>
          <t xml:space="preserve">Carlos Tovar:
Aumenta por todas las calles anteriores a la glorieta
</t>
        </r>
      </text>
    </comment>
    <comment ref="DH13" authorId="0" shapeId="0" xr:uid="{C461C2E5-A2B5-4786-B0C3-A4FF05A7D915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 CON LAS INTERSECCIONES DE LA GLORIETA</t>
        </r>
      </text>
    </comment>
    <comment ref="T18" authorId="0" shapeId="0" xr:uid="{6F58FF74-1EE5-49F2-A507-B6084E5548CF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U18" authorId="0" shapeId="0" xr:uid="{CE08ACD9-916C-4E97-838F-307B785896C3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QUE PASA POR ARRIBA</t>
        </r>
      </text>
    </comment>
    <comment ref="AB18" authorId="0" shapeId="0" xr:uid="{0BBC3674-189B-4210-A80B-27A6C638157D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AUMENTAN CON LAS CALLES QUE ESTAN ANTES DE MARTIRES</t>
        </r>
      </text>
    </comment>
    <comment ref="AD18" authorId="0" shapeId="0" xr:uid="{614CFA5B-FBB5-46F6-8F03-2F30F1B6BD0A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AV18" authorId="0" shapeId="0" xr:uid="{FBC21A69-B0E0-44F8-9C61-65A23BCE3B6C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BAJA POCO POR CALLES QUE SE INCORPORAN </t>
        </r>
      </text>
    </comment>
    <comment ref="AY18" authorId="0" shapeId="0" xr:uid="{8F82F091-67FE-4F77-AC8D-D1D78F0CC4C5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CALIRBADO
</t>
        </r>
      </text>
    </comment>
    <comment ref="BI18" authorId="0" shapeId="0" xr:uid="{6B29B500-159F-4C8E-B13C-78A37E53387D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AI19" authorId="0" shapeId="0" xr:uid="{CF5ED4A6-55FF-4BE6-A409-9CB76395E3E4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BAJA PORQUE UNA PARTE SE VA POR AV PEDREGAL Y EL RIO</t>
        </r>
      </text>
    </comment>
    <comment ref="U20" authorId="0" shapeId="0" xr:uid="{51ABB1CC-A924-425D-9F8E-5D369C3535A0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QUE PASA POR ARRIBA</t>
        </r>
      </text>
    </comment>
    <comment ref="Y20" authorId="0" shapeId="0" xr:uid="{4150B0D3-7CDA-48C1-9BC2-3EE93FA7D64B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SON MAS POR LOS CARROS DE ARRIBA, ESTAN DE COLOR ROJO
</t>
        </r>
      </text>
    </comment>
    <comment ref="AD20" authorId="0" shapeId="0" xr:uid="{B0B5DA1A-AD2D-4C10-B623-4C49AAE8C1D8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BAJAN POCOS POR LA CALLES ANTERIORES</t>
        </r>
      </text>
    </comment>
    <comment ref="AV20" authorId="0" shapeId="0" xr:uid="{D9297E55-0489-4212-9BDE-468568C1089D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BAJA EL FLUJO CON LAS CALLES ANTERIORES</t>
        </r>
      </text>
    </comment>
    <comment ref="Y21" authorId="0" shapeId="0" xr:uid="{2A3DADEA-B3E3-48E0-8A62-98F37AD17ADA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AI21" authorId="0" shapeId="0" xr:uid="{88E42068-CC6A-4220-81B6-894F804053E8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</t>
        </r>
      </text>
    </comment>
    <comment ref="BN21" authorId="0" shapeId="0" xr:uid="{3F0305FD-EEDB-46E9-9F1F-541C1B72BC73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
</t>
        </r>
      </text>
    </comment>
    <comment ref="BH22" authorId="0" shapeId="0" xr:uid="{FB418308-7586-4652-856B-FE7E7F62AB26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FLUJO CALIBRADO
</t>
        </r>
      </text>
    </comment>
    <comment ref="CV30" authorId="0" shapeId="0" xr:uid="{A68E9142-A77A-4842-BBED-31FC03635A97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AUMENTAN DE 567 A 648 POR LAS CALLES ANTERIORES, PARA LLEGAR AL ACUEDUCTO</t>
        </r>
      </text>
    </comment>
    <comment ref="CV38" authorId="0" shapeId="0" xr:uid="{C5DDFC19-A40F-476C-947D-19FB6D1BCD43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 CON LAS VUELTAS Y SIGA</t>
        </r>
      </text>
    </comment>
    <comment ref="BK44" authorId="0" shapeId="0" xr:uid="{6DDC7F4B-F1CE-4AFE-B87F-075FDE30C2FC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VERIFICADO</t>
        </r>
      </text>
    </comment>
    <comment ref="BL44" authorId="0" shapeId="0" xr:uid="{9360736E-7BF6-4EB6-822A-C99F4FB9F09F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CALIBRADO</t>
        </r>
      </text>
    </comment>
    <comment ref="BT44" authorId="0" shapeId="0" xr:uid="{A588CE56-EB2F-4EB5-AFCC-B0316E4FDE8B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SE REDUCE POR LAS CALLES ANTERIORES DEL CENTRO PARA LLEGAR AQUI</t>
        </r>
      </text>
    </comment>
    <comment ref="CK45" authorId="0" shapeId="0" xr:uid="{61A3E627-9D85-45A9-8AEA-E5CBCED6B114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VERIFICADO</t>
        </r>
      </text>
    </comment>
    <comment ref="CN54" authorId="0" shapeId="0" xr:uid="{354CA023-44F0-4F58-A3AB-D0ACC69EDDEC}">
      <text>
        <r>
          <rPr>
            <b/>
            <sz val="9"/>
            <color indexed="81"/>
            <rFont val="Tahoma"/>
            <family val="2"/>
          </rPr>
          <t>Carlos Tovar:</t>
        </r>
        <r>
          <rPr>
            <sz val="9"/>
            <color indexed="81"/>
            <rFont val="Tahoma"/>
            <family val="2"/>
          </rPr>
          <t xml:space="preserve">
CALIRBADO CON LAS VUELTAS E INTERSECCIONES</t>
        </r>
      </text>
    </comment>
  </commentList>
</comments>
</file>

<file path=xl/sharedStrings.xml><?xml version="1.0" encoding="utf-8"?>
<sst xmlns="http://schemas.openxmlformats.org/spreadsheetml/2006/main" count="55" uniqueCount="46">
  <si>
    <t>TDPS</t>
  </si>
  <si>
    <t>S</t>
  </si>
  <si>
    <t>CAMINO</t>
  </si>
  <si>
    <t>TD</t>
  </si>
  <si>
    <t>σ</t>
  </si>
  <si>
    <t>K</t>
  </si>
  <si>
    <t>TDPA</t>
  </si>
  <si>
    <t>AV MARTIRES ESTE</t>
  </si>
  <si>
    <t>AV MARTIRES OESTE</t>
  </si>
  <si>
    <t>MONUMENTO ESTE</t>
  </si>
  <si>
    <t>MONUMENTO OESTE</t>
  </si>
  <si>
    <t>NIÑOS HEROES ESTE</t>
  </si>
  <si>
    <t>NIÑOS HEROES OESTE</t>
  </si>
  <si>
    <t>SANTIAGO TAPIA ESTE</t>
  </si>
  <si>
    <t>SANTIAGO TAPIA OESTE</t>
  </si>
  <si>
    <t>20 NOVIEMBRE ESTE</t>
  </si>
  <si>
    <t>LUIS VELASCO ESTE</t>
  </si>
  <si>
    <t>LUIS VELASCO OESTE</t>
  </si>
  <si>
    <t>SALIDA CHARO ESTE</t>
  </si>
  <si>
    <t>SALIDA CHARO OESTE</t>
  </si>
  <si>
    <t>CORREGIDORA OESTE</t>
  </si>
  <si>
    <t>SALIDA QUIROGA ESTE</t>
  </si>
  <si>
    <t>SALIDA QUIROGA OESTE</t>
  </si>
  <si>
    <t>lazaro cardenas</t>
  </si>
  <si>
    <t>RUTA DEL BRT CON AFOROS CALIBRADOS</t>
  </si>
  <si>
    <t>av acueducto</t>
  </si>
  <si>
    <t>isidro huarte</t>
  </si>
  <si>
    <t>AFOROS DE NEUMATICO</t>
  </si>
  <si>
    <t xml:space="preserve">AFOROS CON VIDEO </t>
  </si>
  <si>
    <t>VH/H</t>
  </si>
  <si>
    <t>ACUEDUCTO</t>
  </si>
  <si>
    <t>CORONA</t>
  </si>
  <si>
    <t>CUAUTLA</t>
  </si>
  <si>
    <t>CUCHILLA 20 NOV</t>
  </si>
  <si>
    <t>CUCHILLA MONUMENTO</t>
  </si>
  <si>
    <t>GLORIETA CHARO C</t>
  </si>
  <si>
    <t>GLORIETA CHARO H</t>
  </si>
  <si>
    <t>GLORIETA QUIROGA M</t>
  </si>
  <si>
    <t>GLORIETA QUIROGA V</t>
  </si>
  <si>
    <t>GUADALUPE VICTORIA</t>
  </si>
  <si>
    <t>ISIDRO HUARTE</t>
  </si>
  <si>
    <t>POZARICA</t>
  </si>
  <si>
    <t>cuautla</t>
  </si>
  <si>
    <t>LATERAL</t>
  </si>
  <si>
    <t>AV MADERO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</si>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</sst>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4" borderId="0" xfId="0" applyFill="1"/>
    <xf numFmtId="0" fontId="0" fillId="4" borderId="2" xfId="0" applyFill="1" applyBorder="1"/>
    <xf numFmtId="0" fontId="0" fillId="4" borderId="17" xfId="0" applyFill="1" applyBorder="1"/>
    <xf numFmtId="0" fontId="0" fillId="4" borderId="20" xfId="0" applyFill="1" applyBorder="1"/>
    <xf numFmtId="0" fontId="0" fillId="4" borderId="18" xfId="0" applyFill="1" applyBorder="1"/>
    <xf numFmtId="0" fontId="0" fillId="4" borderId="22" xfId="0" applyFill="1" applyBorder="1"/>
    <xf numFmtId="0" fontId="0" fillId="4" borderId="21" xfId="0" applyFill="1" applyBorder="1"/>
    <xf numFmtId="0" fontId="0" fillId="4" borderId="19" xfId="0" applyFill="1" applyBorder="1"/>
    <xf numFmtId="0" fontId="0" fillId="4" borderId="23" xfId="0" applyFill="1" applyBorder="1"/>
    <xf numFmtId="0" fontId="0" fillId="4" borderId="24" xfId="0" applyFill="1" applyBorder="1"/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1" fontId="0" fillId="4" borderId="0" xfId="0" applyNumberFormat="1" applyFill="1"/>
    <xf numFmtId="1" fontId="0" fillId="4" borderId="23" xfId="0" applyNumberFormat="1" applyFill="1" applyBorder="1"/>
    <xf numFmtId="1" fontId="0" fillId="4" borderId="17" xfId="0" applyNumberFormat="1" applyFill="1" applyBorder="1"/>
    <xf numFmtId="1" fontId="0" fillId="4" borderId="25" xfId="0" applyNumberFormat="1" applyFill="1" applyBorder="1"/>
    <xf numFmtId="1" fontId="0" fillId="4" borderId="24" xfId="0" applyNumberFormat="1" applyFill="1" applyBorder="1"/>
    <xf numFmtId="0" fontId="3" fillId="4" borderId="2" xfId="0" applyFont="1" applyFill="1" applyBorder="1"/>
    <xf numFmtId="1" fontId="0" fillId="4" borderId="26" xfId="0" applyNumberFormat="1" applyFill="1" applyBorder="1"/>
    <xf numFmtId="0" fontId="0" fillId="3" borderId="4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29" xfId="0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0" fillId="3" borderId="31" xfId="0" applyFill="1" applyBorder="1" applyAlignment="1">
      <alignment vertical="center" wrapText="1"/>
    </xf>
    <xf numFmtId="10" fontId="0" fillId="4" borderId="2" xfId="0" applyNumberFormat="1" applyFill="1" applyBorder="1"/>
    <xf numFmtId="9" fontId="0" fillId="4" borderId="2" xfId="0" applyNumberFormat="1" applyFill="1" applyBorder="1"/>
    <xf numFmtId="10" fontId="0" fillId="4" borderId="0" xfId="0" applyNumberFormat="1" applyFill="1"/>
    <xf numFmtId="9" fontId="0" fillId="4" borderId="0" xfId="0" applyNumberFormat="1" applyFill="1"/>
    <xf numFmtId="9" fontId="0" fillId="4" borderId="25" xfId="0" applyNumberFormat="1" applyFill="1" applyBorder="1"/>
    <xf numFmtId="9" fontId="0" fillId="4" borderId="0" xfId="1" applyFont="1" applyFill="1"/>
    <xf numFmtId="9" fontId="0" fillId="4" borderId="26" xfId="0" applyNumberFormat="1" applyFill="1" applyBorder="1"/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17" xfId="0" applyFill="1" applyBorder="1" applyAlignment="1">
      <alignment horizontal="left"/>
    </xf>
    <xf numFmtId="1" fontId="0" fillId="2" borderId="17" xfId="0" applyNumberFormat="1" applyFill="1" applyBorder="1"/>
    <xf numFmtId="0" fontId="0" fillId="2" borderId="0" xfId="0" applyFill="1"/>
    <xf numFmtId="1" fontId="0" fillId="4" borderId="2" xfId="0" applyNumberFormat="1" applyFill="1" applyBorder="1"/>
    <xf numFmtId="1" fontId="0" fillId="2" borderId="0" xfId="0" applyNumberFormat="1" applyFill="1"/>
    <xf numFmtId="1" fontId="7" fillId="6" borderId="0" xfId="0" applyNumberFormat="1" applyFont="1" applyFill="1"/>
    <xf numFmtId="1" fontId="7" fillId="6" borderId="23" xfId="0" applyNumberFormat="1" applyFont="1" applyFill="1" applyBorder="1"/>
    <xf numFmtId="0" fontId="0" fillId="2" borderId="0" xfId="0" applyFill="1" applyAlignment="1">
      <alignment horizontal="left"/>
    </xf>
    <xf numFmtId="0" fontId="0" fillId="2" borderId="26" xfId="0" applyFill="1" applyBorder="1"/>
    <xf numFmtId="1" fontId="8" fillId="7" borderId="0" xfId="0" applyNumberFormat="1" applyFont="1" applyFill="1"/>
    <xf numFmtId="0" fontId="0" fillId="7" borderId="25" xfId="0" applyFill="1" applyBorder="1"/>
    <xf numFmtId="1" fontId="8" fillId="2" borderId="0" xfId="0" applyNumberFormat="1" applyFont="1" applyFill="1"/>
    <xf numFmtId="0" fontId="0" fillId="4" borderId="0" xfId="0" applyFill="1" applyAlignment="1">
      <alignment horizontal="right"/>
    </xf>
    <xf numFmtId="0" fontId="0" fillId="7" borderId="17" xfId="0" applyFill="1" applyBorder="1"/>
    <xf numFmtId="0" fontId="0" fillId="2" borderId="17" xfId="0" applyFill="1" applyBorder="1"/>
    <xf numFmtId="0" fontId="7" fillId="8" borderId="2" xfId="0" applyFont="1" applyFill="1" applyBorder="1"/>
    <xf numFmtId="1" fontId="7" fillId="8" borderId="0" xfId="0" applyNumberFormat="1" applyFont="1" applyFill="1"/>
    <xf numFmtId="1" fontId="0" fillId="4" borderId="25" xfId="0" applyNumberFormat="1" applyFill="1" applyBorder="1" applyAlignment="1">
      <alignment horizontal="left"/>
    </xf>
    <xf numFmtId="1" fontId="0" fillId="4" borderId="0" xfId="0" applyNumberFormat="1" applyFill="1" applyAlignment="1">
      <alignment horizontal="left"/>
    </xf>
    <xf numFmtId="0" fontId="0" fillId="2" borderId="2" xfId="0" applyFill="1" applyBorder="1"/>
    <xf numFmtId="0" fontId="0" fillId="4" borderId="2" xfId="0" applyFill="1" applyBorder="1" applyAlignment="1">
      <alignment horizontal="left"/>
    </xf>
    <xf numFmtId="0" fontId="0" fillId="7" borderId="0" xfId="0" applyFill="1"/>
    <xf numFmtId="0" fontId="0" fillId="2" borderId="16" xfId="0" applyFill="1" applyBorder="1"/>
    <xf numFmtId="0" fontId="7" fillId="8" borderId="18" xfId="0" applyFont="1" applyFill="1" applyBorder="1" applyAlignment="1">
      <alignment horizontal="center"/>
    </xf>
    <xf numFmtId="1" fontId="0" fillId="4" borderId="0" xfId="2" applyNumberFormat="1" applyFont="1" applyFill="1"/>
    <xf numFmtId="0" fontId="7" fillId="8" borderId="24" xfId="0" applyFont="1" applyFill="1" applyBorder="1"/>
    <xf numFmtId="0" fontId="0" fillId="4" borderId="25" xfId="0" applyFill="1" applyBorder="1" applyAlignment="1">
      <alignment horizontal="left"/>
    </xf>
    <xf numFmtId="1" fontId="0" fillId="4" borderId="0" xfId="0" applyNumberFormat="1" applyFill="1" applyAlignment="1">
      <alignment horizontal="center"/>
    </xf>
    <xf numFmtId="0" fontId="0" fillId="4" borderId="24" xfId="0" applyFill="1" applyBorder="1" applyAlignment="1">
      <alignment horizontal="left"/>
    </xf>
    <xf numFmtId="1" fontId="7" fillId="4" borderId="32" xfId="0" applyNumberFormat="1" applyFont="1" applyFill="1" applyBorder="1"/>
    <xf numFmtId="0" fontId="7" fillId="4" borderId="33" xfId="0" applyFont="1" applyFill="1" applyBorder="1"/>
    <xf numFmtId="1" fontId="7" fillId="4" borderId="34" xfId="0" applyNumberFormat="1" applyFont="1" applyFill="1" applyBorder="1"/>
    <xf numFmtId="0" fontId="7" fillId="4" borderId="35" xfId="0" applyFont="1" applyFill="1" applyBorder="1"/>
    <xf numFmtId="1" fontId="7" fillId="4" borderId="0" xfId="0" applyNumberFormat="1" applyFont="1" applyFill="1" applyAlignment="1">
      <alignment horizontal="left"/>
    </xf>
    <xf numFmtId="0" fontId="0" fillId="9" borderId="0" xfId="0" applyFill="1"/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0" fontId="0" fillId="9" borderId="17" xfId="0" applyFill="1" applyBorder="1"/>
    <xf numFmtId="0" fontId="3" fillId="9" borderId="2" xfId="0" applyFont="1" applyFill="1" applyBorder="1"/>
    <xf numFmtId="0" fontId="0" fillId="9" borderId="25" xfId="0" applyFill="1" applyBorder="1"/>
    <xf numFmtId="0" fontId="0" fillId="9" borderId="25" xfId="0" applyFill="1" applyBorder="1" applyAlignment="1">
      <alignment horizontal="left"/>
    </xf>
    <xf numFmtId="0" fontId="0" fillId="9" borderId="17" xfId="0" applyFill="1" applyBorder="1" applyAlignment="1">
      <alignment horizontal="left"/>
    </xf>
    <xf numFmtId="1" fontId="7" fillId="9" borderId="0" xfId="0" applyNumberFormat="1" applyFont="1" applyFill="1" applyAlignment="1">
      <alignment horizontal="left"/>
    </xf>
    <xf numFmtId="1" fontId="0" fillId="9" borderId="0" xfId="0" applyNumberFormat="1" applyFill="1"/>
    <xf numFmtId="0" fontId="0" fillId="9" borderId="24" xfId="0" applyFill="1" applyBorder="1"/>
    <xf numFmtId="9" fontId="0" fillId="9" borderId="2" xfId="0" applyNumberFormat="1" applyFill="1" applyBorder="1"/>
    <xf numFmtId="9" fontId="0" fillId="9" borderId="0" xfId="0" applyNumberFormat="1" applyFill="1"/>
    <xf numFmtId="0" fontId="0" fillId="9" borderId="0" xfId="0" applyFill="1" applyAlignment="1">
      <alignment horizontal="left"/>
    </xf>
    <xf numFmtId="0" fontId="0" fillId="9" borderId="24" xfId="0" applyFill="1" applyBorder="1" applyAlignment="1">
      <alignment horizontal="left"/>
    </xf>
    <xf numFmtId="1" fontId="0" fillId="9" borderId="0" xfId="2" applyNumberFormat="1" applyFont="1" applyFill="1"/>
    <xf numFmtId="1" fontId="0" fillId="9" borderId="17" xfId="0" applyNumberFormat="1" applyFill="1" applyBorder="1"/>
    <xf numFmtId="0" fontId="4" fillId="4" borderId="0" xfId="0" applyFont="1" applyFill="1"/>
    <xf numFmtId="0" fontId="4" fillId="4" borderId="23" xfId="0" applyFont="1" applyFill="1" applyBorder="1"/>
    <xf numFmtId="0" fontId="4" fillId="2" borderId="0" xfId="0" applyFont="1" applyFill="1"/>
    <xf numFmtId="0" fontId="4" fillId="5" borderId="0" xfId="0" applyFont="1" applyFill="1"/>
    <xf numFmtId="1" fontId="4" fillId="5" borderId="0" xfId="0" applyNumberFormat="1" applyFont="1" applyFill="1"/>
    <xf numFmtId="0" fontId="4" fillId="4" borderId="25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1" fontId="4" fillId="2" borderId="17" xfId="0" applyNumberFormat="1" applyFont="1" applyFill="1" applyBorder="1"/>
    <xf numFmtId="1" fontId="9" fillId="6" borderId="0" xfId="0" applyNumberFormat="1" applyFont="1" applyFill="1"/>
    <xf numFmtId="1" fontId="4" fillId="4" borderId="0" xfId="0" applyNumberFormat="1" applyFont="1" applyFill="1"/>
    <xf numFmtId="0" fontId="9" fillId="6" borderId="0" xfId="0" applyFont="1" applyFill="1"/>
    <xf numFmtId="0" fontId="4" fillId="4" borderId="2" xfId="0" applyFont="1" applyFill="1" applyBorder="1"/>
    <xf numFmtId="9" fontId="4" fillId="4" borderId="2" xfId="0" applyNumberFormat="1" applyFont="1" applyFill="1" applyBorder="1"/>
    <xf numFmtId="0" fontId="4" fillId="4" borderId="17" xfId="0" applyFont="1" applyFill="1" applyBorder="1"/>
    <xf numFmtId="0" fontId="4" fillId="4" borderId="0" xfId="0" applyFont="1" applyFill="1" applyAlignment="1">
      <alignment horizontal="center"/>
    </xf>
    <xf numFmtId="0" fontId="4" fillId="4" borderId="27" xfId="0" applyFont="1" applyFill="1" applyBorder="1"/>
    <xf numFmtId="0" fontId="4" fillId="4" borderId="25" xfId="0" applyFont="1" applyFill="1" applyBorder="1"/>
    <xf numFmtId="0" fontId="4" fillId="11" borderId="0" xfId="0" applyFont="1" applyFill="1"/>
    <xf numFmtId="0" fontId="4" fillId="4" borderId="20" xfId="0" applyFont="1" applyFill="1" applyBorder="1"/>
    <xf numFmtId="9" fontId="4" fillId="4" borderId="0" xfId="0" applyNumberFormat="1" applyFont="1" applyFill="1"/>
    <xf numFmtId="0" fontId="4" fillId="4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4" fillId="4" borderId="0" xfId="0" applyNumberFormat="1" applyFont="1" applyFill="1" applyAlignment="1">
      <alignment horizontal="left"/>
    </xf>
    <xf numFmtId="1" fontId="10" fillId="7" borderId="0" xfId="0" applyNumberFormat="1" applyFont="1" applyFill="1"/>
    <xf numFmtId="0" fontId="4" fillId="7" borderId="25" xfId="0" applyFont="1" applyFill="1" applyBorder="1"/>
    <xf numFmtId="9" fontId="4" fillId="4" borderId="25" xfId="0" applyNumberFormat="1" applyFont="1" applyFill="1" applyBorder="1"/>
    <xf numFmtId="1" fontId="4" fillId="4" borderId="17" xfId="0" applyNumberFormat="1" applyFont="1" applyFill="1" applyBorder="1"/>
    <xf numFmtId="1" fontId="4" fillId="4" borderId="24" xfId="0" applyNumberFormat="1" applyFont="1" applyFill="1" applyBorder="1"/>
    <xf numFmtId="0" fontId="4" fillId="4" borderId="24" xfId="0" applyFont="1" applyFill="1" applyBorder="1"/>
    <xf numFmtId="0" fontId="4" fillId="4" borderId="26" xfId="0" applyFont="1" applyFill="1" applyBorder="1"/>
    <xf numFmtId="1" fontId="4" fillId="4" borderId="26" xfId="0" applyNumberFormat="1" applyFont="1" applyFill="1" applyBorder="1"/>
    <xf numFmtId="9" fontId="4" fillId="4" borderId="26" xfId="0" applyNumberFormat="1" applyFont="1" applyFill="1" applyBorder="1"/>
    <xf numFmtId="0" fontId="4" fillId="2" borderId="26" xfId="0" applyFont="1" applyFill="1" applyBorder="1"/>
    <xf numFmtId="1" fontId="10" fillId="2" borderId="0" xfId="0" applyNumberFormat="1" applyFont="1" applyFill="1"/>
    <xf numFmtId="9" fontId="4" fillId="4" borderId="0" xfId="1" applyFont="1" applyFill="1"/>
    <xf numFmtId="0" fontId="4" fillId="4" borderId="0" xfId="0" applyFont="1" applyFill="1" applyAlignment="1">
      <alignment horizontal="right"/>
    </xf>
    <xf numFmtId="1" fontId="9" fillId="8" borderId="0" xfId="0" applyNumberFormat="1" applyFont="1" applyFill="1"/>
    <xf numFmtId="0" fontId="4" fillId="4" borderId="2" xfId="0" applyFont="1" applyFill="1" applyBorder="1" applyAlignment="1">
      <alignment horizontal="center"/>
    </xf>
    <xf numFmtId="1" fontId="4" fillId="2" borderId="0" xfId="0" applyNumberFormat="1" applyFont="1" applyFill="1"/>
    <xf numFmtId="0" fontId="4" fillId="2" borderId="17" xfId="0" applyFont="1" applyFill="1" applyBorder="1"/>
    <xf numFmtId="0" fontId="4" fillId="7" borderId="17" xfId="0" applyFont="1" applyFill="1" applyBorder="1"/>
    <xf numFmtId="0" fontId="4" fillId="4" borderId="18" xfId="0" applyFont="1" applyFill="1" applyBorder="1"/>
    <xf numFmtId="1" fontId="4" fillId="4" borderId="25" xfId="0" applyNumberFormat="1" applyFont="1" applyFill="1" applyBorder="1"/>
    <xf numFmtId="0" fontId="4" fillId="4" borderId="22" xfId="0" applyFont="1" applyFill="1" applyBorder="1"/>
    <xf numFmtId="0" fontId="4" fillId="4" borderId="21" xfId="0" applyFont="1" applyFill="1" applyBorder="1"/>
    <xf numFmtId="0" fontId="4" fillId="4" borderId="19" xfId="0" applyFont="1" applyFill="1" applyBorder="1"/>
    <xf numFmtId="1" fontId="9" fillId="4" borderId="0" xfId="0" applyNumberFormat="1" applyFont="1" applyFill="1" applyAlignment="1">
      <alignment horizontal="left"/>
    </xf>
    <xf numFmtId="0" fontId="9" fillId="8" borderId="24" xfId="0" applyFont="1" applyFill="1" applyBorder="1"/>
    <xf numFmtId="1" fontId="4" fillId="4" borderId="23" xfId="0" applyNumberFormat="1" applyFont="1" applyFill="1" applyBorder="1"/>
    <xf numFmtId="1" fontId="9" fillId="6" borderId="23" xfId="0" applyNumberFormat="1" applyFont="1" applyFill="1" applyBorder="1"/>
    <xf numFmtId="1" fontId="9" fillId="4" borderId="32" xfId="0" applyNumberFormat="1" applyFont="1" applyFill="1" applyBorder="1"/>
    <xf numFmtId="0" fontId="9" fillId="4" borderId="33" xfId="0" applyFont="1" applyFill="1" applyBorder="1"/>
    <xf numFmtId="1" fontId="9" fillId="4" borderId="34" xfId="0" applyNumberFormat="1" applyFont="1" applyFill="1" applyBorder="1"/>
    <xf numFmtId="0" fontId="9" fillId="4" borderId="35" xfId="0" applyFont="1" applyFill="1" applyBorder="1"/>
    <xf numFmtId="0" fontId="4" fillId="2" borderId="2" xfId="0" applyFont="1" applyFill="1" applyBorder="1"/>
    <xf numFmtId="10" fontId="4" fillId="4" borderId="2" xfId="0" applyNumberFormat="1" applyFont="1" applyFill="1" applyBorder="1"/>
    <xf numFmtId="0" fontId="9" fillId="8" borderId="2" xfId="0" applyFont="1" applyFill="1" applyBorder="1"/>
    <xf numFmtId="10" fontId="4" fillId="4" borderId="0" xfId="0" applyNumberFormat="1" applyFont="1" applyFill="1"/>
    <xf numFmtId="0" fontId="4" fillId="7" borderId="0" xfId="0" applyFont="1" applyFill="1"/>
    <xf numFmtId="0" fontId="11" fillId="4" borderId="25" xfId="0" applyFont="1" applyFill="1" applyBorder="1"/>
    <xf numFmtId="0" fontId="11" fillId="4" borderId="0" xfId="0" applyFont="1" applyFill="1"/>
    <xf numFmtId="0" fontId="4" fillId="12" borderId="0" xfId="0" applyFont="1" applyFill="1" applyAlignment="1">
      <alignment horizontal="center"/>
    </xf>
    <xf numFmtId="0" fontId="4" fillId="13" borderId="17" xfId="0" applyFont="1" applyFill="1" applyBorder="1" applyAlignment="1">
      <alignment horizontal="left"/>
    </xf>
    <xf numFmtId="0" fontId="4" fillId="13" borderId="0" xfId="0" applyFont="1" applyFill="1" applyAlignment="1">
      <alignment horizontal="center"/>
    </xf>
    <xf numFmtId="0" fontId="4" fillId="13" borderId="0" xfId="0" applyFont="1" applyFill="1"/>
    <xf numFmtId="1" fontId="4" fillId="13" borderId="0" xfId="0" applyNumberFormat="1" applyFont="1" applyFill="1"/>
    <xf numFmtId="1" fontId="4" fillId="13" borderId="0" xfId="0" applyNumberFormat="1" applyFont="1" applyFill="1" applyAlignment="1">
      <alignment horizontal="center"/>
    </xf>
    <xf numFmtId="0" fontId="4" fillId="13" borderId="2" xfId="0" applyFont="1" applyFill="1" applyBorder="1"/>
    <xf numFmtId="0" fontId="4" fillId="13" borderId="25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left"/>
    </xf>
    <xf numFmtId="0" fontId="4" fillId="13" borderId="0" xfId="0" applyFont="1" applyFill="1" applyAlignment="1">
      <alignment horizontal="left"/>
    </xf>
    <xf numFmtId="0" fontId="4" fillId="13" borderId="19" xfId="0" applyFont="1" applyFill="1" applyBorder="1"/>
    <xf numFmtId="1" fontId="4" fillId="13" borderId="25" xfId="0" applyNumberFormat="1" applyFont="1" applyFill="1" applyBorder="1" applyAlignment="1">
      <alignment horizontal="left"/>
    </xf>
    <xf numFmtId="0" fontId="4" fillId="13" borderId="17" xfId="0" applyFont="1" applyFill="1" applyBorder="1"/>
    <xf numFmtId="1" fontId="4" fillId="13" borderId="2" xfId="0" applyNumberFormat="1" applyFont="1" applyFill="1" applyBorder="1" applyAlignment="1">
      <alignment horizontal="left"/>
    </xf>
    <xf numFmtId="0" fontId="4" fillId="13" borderId="23" xfId="0" applyFont="1" applyFill="1" applyBorder="1"/>
    <xf numFmtId="1" fontId="4" fillId="13" borderId="17" xfId="0" applyNumberFormat="1" applyFont="1" applyFill="1" applyBorder="1"/>
    <xf numFmtId="0" fontId="4" fillId="13" borderId="2" xfId="0" applyFont="1" applyFill="1" applyBorder="1" applyAlignment="1">
      <alignment horizontal="center"/>
    </xf>
    <xf numFmtId="1" fontId="4" fillId="13" borderId="26" xfId="0" applyNumberFormat="1" applyFont="1" applyFill="1" applyBorder="1"/>
    <xf numFmtId="1" fontId="4" fillId="13" borderId="2" xfId="0" applyNumberFormat="1" applyFont="1" applyFill="1" applyBorder="1"/>
    <xf numFmtId="0" fontId="4" fillId="13" borderId="16" xfId="0" applyFont="1" applyFill="1" applyBorder="1"/>
    <xf numFmtId="0" fontId="11" fillId="13" borderId="18" xfId="0" applyFont="1" applyFill="1" applyBorder="1" applyAlignment="1">
      <alignment horizontal="center"/>
    </xf>
    <xf numFmtId="1" fontId="4" fillId="13" borderId="0" xfId="0" applyNumberFormat="1" applyFont="1" applyFill="1" applyAlignment="1">
      <alignment horizontal="left"/>
    </xf>
    <xf numFmtId="0" fontId="4" fillId="13" borderId="24" xfId="0" applyFont="1" applyFill="1" applyBorder="1" applyAlignment="1">
      <alignment horizontal="left"/>
    </xf>
    <xf numFmtId="1" fontId="4" fillId="13" borderId="0" xfId="2" applyNumberFormat="1" applyFont="1" applyFill="1"/>
    <xf numFmtId="0" fontId="4" fillId="13" borderId="24" xfId="0" applyFont="1" applyFill="1" applyBorder="1"/>
    <xf numFmtId="0" fontId="11" fillId="13" borderId="0" xfId="0" applyFont="1" applyFill="1"/>
    <xf numFmtId="1" fontId="11" fillId="13" borderId="0" xfId="0" applyNumberFormat="1" applyFont="1" applyFill="1"/>
    <xf numFmtId="1" fontId="0" fillId="0" borderId="7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1" fillId="10" borderId="33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38" xfId="0" applyFont="1" applyFill="1" applyBorder="1" applyAlignment="1">
      <alignment horizontal="center" vertical="center"/>
    </xf>
    <xf numFmtId="0" fontId="1" fillId="10" borderId="34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4" borderId="18" xfId="0" applyFill="1" applyBorder="1" applyAlignment="1">
      <alignment horizontal="center"/>
    </xf>
    <xf numFmtId="0" fontId="0" fillId="4" borderId="20" xfId="0" applyFill="1" applyBorder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179294</xdr:colOff>
      <xdr:row>16</xdr:row>
      <xdr:rowOff>80682</xdr:rowOff>
    </xdr:from>
    <xdr:to>
      <xdr:col>91</xdr:col>
      <xdr:colOff>609600</xdr:colOff>
      <xdr:row>20</xdr:row>
      <xdr:rowOff>80682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2EBE099A-E384-4EA6-8C83-68B7FB5630FE}"/>
            </a:ext>
          </a:extLst>
        </xdr:cNvPr>
        <xdr:cNvCxnSpPr/>
      </xdr:nvCxnSpPr>
      <xdr:spPr>
        <a:xfrm flipH="1">
          <a:off x="69346034" y="3067722"/>
          <a:ext cx="1222786" cy="830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376518</xdr:colOff>
      <xdr:row>17</xdr:row>
      <xdr:rowOff>0</xdr:rowOff>
    </xdr:from>
    <xdr:to>
      <xdr:col>92</xdr:col>
      <xdr:colOff>268942</xdr:colOff>
      <xdr:row>21</xdr:row>
      <xdr:rowOff>134471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13A959F-9D88-4364-8C70-E4DF539291F8}"/>
            </a:ext>
          </a:extLst>
        </xdr:cNvPr>
        <xdr:cNvCxnSpPr/>
      </xdr:nvCxnSpPr>
      <xdr:spPr>
        <a:xfrm flipH="1">
          <a:off x="69543258" y="3169920"/>
          <a:ext cx="1477384" cy="10107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119680</xdr:colOff>
      <xdr:row>16</xdr:row>
      <xdr:rowOff>34513</xdr:rowOff>
    </xdr:from>
    <xdr:to>
      <xdr:col>1</xdr:col>
      <xdr:colOff>310180</xdr:colOff>
      <xdr:row>17</xdr:row>
      <xdr:rowOff>61407</xdr:rowOff>
    </xdr:to>
    <xdr:sp macro="" textlink="">
      <xdr:nvSpPr>
        <xdr:cNvPr id="4" name="Flecha: hacia la izquierda 3">
          <a:extLst>
            <a:ext uri="{FF2B5EF4-FFF2-40B4-BE49-F238E27FC236}">
              <a16:creationId xmlns:a16="http://schemas.microsoft.com/office/drawing/2014/main" id="{901ACA67-C6DE-4A0B-9759-EF3D131DF496}"/>
            </a:ext>
          </a:extLst>
        </xdr:cNvPr>
        <xdr:cNvSpPr/>
      </xdr:nvSpPr>
      <xdr:spPr>
        <a:xfrm>
          <a:off x="119680" y="3021553"/>
          <a:ext cx="982980" cy="2097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146125</xdr:colOff>
      <xdr:row>20</xdr:row>
      <xdr:rowOff>62306</xdr:rowOff>
    </xdr:from>
    <xdr:to>
      <xdr:col>1</xdr:col>
      <xdr:colOff>336625</xdr:colOff>
      <xdr:row>21</xdr:row>
      <xdr:rowOff>92786</xdr:rowOff>
    </xdr:to>
    <xdr:sp macro="" textlink="">
      <xdr:nvSpPr>
        <xdr:cNvPr id="5" name="Flecha: hacia la izquierda 4">
          <a:extLst>
            <a:ext uri="{FF2B5EF4-FFF2-40B4-BE49-F238E27FC236}">
              <a16:creationId xmlns:a16="http://schemas.microsoft.com/office/drawing/2014/main" id="{E87B9A37-5258-4314-9EE3-1E3E540DBBE5}"/>
            </a:ext>
          </a:extLst>
        </xdr:cNvPr>
        <xdr:cNvSpPr/>
      </xdr:nvSpPr>
      <xdr:spPr>
        <a:xfrm rot="10800000">
          <a:off x="146125" y="3879926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</xdr:col>
      <xdr:colOff>678180</xdr:colOff>
      <xdr:row>17</xdr:row>
      <xdr:rowOff>76200</xdr:rowOff>
    </xdr:from>
    <xdr:to>
      <xdr:col>15</xdr:col>
      <xdr:colOff>76200</xdr:colOff>
      <xdr:row>18</xdr:row>
      <xdr:rowOff>106680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DB1B18A1-B83B-4032-BA90-825E2AAA5DAA}"/>
            </a:ext>
          </a:extLst>
        </xdr:cNvPr>
        <xdr:cNvSpPr/>
      </xdr:nvSpPr>
      <xdr:spPr>
        <a:xfrm>
          <a:off x="10980420" y="324612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</xdr:col>
      <xdr:colOff>731520</xdr:colOff>
      <xdr:row>19</xdr:row>
      <xdr:rowOff>152400</xdr:rowOff>
    </xdr:from>
    <xdr:to>
      <xdr:col>15</xdr:col>
      <xdr:colOff>129540</xdr:colOff>
      <xdr:row>21</xdr:row>
      <xdr:rowOff>0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24EC5F18-9B1B-4236-8ACE-819737EC5E87}"/>
            </a:ext>
          </a:extLst>
        </xdr:cNvPr>
        <xdr:cNvSpPr/>
      </xdr:nvSpPr>
      <xdr:spPr>
        <a:xfrm rot="10800000">
          <a:off x="11033760" y="3741420"/>
          <a:ext cx="982980" cy="3048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41</xdr:col>
      <xdr:colOff>708660</xdr:colOff>
      <xdr:row>17</xdr:row>
      <xdr:rowOff>38100</xdr:rowOff>
    </xdr:from>
    <xdr:to>
      <xdr:col>43</xdr:col>
      <xdr:colOff>106680</xdr:colOff>
      <xdr:row>18</xdr:row>
      <xdr:rowOff>68580</xdr:rowOff>
    </xdr:to>
    <xdr:sp macro="" textlink="">
      <xdr:nvSpPr>
        <xdr:cNvPr id="8" name="Flecha: hacia la izquierda 7">
          <a:extLst>
            <a:ext uri="{FF2B5EF4-FFF2-40B4-BE49-F238E27FC236}">
              <a16:creationId xmlns:a16="http://schemas.microsoft.com/office/drawing/2014/main" id="{E7612E3C-F191-4216-8350-0FDBC75B2459}"/>
            </a:ext>
          </a:extLst>
        </xdr:cNvPr>
        <xdr:cNvSpPr/>
      </xdr:nvSpPr>
      <xdr:spPr>
        <a:xfrm>
          <a:off x="32453580" y="320802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41</xdr:col>
      <xdr:colOff>762000</xdr:colOff>
      <xdr:row>19</xdr:row>
      <xdr:rowOff>114300</xdr:rowOff>
    </xdr:from>
    <xdr:to>
      <xdr:col>43</xdr:col>
      <xdr:colOff>160020</xdr:colOff>
      <xdr:row>20</xdr:row>
      <xdr:rowOff>144780</xdr:rowOff>
    </xdr:to>
    <xdr:sp macro="" textlink="">
      <xdr:nvSpPr>
        <xdr:cNvPr id="9" name="Flecha: hacia la izquierda 8">
          <a:extLst>
            <a:ext uri="{FF2B5EF4-FFF2-40B4-BE49-F238E27FC236}">
              <a16:creationId xmlns:a16="http://schemas.microsoft.com/office/drawing/2014/main" id="{0D6B1A24-7BFA-42C9-9FE7-37BB608FE196}"/>
            </a:ext>
          </a:extLst>
        </xdr:cNvPr>
        <xdr:cNvSpPr/>
      </xdr:nvSpPr>
      <xdr:spPr>
        <a:xfrm rot="10800000">
          <a:off x="32506920" y="370332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125</xdr:col>
      <xdr:colOff>554915</xdr:colOff>
      <xdr:row>8</xdr:row>
      <xdr:rowOff>69028</xdr:rowOff>
    </xdr:from>
    <xdr:to>
      <xdr:col>126</xdr:col>
      <xdr:colOff>745415</xdr:colOff>
      <xdr:row>9</xdr:row>
      <xdr:rowOff>90543</xdr:rowOff>
    </xdr:to>
    <xdr:sp macro="" textlink="">
      <xdr:nvSpPr>
        <xdr:cNvPr id="10" name="Flecha: hacia la izquierda 9">
          <a:extLst>
            <a:ext uri="{FF2B5EF4-FFF2-40B4-BE49-F238E27FC236}">
              <a16:creationId xmlns:a16="http://schemas.microsoft.com/office/drawing/2014/main" id="{720ACA37-88A3-428E-BEB3-312BB1385282}"/>
            </a:ext>
          </a:extLst>
        </xdr:cNvPr>
        <xdr:cNvSpPr/>
      </xdr:nvSpPr>
      <xdr:spPr>
        <a:xfrm>
          <a:off x="94319015" y="1547308"/>
          <a:ext cx="982980" cy="2120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125</xdr:col>
      <xdr:colOff>617220</xdr:colOff>
      <xdr:row>12</xdr:row>
      <xdr:rowOff>73509</xdr:rowOff>
    </xdr:from>
    <xdr:to>
      <xdr:col>127</xdr:col>
      <xdr:colOff>15240</xdr:colOff>
      <xdr:row>13</xdr:row>
      <xdr:rowOff>103989</xdr:rowOff>
    </xdr:to>
    <xdr:sp macro="" textlink="">
      <xdr:nvSpPr>
        <xdr:cNvPr id="11" name="Flecha: hacia la izquierda 10">
          <a:extLst>
            <a:ext uri="{FF2B5EF4-FFF2-40B4-BE49-F238E27FC236}">
              <a16:creationId xmlns:a16="http://schemas.microsoft.com/office/drawing/2014/main" id="{49AC57B1-BFB4-47B1-A249-CC451071144E}"/>
            </a:ext>
          </a:extLst>
        </xdr:cNvPr>
        <xdr:cNvSpPr/>
      </xdr:nvSpPr>
      <xdr:spPr>
        <a:xfrm rot="10800000">
          <a:off x="94381320" y="2298549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259752</xdr:colOff>
      <xdr:row>15</xdr:row>
      <xdr:rowOff>77323</xdr:rowOff>
    </xdr:from>
    <xdr:to>
      <xdr:col>100</xdr:col>
      <xdr:colOff>385482</xdr:colOff>
      <xdr:row>17</xdr:row>
      <xdr:rowOff>71722</xdr:rowOff>
    </xdr:to>
    <xdr:sp macro="" textlink="">
      <xdr:nvSpPr>
        <xdr:cNvPr id="12" name="Flecha: hacia la izquierda 11">
          <a:extLst>
            <a:ext uri="{FF2B5EF4-FFF2-40B4-BE49-F238E27FC236}">
              <a16:creationId xmlns:a16="http://schemas.microsoft.com/office/drawing/2014/main" id="{F763DE48-D148-439B-BFC4-219330CA407F}"/>
            </a:ext>
          </a:extLst>
        </xdr:cNvPr>
        <xdr:cNvSpPr/>
      </xdr:nvSpPr>
      <xdr:spPr>
        <a:xfrm rot="5400000">
          <a:off x="76971187" y="2994888"/>
          <a:ext cx="367779" cy="12573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220308</xdr:colOff>
      <xdr:row>17</xdr:row>
      <xdr:rowOff>138281</xdr:rowOff>
    </xdr:from>
    <xdr:to>
      <xdr:col>99</xdr:col>
      <xdr:colOff>412377</xdr:colOff>
      <xdr:row>20</xdr:row>
      <xdr:rowOff>116542</xdr:rowOff>
    </xdr:to>
    <xdr:sp macro="" textlink="">
      <xdr:nvSpPr>
        <xdr:cNvPr id="13" name="Flecha: hacia la izquierda 12">
          <a:extLst>
            <a:ext uri="{FF2B5EF4-FFF2-40B4-BE49-F238E27FC236}">
              <a16:creationId xmlns:a16="http://schemas.microsoft.com/office/drawing/2014/main" id="{0F6B1A47-E65A-4134-ADDB-97BD5704ED23}"/>
            </a:ext>
          </a:extLst>
        </xdr:cNvPr>
        <xdr:cNvSpPr/>
      </xdr:nvSpPr>
      <xdr:spPr>
        <a:xfrm rot="16200000">
          <a:off x="76302422" y="3525147"/>
          <a:ext cx="625961" cy="19206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52</xdr:col>
      <xdr:colOff>487680</xdr:colOff>
      <xdr:row>17</xdr:row>
      <xdr:rowOff>22860</xdr:rowOff>
    </xdr:from>
    <xdr:to>
      <xdr:col>53</xdr:col>
      <xdr:colOff>678180</xdr:colOff>
      <xdr:row>18</xdr:row>
      <xdr:rowOff>53340</xdr:rowOff>
    </xdr:to>
    <xdr:sp macro="" textlink="">
      <xdr:nvSpPr>
        <xdr:cNvPr id="14" name="Flecha: hacia la izquierda 13">
          <a:extLst>
            <a:ext uri="{FF2B5EF4-FFF2-40B4-BE49-F238E27FC236}">
              <a16:creationId xmlns:a16="http://schemas.microsoft.com/office/drawing/2014/main" id="{0F6CCFDF-5E0D-4E20-BF8E-51973573EF61}"/>
            </a:ext>
          </a:extLst>
        </xdr:cNvPr>
        <xdr:cNvSpPr/>
      </xdr:nvSpPr>
      <xdr:spPr>
        <a:xfrm>
          <a:off x="40949880" y="319278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52</xdr:col>
      <xdr:colOff>541020</xdr:colOff>
      <xdr:row>19</xdr:row>
      <xdr:rowOff>99060</xdr:rowOff>
    </xdr:from>
    <xdr:to>
      <xdr:col>53</xdr:col>
      <xdr:colOff>731520</xdr:colOff>
      <xdr:row>20</xdr:row>
      <xdr:rowOff>129540</xdr:rowOff>
    </xdr:to>
    <xdr:sp macro="" textlink="">
      <xdr:nvSpPr>
        <xdr:cNvPr id="15" name="Flecha: hacia la izquierda 14">
          <a:extLst>
            <a:ext uri="{FF2B5EF4-FFF2-40B4-BE49-F238E27FC236}">
              <a16:creationId xmlns:a16="http://schemas.microsoft.com/office/drawing/2014/main" id="{EC7E00A5-17CA-4D40-84A1-C26F2B7F6290}"/>
            </a:ext>
          </a:extLst>
        </xdr:cNvPr>
        <xdr:cNvSpPr/>
      </xdr:nvSpPr>
      <xdr:spPr>
        <a:xfrm rot="10800000">
          <a:off x="41003220" y="368808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327660</xdr:colOff>
      <xdr:row>9</xdr:row>
      <xdr:rowOff>167640</xdr:rowOff>
    </xdr:from>
    <xdr:to>
      <xdr:col>68</xdr:col>
      <xdr:colOff>685800</xdr:colOff>
      <xdr:row>11</xdr:row>
      <xdr:rowOff>7620</xdr:rowOff>
    </xdr:to>
    <xdr:sp macro="" textlink="">
      <xdr:nvSpPr>
        <xdr:cNvPr id="16" name="Flecha: hacia la izquierda 15">
          <a:extLst>
            <a:ext uri="{FF2B5EF4-FFF2-40B4-BE49-F238E27FC236}">
              <a16:creationId xmlns:a16="http://schemas.microsoft.com/office/drawing/2014/main" id="{5CBDB7E4-DFD8-48B3-BF37-8B58240B5D1C}"/>
            </a:ext>
          </a:extLst>
        </xdr:cNvPr>
        <xdr:cNvSpPr/>
      </xdr:nvSpPr>
      <xdr:spPr>
        <a:xfrm>
          <a:off x="51816000" y="183642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457200</xdr:colOff>
      <xdr:row>11</xdr:row>
      <xdr:rowOff>0</xdr:rowOff>
    </xdr:from>
    <xdr:to>
      <xdr:col>70</xdr:col>
      <xdr:colOff>22860</xdr:colOff>
      <xdr:row>12</xdr:row>
      <xdr:rowOff>30480</xdr:rowOff>
    </xdr:to>
    <xdr:sp macro="" textlink="">
      <xdr:nvSpPr>
        <xdr:cNvPr id="17" name="Flecha: hacia la izquierda 16">
          <a:extLst>
            <a:ext uri="{FF2B5EF4-FFF2-40B4-BE49-F238E27FC236}">
              <a16:creationId xmlns:a16="http://schemas.microsoft.com/office/drawing/2014/main" id="{FF73008A-1575-413E-B845-89499D6A449E}"/>
            </a:ext>
          </a:extLst>
        </xdr:cNvPr>
        <xdr:cNvSpPr/>
      </xdr:nvSpPr>
      <xdr:spPr>
        <a:xfrm rot="10800000">
          <a:off x="51945540" y="2042160"/>
          <a:ext cx="177546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81</xdr:col>
      <xdr:colOff>464820</xdr:colOff>
      <xdr:row>10</xdr:row>
      <xdr:rowOff>68580</xdr:rowOff>
    </xdr:from>
    <xdr:to>
      <xdr:col>82</xdr:col>
      <xdr:colOff>655320</xdr:colOff>
      <xdr:row>11</xdr:row>
      <xdr:rowOff>91440</xdr:rowOff>
    </xdr:to>
    <xdr:sp macro="" textlink="">
      <xdr:nvSpPr>
        <xdr:cNvPr id="18" name="Flecha: hacia la izquierda 17">
          <a:extLst>
            <a:ext uri="{FF2B5EF4-FFF2-40B4-BE49-F238E27FC236}">
              <a16:creationId xmlns:a16="http://schemas.microsoft.com/office/drawing/2014/main" id="{9D807826-4C29-4CB2-A260-602468D1E276}"/>
            </a:ext>
          </a:extLst>
        </xdr:cNvPr>
        <xdr:cNvSpPr/>
      </xdr:nvSpPr>
      <xdr:spPr>
        <a:xfrm rot="10800000">
          <a:off x="62499240" y="192024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220980</xdr:colOff>
      <xdr:row>40</xdr:row>
      <xdr:rowOff>160020</xdr:rowOff>
    </xdr:from>
    <xdr:to>
      <xdr:col>100</xdr:col>
      <xdr:colOff>434340</xdr:colOff>
      <xdr:row>46</xdr:row>
      <xdr:rowOff>45720</xdr:rowOff>
    </xdr:to>
    <xdr:sp macro="" textlink="">
      <xdr:nvSpPr>
        <xdr:cNvPr id="19" name="Flecha: hacia la izquierda 18">
          <a:extLst>
            <a:ext uri="{FF2B5EF4-FFF2-40B4-BE49-F238E27FC236}">
              <a16:creationId xmlns:a16="http://schemas.microsoft.com/office/drawing/2014/main" id="{CD989596-D76E-4001-AEE9-CECA4B48E80D}"/>
            </a:ext>
          </a:extLst>
        </xdr:cNvPr>
        <xdr:cNvSpPr/>
      </xdr:nvSpPr>
      <xdr:spPr>
        <a:xfrm rot="5400000">
          <a:off x="76668630" y="818769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190500</xdr:colOff>
      <xdr:row>41</xdr:row>
      <xdr:rowOff>38100</xdr:rowOff>
    </xdr:from>
    <xdr:to>
      <xdr:col>99</xdr:col>
      <xdr:colOff>403860</xdr:colOff>
      <xdr:row>46</xdr:row>
      <xdr:rowOff>106680</xdr:rowOff>
    </xdr:to>
    <xdr:sp macro="" textlink="">
      <xdr:nvSpPr>
        <xdr:cNvPr id="20" name="Flecha: hacia la izquierda 19">
          <a:extLst>
            <a:ext uri="{FF2B5EF4-FFF2-40B4-BE49-F238E27FC236}">
              <a16:creationId xmlns:a16="http://schemas.microsoft.com/office/drawing/2014/main" id="{A7EFE99F-8BB0-4ECB-B2A4-3630B836E9DC}"/>
            </a:ext>
          </a:extLst>
        </xdr:cNvPr>
        <xdr:cNvSpPr/>
      </xdr:nvSpPr>
      <xdr:spPr>
        <a:xfrm rot="16200000">
          <a:off x="76104750" y="824865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92</xdr:col>
      <xdr:colOff>201930</xdr:colOff>
      <xdr:row>50</xdr:row>
      <xdr:rowOff>80010</xdr:rowOff>
    </xdr:from>
    <xdr:to>
      <xdr:col>93</xdr:col>
      <xdr:colOff>392430</xdr:colOff>
      <xdr:row>51</xdr:row>
      <xdr:rowOff>110490</xdr:rowOff>
    </xdr:to>
    <xdr:sp macro="" textlink="">
      <xdr:nvSpPr>
        <xdr:cNvPr id="21" name="Flecha: hacia la izquierda 20">
          <a:extLst>
            <a:ext uri="{FF2B5EF4-FFF2-40B4-BE49-F238E27FC236}">
              <a16:creationId xmlns:a16="http://schemas.microsoft.com/office/drawing/2014/main" id="{2B9B79B6-F3A1-4A60-AF7B-777F6F236A52}"/>
            </a:ext>
          </a:extLst>
        </xdr:cNvPr>
        <xdr:cNvSpPr/>
      </xdr:nvSpPr>
      <xdr:spPr>
        <a:xfrm>
          <a:off x="70953630" y="955167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76</xdr:col>
      <xdr:colOff>30480</xdr:colOff>
      <xdr:row>43</xdr:row>
      <xdr:rowOff>68580</xdr:rowOff>
    </xdr:from>
    <xdr:to>
      <xdr:col>77</xdr:col>
      <xdr:colOff>220980</xdr:colOff>
      <xdr:row>44</xdr:row>
      <xdr:rowOff>99060</xdr:rowOff>
    </xdr:to>
    <xdr:sp macro="" textlink="">
      <xdr:nvSpPr>
        <xdr:cNvPr id="22" name="Flecha: hacia la izquierda 21">
          <a:extLst>
            <a:ext uri="{FF2B5EF4-FFF2-40B4-BE49-F238E27FC236}">
              <a16:creationId xmlns:a16="http://schemas.microsoft.com/office/drawing/2014/main" id="{E8913C7E-B7AB-4598-BEBC-02497B13F354}"/>
            </a:ext>
          </a:extLst>
        </xdr:cNvPr>
        <xdr:cNvSpPr/>
      </xdr:nvSpPr>
      <xdr:spPr>
        <a:xfrm>
          <a:off x="58483500" y="826008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285750</xdr:colOff>
      <xdr:row>31</xdr:row>
      <xdr:rowOff>6500</xdr:rowOff>
    </xdr:from>
    <xdr:to>
      <xdr:col>62</xdr:col>
      <xdr:colOff>499110</xdr:colOff>
      <xdr:row>36</xdr:row>
      <xdr:rowOff>71495</xdr:rowOff>
    </xdr:to>
    <xdr:sp macro="" textlink="">
      <xdr:nvSpPr>
        <xdr:cNvPr id="23" name="Flecha: hacia la izquierda 22">
          <a:extLst>
            <a:ext uri="{FF2B5EF4-FFF2-40B4-BE49-F238E27FC236}">
              <a16:creationId xmlns:a16="http://schemas.microsoft.com/office/drawing/2014/main" id="{BD0DC67F-766C-430D-8C2D-0ED8DF7EBAA0}"/>
            </a:ext>
          </a:extLst>
        </xdr:cNvPr>
        <xdr:cNvSpPr/>
      </xdr:nvSpPr>
      <xdr:spPr>
        <a:xfrm rot="5400000">
          <a:off x="47581072" y="6386458"/>
          <a:ext cx="979395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63</xdr:col>
      <xdr:colOff>295836</xdr:colOff>
      <xdr:row>30</xdr:row>
      <xdr:rowOff>148814</xdr:rowOff>
    </xdr:from>
    <xdr:to>
      <xdr:col>65</xdr:col>
      <xdr:colOff>242496</xdr:colOff>
      <xdr:row>35</xdr:row>
      <xdr:rowOff>16585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A65DB128-25F6-49F4-8282-8A1DF36455B5}"/>
            </a:ext>
          </a:extLst>
        </xdr:cNvPr>
        <xdr:cNvCxnSpPr/>
      </xdr:nvCxnSpPr>
      <xdr:spPr>
        <a:xfrm>
          <a:off x="48766656" y="5962874"/>
          <a:ext cx="1531620" cy="7821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623496</xdr:colOff>
      <xdr:row>30</xdr:row>
      <xdr:rowOff>0</xdr:rowOff>
    </xdr:from>
    <xdr:to>
      <xdr:col>65</xdr:col>
      <xdr:colOff>570156</xdr:colOff>
      <xdr:row>34</xdr:row>
      <xdr:rowOff>43479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FE2049A2-7591-4480-A206-FA0A147C54BB}"/>
            </a:ext>
          </a:extLst>
        </xdr:cNvPr>
        <xdr:cNvCxnSpPr/>
      </xdr:nvCxnSpPr>
      <xdr:spPr>
        <a:xfrm>
          <a:off x="49094316" y="5814060"/>
          <a:ext cx="1531620" cy="7749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502023</xdr:colOff>
      <xdr:row>42</xdr:row>
      <xdr:rowOff>134470</xdr:rowOff>
    </xdr:from>
    <xdr:to>
      <xdr:col>66</xdr:col>
      <xdr:colOff>71271</xdr:colOff>
      <xdr:row>44</xdr:row>
      <xdr:rowOff>0</xdr:rowOff>
    </xdr:to>
    <xdr:sp macro="" textlink="">
      <xdr:nvSpPr>
        <xdr:cNvPr id="26" name="Flecha: hacia la izquierda 25">
          <a:extLst>
            <a:ext uri="{FF2B5EF4-FFF2-40B4-BE49-F238E27FC236}">
              <a16:creationId xmlns:a16="http://schemas.microsoft.com/office/drawing/2014/main" id="{E696E4EA-5FB3-4DA5-9726-DB2F3266DBB5}"/>
            </a:ext>
          </a:extLst>
        </xdr:cNvPr>
        <xdr:cNvSpPr/>
      </xdr:nvSpPr>
      <xdr:spPr>
        <a:xfrm>
          <a:off x="50557803" y="8143090"/>
          <a:ext cx="361728" cy="23129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71720</xdr:colOff>
      <xdr:row>40</xdr:row>
      <xdr:rowOff>35858</xdr:rowOff>
    </xdr:from>
    <xdr:to>
      <xdr:col>67</xdr:col>
      <xdr:colOff>246980</xdr:colOff>
      <xdr:row>42</xdr:row>
      <xdr:rowOff>67683</xdr:rowOff>
    </xdr:to>
    <xdr:sp macro="" textlink="">
      <xdr:nvSpPr>
        <xdr:cNvPr id="28" name="Flecha: hacia la izquierda 27">
          <a:extLst>
            <a:ext uri="{FF2B5EF4-FFF2-40B4-BE49-F238E27FC236}">
              <a16:creationId xmlns:a16="http://schemas.microsoft.com/office/drawing/2014/main" id="{C88E244D-9014-474B-A9C5-FA6236218F94}"/>
            </a:ext>
          </a:extLst>
        </xdr:cNvPr>
        <xdr:cNvSpPr/>
      </xdr:nvSpPr>
      <xdr:spPr>
        <a:xfrm rot="16200000">
          <a:off x="51448897" y="7789881"/>
          <a:ext cx="397585" cy="1752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408119</xdr:colOff>
      <xdr:row>47</xdr:row>
      <xdr:rowOff>145453</xdr:rowOff>
    </xdr:from>
    <xdr:to>
      <xdr:col>67</xdr:col>
      <xdr:colOff>537882</xdr:colOff>
      <xdr:row>49</xdr:row>
      <xdr:rowOff>116544</xdr:rowOff>
    </xdr:to>
    <xdr:sp macro="" textlink="">
      <xdr:nvSpPr>
        <xdr:cNvPr id="29" name="Flecha: hacia la izquierda 28">
          <a:extLst>
            <a:ext uri="{FF2B5EF4-FFF2-40B4-BE49-F238E27FC236}">
              <a16:creationId xmlns:a16="http://schemas.microsoft.com/office/drawing/2014/main" id="{D2E18B79-9696-4042-9B93-1FFC2460C2D8}"/>
            </a:ext>
          </a:extLst>
        </xdr:cNvPr>
        <xdr:cNvSpPr/>
      </xdr:nvSpPr>
      <xdr:spPr>
        <a:xfrm rot="5400000">
          <a:off x="51792915" y="9172017"/>
          <a:ext cx="336851" cy="12976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87</xdr:col>
      <xdr:colOff>295836</xdr:colOff>
      <xdr:row>42</xdr:row>
      <xdr:rowOff>152400</xdr:rowOff>
    </xdr:from>
    <xdr:to>
      <xdr:col>88</xdr:col>
      <xdr:colOff>492612</xdr:colOff>
      <xdr:row>44</xdr:row>
      <xdr:rowOff>1345</xdr:rowOff>
    </xdr:to>
    <xdr:sp macro="" textlink="">
      <xdr:nvSpPr>
        <xdr:cNvPr id="30" name="Flecha: hacia la izquierda 29">
          <a:extLst>
            <a:ext uri="{FF2B5EF4-FFF2-40B4-BE49-F238E27FC236}">
              <a16:creationId xmlns:a16="http://schemas.microsoft.com/office/drawing/2014/main" id="{8DF15190-191A-4130-A79C-41B6BE0E9A9E}"/>
            </a:ext>
          </a:extLst>
        </xdr:cNvPr>
        <xdr:cNvSpPr/>
      </xdr:nvSpPr>
      <xdr:spPr>
        <a:xfrm>
          <a:off x="67085136" y="8161020"/>
          <a:ext cx="989256" cy="21470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85</xdr:col>
      <xdr:colOff>246082</xdr:colOff>
      <xdr:row>43</xdr:row>
      <xdr:rowOff>164054</xdr:rowOff>
    </xdr:from>
    <xdr:to>
      <xdr:col>86</xdr:col>
      <xdr:colOff>439272</xdr:colOff>
      <xdr:row>45</xdr:row>
      <xdr:rowOff>15240</xdr:rowOff>
    </xdr:to>
    <xdr:sp macro="" textlink="">
      <xdr:nvSpPr>
        <xdr:cNvPr id="31" name="Flecha: hacia la izquierda 30">
          <a:extLst>
            <a:ext uri="{FF2B5EF4-FFF2-40B4-BE49-F238E27FC236}">
              <a16:creationId xmlns:a16="http://schemas.microsoft.com/office/drawing/2014/main" id="{BC12DC07-A6F2-4955-8E69-1595FFF3823B}"/>
            </a:ext>
          </a:extLst>
        </xdr:cNvPr>
        <xdr:cNvSpPr/>
      </xdr:nvSpPr>
      <xdr:spPr>
        <a:xfrm rot="10800000">
          <a:off x="65450422" y="8355554"/>
          <a:ext cx="985670" cy="21694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82</xdr:col>
      <xdr:colOff>510990</xdr:colOff>
      <xdr:row>42</xdr:row>
      <xdr:rowOff>143434</xdr:rowOff>
    </xdr:from>
    <xdr:to>
      <xdr:col>83</xdr:col>
      <xdr:colOff>391766</xdr:colOff>
      <xdr:row>43</xdr:row>
      <xdr:rowOff>174335</xdr:rowOff>
    </xdr:to>
    <xdr:sp macro="" textlink="">
      <xdr:nvSpPr>
        <xdr:cNvPr id="32" name="Flecha: hacia la izquierda 31">
          <a:extLst>
            <a:ext uri="{FF2B5EF4-FFF2-40B4-BE49-F238E27FC236}">
              <a16:creationId xmlns:a16="http://schemas.microsoft.com/office/drawing/2014/main" id="{842859F9-1F5D-4C9A-9FBB-65E3679D1BDB}"/>
            </a:ext>
          </a:extLst>
        </xdr:cNvPr>
        <xdr:cNvSpPr/>
      </xdr:nvSpPr>
      <xdr:spPr>
        <a:xfrm>
          <a:off x="63337890" y="8152054"/>
          <a:ext cx="673256" cy="21378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82</xdr:col>
      <xdr:colOff>640530</xdr:colOff>
      <xdr:row>43</xdr:row>
      <xdr:rowOff>164052</xdr:rowOff>
    </xdr:from>
    <xdr:to>
      <xdr:col>83</xdr:col>
      <xdr:colOff>519953</xdr:colOff>
      <xdr:row>45</xdr:row>
      <xdr:rowOff>17929</xdr:rowOff>
    </xdr:to>
    <xdr:sp macro="" textlink="">
      <xdr:nvSpPr>
        <xdr:cNvPr id="33" name="Flecha: hacia la izquierda 32">
          <a:extLst>
            <a:ext uri="{FF2B5EF4-FFF2-40B4-BE49-F238E27FC236}">
              <a16:creationId xmlns:a16="http://schemas.microsoft.com/office/drawing/2014/main" id="{BE514510-A9C0-48DE-B875-7D8B3B8126B7}"/>
            </a:ext>
          </a:extLst>
        </xdr:cNvPr>
        <xdr:cNvSpPr/>
      </xdr:nvSpPr>
      <xdr:spPr>
        <a:xfrm rot="10800000">
          <a:off x="63467430" y="8355552"/>
          <a:ext cx="671903" cy="21963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101</xdr:col>
      <xdr:colOff>143435</xdr:colOff>
      <xdr:row>9</xdr:row>
      <xdr:rowOff>116541</xdr:rowOff>
    </xdr:from>
    <xdr:to>
      <xdr:col>101</xdr:col>
      <xdr:colOff>475129</xdr:colOff>
      <xdr:row>10</xdr:row>
      <xdr:rowOff>44823</xdr:rowOff>
    </xdr:to>
    <xdr:sp macro="" textlink="">
      <xdr:nvSpPr>
        <xdr:cNvPr id="34" name="Flecha: hacia la izquierda 33">
          <a:extLst>
            <a:ext uri="{FF2B5EF4-FFF2-40B4-BE49-F238E27FC236}">
              <a16:creationId xmlns:a16="http://schemas.microsoft.com/office/drawing/2014/main" id="{A5D57F44-1D06-4D0C-BDF9-2952ACD342A9}"/>
            </a:ext>
          </a:extLst>
        </xdr:cNvPr>
        <xdr:cNvSpPr/>
      </xdr:nvSpPr>
      <xdr:spPr>
        <a:xfrm>
          <a:off x="77547395" y="1785321"/>
          <a:ext cx="331694" cy="11116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93</xdr:col>
      <xdr:colOff>102647</xdr:colOff>
      <xdr:row>12</xdr:row>
      <xdr:rowOff>8965</xdr:rowOff>
    </xdr:from>
    <xdr:to>
      <xdr:col>94</xdr:col>
      <xdr:colOff>448235</xdr:colOff>
      <xdr:row>13</xdr:row>
      <xdr:rowOff>51099</xdr:rowOff>
    </xdr:to>
    <xdr:sp macro="" textlink="">
      <xdr:nvSpPr>
        <xdr:cNvPr id="35" name="Flecha: hacia la izquierda 34">
          <a:extLst>
            <a:ext uri="{FF2B5EF4-FFF2-40B4-BE49-F238E27FC236}">
              <a16:creationId xmlns:a16="http://schemas.microsoft.com/office/drawing/2014/main" id="{6F79E899-F324-4C2E-AE79-1E9D68A5FFF5}"/>
            </a:ext>
          </a:extLst>
        </xdr:cNvPr>
        <xdr:cNvSpPr/>
      </xdr:nvSpPr>
      <xdr:spPr>
        <a:xfrm rot="10800000">
          <a:off x="71646827" y="2234005"/>
          <a:ext cx="1138068" cy="22501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91</xdr:col>
      <xdr:colOff>412153</xdr:colOff>
      <xdr:row>17</xdr:row>
      <xdr:rowOff>166967</xdr:rowOff>
    </xdr:from>
    <xdr:to>
      <xdr:col>92</xdr:col>
      <xdr:colOff>589654</xdr:colOff>
      <xdr:row>19</xdr:row>
      <xdr:rowOff>12774</xdr:rowOff>
    </xdr:to>
    <xdr:sp macro="" textlink="">
      <xdr:nvSpPr>
        <xdr:cNvPr id="36" name="Flecha: hacia la izquierda 35">
          <a:extLst>
            <a:ext uri="{FF2B5EF4-FFF2-40B4-BE49-F238E27FC236}">
              <a16:creationId xmlns:a16="http://schemas.microsoft.com/office/drawing/2014/main" id="{4A506221-96DE-47D8-B2D4-11A055BBB574}"/>
            </a:ext>
          </a:extLst>
        </xdr:cNvPr>
        <xdr:cNvSpPr/>
      </xdr:nvSpPr>
      <xdr:spPr>
        <a:xfrm rot="8856386">
          <a:off x="70371373" y="3336887"/>
          <a:ext cx="969981" cy="26490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90</xdr:col>
      <xdr:colOff>248322</xdr:colOff>
      <xdr:row>17</xdr:row>
      <xdr:rowOff>20618</xdr:rowOff>
    </xdr:from>
    <xdr:to>
      <xdr:col>91</xdr:col>
      <xdr:colOff>423582</xdr:colOff>
      <xdr:row>18</xdr:row>
      <xdr:rowOff>54684</xdr:rowOff>
    </xdr:to>
    <xdr:sp macro="" textlink="">
      <xdr:nvSpPr>
        <xdr:cNvPr id="37" name="Flecha: hacia la izquierda 36">
          <a:extLst>
            <a:ext uri="{FF2B5EF4-FFF2-40B4-BE49-F238E27FC236}">
              <a16:creationId xmlns:a16="http://schemas.microsoft.com/office/drawing/2014/main" id="{26B71616-A737-4DC0-B9D9-BCE05E438C9F}"/>
            </a:ext>
          </a:extLst>
        </xdr:cNvPr>
        <xdr:cNvSpPr/>
      </xdr:nvSpPr>
      <xdr:spPr>
        <a:xfrm rot="19656386">
          <a:off x="69415062" y="3190538"/>
          <a:ext cx="967740" cy="26266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449836</xdr:colOff>
      <xdr:row>22</xdr:row>
      <xdr:rowOff>100408</xdr:rowOff>
    </xdr:from>
    <xdr:to>
      <xdr:col>19</xdr:col>
      <xdr:colOff>762001</xdr:colOff>
      <xdr:row>23</xdr:row>
      <xdr:rowOff>98612</xdr:rowOff>
    </xdr:to>
    <xdr:sp macro="" textlink="">
      <xdr:nvSpPr>
        <xdr:cNvPr id="38" name="Flecha: doblada hacia arriba 37">
          <a:extLst>
            <a:ext uri="{FF2B5EF4-FFF2-40B4-BE49-F238E27FC236}">
              <a16:creationId xmlns:a16="http://schemas.microsoft.com/office/drawing/2014/main" id="{823D5D96-83C7-4901-8599-754B6EC6A07A}"/>
            </a:ext>
          </a:extLst>
        </xdr:cNvPr>
        <xdr:cNvSpPr/>
      </xdr:nvSpPr>
      <xdr:spPr>
        <a:xfrm rot="10800000" flipH="1">
          <a:off x="15506956" y="4382848"/>
          <a:ext cx="312165" cy="22680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392654</xdr:colOff>
      <xdr:row>21</xdr:row>
      <xdr:rowOff>59614</xdr:rowOff>
    </xdr:from>
    <xdr:to>
      <xdr:col>19</xdr:col>
      <xdr:colOff>779929</xdr:colOff>
      <xdr:row>21</xdr:row>
      <xdr:rowOff>170329</xdr:rowOff>
    </xdr:to>
    <xdr:sp macro="" textlink="">
      <xdr:nvSpPr>
        <xdr:cNvPr id="39" name="Flecha: hacia la izquierda 38">
          <a:extLst>
            <a:ext uri="{FF2B5EF4-FFF2-40B4-BE49-F238E27FC236}">
              <a16:creationId xmlns:a16="http://schemas.microsoft.com/office/drawing/2014/main" id="{2873A54B-41AE-4339-A9D8-B7C1723E8F31}"/>
            </a:ext>
          </a:extLst>
        </xdr:cNvPr>
        <xdr:cNvSpPr/>
      </xdr:nvSpPr>
      <xdr:spPr>
        <a:xfrm rot="10800000">
          <a:off x="15449774" y="4105834"/>
          <a:ext cx="387275" cy="1107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575342</xdr:colOff>
      <xdr:row>14</xdr:row>
      <xdr:rowOff>127302</xdr:rowOff>
    </xdr:from>
    <xdr:to>
      <xdr:col>21</xdr:col>
      <xdr:colOff>699248</xdr:colOff>
      <xdr:row>15</xdr:row>
      <xdr:rowOff>125507</xdr:rowOff>
    </xdr:to>
    <xdr:sp macro="" textlink="">
      <xdr:nvSpPr>
        <xdr:cNvPr id="40" name="Flecha: doblada hacia arriba 39">
          <a:extLst>
            <a:ext uri="{FF2B5EF4-FFF2-40B4-BE49-F238E27FC236}">
              <a16:creationId xmlns:a16="http://schemas.microsoft.com/office/drawing/2014/main" id="{EEBD7DDF-ACB2-473D-A824-BF3F92F434A8}"/>
            </a:ext>
          </a:extLst>
        </xdr:cNvPr>
        <xdr:cNvSpPr/>
      </xdr:nvSpPr>
      <xdr:spPr>
        <a:xfrm flipH="1">
          <a:off x="17217422" y="2725722"/>
          <a:ext cx="123906" cy="19632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347830</xdr:colOff>
      <xdr:row>16</xdr:row>
      <xdr:rowOff>41686</xdr:rowOff>
    </xdr:from>
    <xdr:to>
      <xdr:col>21</xdr:col>
      <xdr:colOff>735106</xdr:colOff>
      <xdr:row>16</xdr:row>
      <xdr:rowOff>143435</xdr:rowOff>
    </xdr:to>
    <xdr:sp macro="" textlink="">
      <xdr:nvSpPr>
        <xdr:cNvPr id="41" name="Flecha: hacia la izquierda 40">
          <a:extLst>
            <a:ext uri="{FF2B5EF4-FFF2-40B4-BE49-F238E27FC236}">
              <a16:creationId xmlns:a16="http://schemas.microsoft.com/office/drawing/2014/main" id="{3DA03FC8-C9CA-4B0B-8CF6-F91E01832FCD}"/>
            </a:ext>
          </a:extLst>
        </xdr:cNvPr>
        <xdr:cNvSpPr/>
      </xdr:nvSpPr>
      <xdr:spPr>
        <a:xfrm>
          <a:off x="16989910" y="3028726"/>
          <a:ext cx="387276" cy="10174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322730</xdr:colOff>
      <xdr:row>24</xdr:row>
      <xdr:rowOff>35859</xdr:rowOff>
    </xdr:from>
    <xdr:to>
      <xdr:col>21</xdr:col>
      <xdr:colOff>535417</xdr:colOff>
      <xdr:row>27</xdr:row>
      <xdr:rowOff>32049</xdr:rowOff>
    </xdr:to>
    <xdr:sp macro="" textlink="">
      <xdr:nvSpPr>
        <xdr:cNvPr id="42" name="Flecha: hacia la izquierda 41">
          <a:extLst>
            <a:ext uri="{FF2B5EF4-FFF2-40B4-BE49-F238E27FC236}">
              <a16:creationId xmlns:a16="http://schemas.microsoft.com/office/drawing/2014/main" id="{38985CEC-7D31-4110-A9BA-455B89D6800A}"/>
            </a:ext>
          </a:extLst>
        </xdr:cNvPr>
        <xdr:cNvSpPr/>
      </xdr:nvSpPr>
      <xdr:spPr>
        <a:xfrm rot="5400000">
          <a:off x="16798739" y="4918710"/>
          <a:ext cx="544830" cy="21268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289203</xdr:colOff>
      <xdr:row>26</xdr:row>
      <xdr:rowOff>120668</xdr:rowOff>
    </xdr:from>
    <xdr:to>
      <xdr:col>20</xdr:col>
      <xdr:colOff>672358</xdr:colOff>
      <xdr:row>28</xdr:row>
      <xdr:rowOff>8966</xdr:rowOff>
    </xdr:to>
    <xdr:sp macro="" textlink="">
      <xdr:nvSpPr>
        <xdr:cNvPr id="43" name="Flecha: doblada hacia arriba 42">
          <a:extLst>
            <a:ext uri="{FF2B5EF4-FFF2-40B4-BE49-F238E27FC236}">
              <a16:creationId xmlns:a16="http://schemas.microsoft.com/office/drawing/2014/main" id="{04414F65-4C72-49E6-B774-A27EB2ADF12F}"/>
            </a:ext>
          </a:extLst>
        </xdr:cNvPr>
        <xdr:cNvSpPr/>
      </xdr:nvSpPr>
      <xdr:spPr>
        <a:xfrm rot="16200000">
          <a:off x="16203352" y="5138659"/>
          <a:ext cx="254058" cy="38315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35</xdr:col>
      <xdr:colOff>134471</xdr:colOff>
      <xdr:row>16</xdr:row>
      <xdr:rowOff>143434</xdr:rowOff>
    </xdr:from>
    <xdr:to>
      <xdr:col>35</xdr:col>
      <xdr:colOff>439271</xdr:colOff>
      <xdr:row>17</xdr:row>
      <xdr:rowOff>134469</xdr:rowOff>
    </xdr:to>
    <xdr:sp macro="" textlink="">
      <xdr:nvSpPr>
        <xdr:cNvPr id="44" name="Flecha: hacia la izquierda 43">
          <a:extLst>
            <a:ext uri="{FF2B5EF4-FFF2-40B4-BE49-F238E27FC236}">
              <a16:creationId xmlns:a16="http://schemas.microsoft.com/office/drawing/2014/main" id="{C4901BD8-A14E-41CF-88C6-CAED5B7FA8F2}"/>
            </a:ext>
          </a:extLst>
        </xdr:cNvPr>
        <xdr:cNvSpPr/>
      </xdr:nvSpPr>
      <xdr:spPr>
        <a:xfrm>
          <a:off x="27497891" y="3130474"/>
          <a:ext cx="304800" cy="1739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35</xdr:col>
      <xdr:colOff>143979</xdr:colOff>
      <xdr:row>17</xdr:row>
      <xdr:rowOff>154284</xdr:rowOff>
    </xdr:from>
    <xdr:to>
      <xdr:col>35</xdr:col>
      <xdr:colOff>412377</xdr:colOff>
      <xdr:row>19</xdr:row>
      <xdr:rowOff>71718</xdr:rowOff>
    </xdr:to>
    <xdr:sp macro="" textlink="">
      <xdr:nvSpPr>
        <xdr:cNvPr id="45" name="Flecha: doblada hacia arriba 44">
          <a:extLst>
            <a:ext uri="{FF2B5EF4-FFF2-40B4-BE49-F238E27FC236}">
              <a16:creationId xmlns:a16="http://schemas.microsoft.com/office/drawing/2014/main" id="{93212495-AC13-4D2E-9017-93E1B4457F44}"/>
            </a:ext>
          </a:extLst>
        </xdr:cNvPr>
        <xdr:cNvSpPr/>
      </xdr:nvSpPr>
      <xdr:spPr>
        <a:xfrm rot="10800000">
          <a:off x="27507399" y="3324204"/>
          <a:ext cx="268398" cy="33653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282390</xdr:colOff>
      <xdr:row>8</xdr:row>
      <xdr:rowOff>147918</xdr:rowOff>
    </xdr:from>
    <xdr:to>
      <xdr:col>32</xdr:col>
      <xdr:colOff>452719</xdr:colOff>
      <xdr:row>10</xdr:row>
      <xdr:rowOff>94129</xdr:rowOff>
    </xdr:to>
    <xdr:sp macro="" textlink="">
      <xdr:nvSpPr>
        <xdr:cNvPr id="46" name="Flecha: hacia la izquierda 45">
          <a:extLst>
            <a:ext uri="{FF2B5EF4-FFF2-40B4-BE49-F238E27FC236}">
              <a16:creationId xmlns:a16="http://schemas.microsoft.com/office/drawing/2014/main" id="{2293C5D0-7E6E-4008-87F7-F95408555148}"/>
            </a:ext>
          </a:extLst>
        </xdr:cNvPr>
        <xdr:cNvSpPr/>
      </xdr:nvSpPr>
      <xdr:spPr>
        <a:xfrm rot="16200000">
          <a:off x="25567119" y="1700829"/>
          <a:ext cx="319591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530132</xdr:colOff>
      <xdr:row>8</xdr:row>
      <xdr:rowOff>126723</xdr:rowOff>
    </xdr:from>
    <xdr:to>
      <xdr:col>33</xdr:col>
      <xdr:colOff>232414</xdr:colOff>
      <xdr:row>10</xdr:row>
      <xdr:rowOff>36532</xdr:rowOff>
    </xdr:to>
    <xdr:sp macro="" textlink="">
      <xdr:nvSpPr>
        <xdr:cNvPr id="47" name="Flecha: doblada hacia arriba 46">
          <a:extLst>
            <a:ext uri="{FF2B5EF4-FFF2-40B4-BE49-F238E27FC236}">
              <a16:creationId xmlns:a16="http://schemas.microsoft.com/office/drawing/2014/main" id="{BC4225C4-18FD-458B-B63E-2953073776CC}"/>
            </a:ext>
          </a:extLst>
        </xdr:cNvPr>
        <xdr:cNvSpPr/>
      </xdr:nvSpPr>
      <xdr:spPr>
        <a:xfrm rot="5400000">
          <a:off x="25892408" y="1602087"/>
          <a:ext cx="283189" cy="289022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762002</xdr:colOff>
      <xdr:row>9</xdr:row>
      <xdr:rowOff>19150</xdr:rowOff>
    </xdr:from>
    <xdr:to>
      <xdr:col>32</xdr:col>
      <xdr:colOff>189474</xdr:colOff>
      <xdr:row>10</xdr:row>
      <xdr:rowOff>44825</xdr:rowOff>
    </xdr:to>
    <xdr:sp macro="" textlink="">
      <xdr:nvSpPr>
        <xdr:cNvPr id="48" name="Flecha: doblada hacia arriba 47">
          <a:extLst>
            <a:ext uri="{FF2B5EF4-FFF2-40B4-BE49-F238E27FC236}">
              <a16:creationId xmlns:a16="http://schemas.microsoft.com/office/drawing/2014/main" id="{4EFB9D68-E718-48AD-9CF7-A43F41A0140D}"/>
            </a:ext>
          </a:extLst>
        </xdr:cNvPr>
        <xdr:cNvSpPr/>
      </xdr:nvSpPr>
      <xdr:spPr>
        <a:xfrm rot="5400000" flipV="1">
          <a:off x="25334580" y="1682232"/>
          <a:ext cx="208555" cy="219952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33</xdr:col>
      <xdr:colOff>201709</xdr:colOff>
      <xdr:row>27</xdr:row>
      <xdr:rowOff>103094</xdr:rowOff>
    </xdr:from>
    <xdr:to>
      <xdr:col>33</xdr:col>
      <xdr:colOff>372038</xdr:colOff>
      <xdr:row>29</xdr:row>
      <xdr:rowOff>49306</xdr:rowOff>
    </xdr:to>
    <xdr:sp macro="" textlink="">
      <xdr:nvSpPr>
        <xdr:cNvPr id="49" name="Flecha: hacia la izquierda 48">
          <a:extLst>
            <a:ext uri="{FF2B5EF4-FFF2-40B4-BE49-F238E27FC236}">
              <a16:creationId xmlns:a16="http://schemas.microsoft.com/office/drawing/2014/main" id="{3A81AF88-0DBA-41C6-9BA8-18AF4CCA3FE4}"/>
            </a:ext>
          </a:extLst>
        </xdr:cNvPr>
        <xdr:cNvSpPr/>
      </xdr:nvSpPr>
      <xdr:spPr>
        <a:xfrm rot="5400000">
          <a:off x="26076988" y="5439335"/>
          <a:ext cx="311972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33</xdr:col>
      <xdr:colOff>591673</xdr:colOff>
      <xdr:row>28</xdr:row>
      <xdr:rowOff>28114</xdr:rowOff>
    </xdr:from>
    <xdr:to>
      <xdr:col>34</xdr:col>
      <xdr:colOff>180510</xdr:colOff>
      <xdr:row>29</xdr:row>
      <xdr:rowOff>53790</xdr:rowOff>
    </xdr:to>
    <xdr:sp macro="" textlink="">
      <xdr:nvSpPr>
        <xdr:cNvPr id="50" name="Flecha: doblada hacia arriba 49">
          <a:extLst>
            <a:ext uri="{FF2B5EF4-FFF2-40B4-BE49-F238E27FC236}">
              <a16:creationId xmlns:a16="http://schemas.microsoft.com/office/drawing/2014/main" id="{4D7B90CC-2C7C-40DC-A094-44F4AD7B89FA}"/>
            </a:ext>
          </a:extLst>
        </xdr:cNvPr>
        <xdr:cNvSpPr/>
      </xdr:nvSpPr>
      <xdr:spPr>
        <a:xfrm rot="16200000" flipV="1">
          <a:off x="26540334" y="5473853"/>
          <a:ext cx="208556" cy="21367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304803</xdr:colOff>
      <xdr:row>27</xdr:row>
      <xdr:rowOff>126723</xdr:rowOff>
    </xdr:from>
    <xdr:to>
      <xdr:col>32</xdr:col>
      <xdr:colOff>528917</xdr:colOff>
      <xdr:row>29</xdr:row>
      <xdr:rowOff>98610</xdr:rowOff>
    </xdr:to>
    <xdr:sp macro="" textlink="">
      <xdr:nvSpPr>
        <xdr:cNvPr id="51" name="Flecha: doblada hacia arriba 50">
          <a:extLst>
            <a:ext uri="{FF2B5EF4-FFF2-40B4-BE49-F238E27FC236}">
              <a16:creationId xmlns:a16="http://schemas.microsoft.com/office/drawing/2014/main" id="{A50BAF5D-87B2-471E-87CA-91C3630129F9}"/>
            </a:ext>
          </a:extLst>
        </xdr:cNvPr>
        <xdr:cNvSpPr/>
      </xdr:nvSpPr>
      <xdr:spPr>
        <a:xfrm rot="16200000">
          <a:off x="25607396" y="5448910"/>
          <a:ext cx="337647" cy="2241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188261</xdr:colOff>
      <xdr:row>19</xdr:row>
      <xdr:rowOff>1</xdr:rowOff>
    </xdr:from>
    <xdr:to>
      <xdr:col>31</xdr:col>
      <xdr:colOff>493061</xdr:colOff>
      <xdr:row>19</xdr:row>
      <xdr:rowOff>170330</xdr:rowOff>
    </xdr:to>
    <xdr:sp macro="" textlink="">
      <xdr:nvSpPr>
        <xdr:cNvPr id="52" name="Flecha: hacia la izquierda 51">
          <a:extLst>
            <a:ext uri="{FF2B5EF4-FFF2-40B4-BE49-F238E27FC236}">
              <a16:creationId xmlns:a16="http://schemas.microsoft.com/office/drawing/2014/main" id="{B8E099B9-5EE4-40EB-871B-04C54A367CFC}"/>
            </a:ext>
          </a:extLst>
        </xdr:cNvPr>
        <xdr:cNvSpPr/>
      </xdr:nvSpPr>
      <xdr:spPr>
        <a:xfrm rot="10800000">
          <a:off x="24755141" y="3589021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229820</xdr:colOff>
      <xdr:row>19</xdr:row>
      <xdr:rowOff>174816</xdr:rowOff>
    </xdr:from>
    <xdr:to>
      <xdr:col>31</xdr:col>
      <xdr:colOff>434790</xdr:colOff>
      <xdr:row>21</xdr:row>
      <xdr:rowOff>32595</xdr:rowOff>
    </xdr:to>
    <xdr:sp macro="" textlink="">
      <xdr:nvSpPr>
        <xdr:cNvPr id="53" name="Flecha: doblada hacia arriba 52">
          <a:extLst>
            <a:ext uri="{FF2B5EF4-FFF2-40B4-BE49-F238E27FC236}">
              <a16:creationId xmlns:a16="http://schemas.microsoft.com/office/drawing/2014/main" id="{8FFB24E8-9598-4E65-99AC-D33BBCFC8CB3}"/>
            </a:ext>
          </a:extLst>
        </xdr:cNvPr>
        <xdr:cNvSpPr/>
      </xdr:nvSpPr>
      <xdr:spPr>
        <a:xfrm flipV="1">
          <a:off x="24796700" y="3763836"/>
          <a:ext cx="204970" cy="31497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170941</xdr:colOff>
      <xdr:row>17</xdr:row>
      <xdr:rowOff>54398</xdr:rowOff>
    </xdr:from>
    <xdr:to>
      <xdr:col>31</xdr:col>
      <xdr:colOff>501415</xdr:colOff>
      <xdr:row>18</xdr:row>
      <xdr:rowOff>99218</xdr:rowOff>
    </xdr:to>
    <xdr:sp macro="" textlink="">
      <xdr:nvSpPr>
        <xdr:cNvPr id="54" name="Flecha: doblada hacia arriba 53">
          <a:extLst>
            <a:ext uri="{FF2B5EF4-FFF2-40B4-BE49-F238E27FC236}">
              <a16:creationId xmlns:a16="http://schemas.microsoft.com/office/drawing/2014/main" id="{50EAD399-45C9-40E7-AB72-34E1C571D64E}"/>
            </a:ext>
          </a:extLst>
        </xdr:cNvPr>
        <xdr:cNvSpPr/>
      </xdr:nvSpPr>
      <xdr:spPr>
        <a:xfrm>
          <a:off x="24737821" y="3224318"/>
          <a:ext cx="330474" cy="27342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336178</xdr:colOff>
      <xdr:row>25</xdr:row>
      <xdr:rowOff>53789</xdr:rowOff>
    </xdr:from>
    <xdr:to>
      <xdr:col>62</xdr:col>
      <xdr:colOff>506507</xdr:colOff>
      <xdr:row>27</xdr:row>
      <xdr:rowOff>1</xdr:rowOff>
    </xdr:to>
    <xdr:sp macro="" textlink="">
      <xdr:nvSpPr>
        <xdr:cNvPr id="55" name="Flecha: hacia la izquierda 54">
          <a:extLst>
            <a:ext uri="{FF2B5EF4-FFF2-40B4-BE49-F238E27FC236}">
              <a16:creationId xmlns:a16="http://schemas.microsoft.com/office/drawing/2014/main" id="{8868D03F-D03F-43CF-863D-C983F4CAE2D1}"/>
            </a:ext>
          </a:extLst>
        </xdr:cNvPr>
        <xdr:cNvSpPr/>
      </xdr:nvSpPr>
      <xdr:spPr>
        <a:xfrm rot="5400000">
          <a:off x="47943697" y="5024270"/>
          <a:ext cx="311972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63</xdr:col>
      <xdr:colOff>152400</xdr:colOff>
      <xdr:row>25</xdr:row>
      <xdr:rowOff>32595</xdr:rowOff>
    </xdr:from>
    <xdr:to>
      <xdr:col>63</xdr:col>
      <xdr:colOff>368766</xdr:colOff>
      <xdr:row>26</xdr:row>
      <xdr:rowOff>58271</xdr:rowOff>
    </xdr:to>
    <xdr:sp macro="" textlink="">
      <xdr:nvSpPr>
        <xdr:cNvPr id="56" name="Flecha: doblada hacia arriba 55">
          <a:extLst>
            <a:ext uri="{FF2B5EF4-FFF2-40B4-BE49-F238E27FC236}">
              <a16:creationId xmlns:a16="http://schemas.microsoft.com/office/drawing/2014/main" id="{123BB5E5-70ED-4086-9D9C-17E40E33D193}"/>
            </a:ext>
          </a:extLst>
        </xdr:cNvPr>
        <xdr:cNvSpPr/>
      </xdr:nvSpPr>
      <xdr:spPr>
        <a:xfrm rot="16200000" flipV="1">
          <a:off x="48627125" y="4928350"/>
          <a:ext cx="208556" cy="21636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367555</xdr:colOff>
      <xdr:row>25</xdr:row>
      <xdr:rowOff>5698</xdr:rowOff>
    </xdr:from>
    <xdr:to>
      <xdr:col>61</xdr:col>
      <xdr:colOff>591669</xdr:colOff>
      <xdr:row>26</xdr:row>
      <xdr:rowOff>156879</xdr:rowOff>
    </xdr:to>
    <xdr:sp macro="" textlink="">
      <xdr:nvSpPr>
        <xdr:cNvPr id="57" name="Flecha: doblada hacia arriba 56">
          <a:extLst>
            <a:ext uri="{FF2B5EF4-FFF2-40B4-BE49-F238E27FC236}">
              <a16:creationId xmlns:a16="http://schemas.microsoft.com/office/drawing/2014/main" id="{AB2650F9-28DD-4924-9ACB-C96C8FB612EF}"/>
            </a:ext>
          </a:extLst>
        </xdr:cNvPr>
        <xdr:cNvSpPr/>
      </xdr:nvSpPr>
      <xdr:spPr>
        <a:xfrm rot="16200000">
          <a:off x="47198441" y="4960332"/>
          <a:ext cx="334061" cy="2241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158099</xdr:colOff>
      <xdr:row>21</xdr:row>
      <xdr:rowOff>98616</xdr:rowOff>
    </xdr:from>
    <xdr:to>
      <xdr:col>61</xdr:col>
      <xdr:colOff>363069</xdr:colOff>
      <xdr:row>22</xdr:row>
      <xdr:rowOff>126723</xdr:rowOff>
    </xdr:to>
    <xdr:sp macro="" textlink="">
      <xdr:nvSpPr>
        <xdr:cNvPr id="58" name="Flecha: doblada hacia arriba 57">
          <a:extLst>
            <a:ext uri="{FF2B5EF4-FFF2-40B4-BE49-F238E27FC236}">
              <a16:creationId xmlns:a16="http://schemas.microsoft.com/office/drawing/2014/main" id="{6E25A675-786C-4F41-A0E9-B426FD9B4553}"/>
            </a:ext>
          </a:extLst>
        </xdr:cNvPr>
        <xdr:cNvSpPr/>
      </xdr:nvSpPr>
      <xdr:spPr>
        <a:xfrm flipV="1">
          <a:off x="47043959" y="4144836"/>
          <a:ext cx="204970" cy="26432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71719</xdr:colOff>
      <xdr:row>20</xdr:row>
      <xdr:rowOff>67236</xdr:rowOff>
    </xdr:from>
    <xdr:to>
      <xdr:col>61</xdr:col>
      <xdr:colOff>376519</xdr:colOff>
      <xdr:row>21</xdr:row>
      <xdr:rowOff>58271</xdr:rowOff>
    </xdr:to>
    <xdr:sp macro="" textlink="">
      <xdr:nvSpPr>
        <xdr:cNvPr id="59" name="Flecha: hacia la izquierda 58">
          <a:extLst>
            <a:ext uri="{FF2B5EF4-FFF2-40B4-BE49-F238E27FC236}">
              <a16:creationId xmlns:a16="http://schemas.microsoft.com/office/drawing/2014/main" id="{78A53450-8E4A-48E2-809D-809D4792AA0F}"/>
            </a:ext>
          </a:extLst>
        </xdr:cNvPr>
        <xdr:cNvSpPr/>
      </xdr:nvSpPr>
      <xdr:spPr>
        <a:xfrm rot="10800000">
          <a:off x="46957579" y="3884856"/>
          <a:ext cx="304800" cy="2196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89644</xdr:colOff>
      <xdr:row>19</xdr:row>
      <xdr:rowOff>40341</xdr:rowOff>
    </xdr:from>
    <xdr:to>
      <xdr:col>61</xdr:col>
      <xdr:colOff>394444</xdr:colOff>
      <xdr:row>20</xdr:row>
      <xdr:rowOff>31376</xdr:rowOff>
    </xdr:to>
    <xdr:sp macro="" textlink="">
      <xdr:nvSpPr>
        <xdr:cNvPr id="60" name="Flecha: hacia la izquierda 59">
          <a:extLst>
            <a:ext uri="{FF2B5EF4-FFF2-40B4-BE49-F238E27FC236}">
              <a16:creationId xmlns:a16="http://schemas.microsoft.com/office/drawing/2014/main" id="{FE29046F-73E2-4C37-9153-B6BF27C36F2A}"/>
            </a:ext>
          </a:extLst>
        </xdr:cNvPr>
        <xdr:cNvSpPr/>
      </xdr:nvSpPr>
      <xdr:spPr>
        <a:xfrm rot="10800000">
          <a:off x="46975504" y="3629361"/>
          <a:ext cx="304800" cy="2196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64</xdr:col>
      <xdr:colOff>220852</xdr:colOff>
      <xdr:row>18</xdr:row>
      <xdr:rowOff>72934</xdr:rowOff>
    </xdr:from>
    <xdr:to>
      <xdr:col>64</xdr:col>
      <xdr:colOff>394447</xdr:colOff>
      <xdr:row>19</xdr:row>
      <xdr:rowOff>35858</xdr:rowOff>
    </xdr:to>
    <xdr:sp macro="" textlink="">
      <xdr:nvSpPr>
        <xdr:cNvPr id="61" name="Flecha: doblada hacia arriba 60">
          <a:extLst>
            <a:ext uri="{FF2B5EF4-FFF2-40B4-BE49-F238E27FC236}">
              <a16:creationId xmlns:a16="http://schemas.microsoft.com/office/drawing/2014/main" id="{1DDF2C1C-9FF2-4C8E-9711-475AEE9A725F}"/>
            </a:ext>
          </a:extLst>
        </xdr:cNvPr>
        <xdr:cNvSpPr/>
      </xdr:nvSpPr>
      <xdr:spPr>
        <a:xfrm rot="10800000">
          <a:off x="49484152" y="3471454"/>
          <a:ext cx="173595" cy="15342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64</xdr:col>
      <xdr:colOff>161366</xdr:colOff>
      <xdr:row>16</xdr:row>
      <xdr:rowOff>156882</xdr:rowOff>
    </xdr:from>
    <xdr:to>
      <xdr:col>64</xdr:col>
      <xdr:colOff>466166</xdr:colOff>
      <xdr:row>17</xdr:row>
      <xdr:rowOff>147917</xdr:rowOff>
    </xdr:to>
    <xdr:sp macro="" textlink="">
      <xdr:nvSpPr>
        <xdr:cNvPr id="62" name="Flecha: hacia la izquierda 61">
          <a:extLst>
            <a:ext uri="{FF2B5EF4-FFF2-40B4-BE49-F238E27FC236}">
              <a16:creationId xmlns:a16="http://schemas.microsoft.com/office/drawing/2014/main" id="{7450DB5B-9770-4C58-B2A7-D12E5C62937F}"/>
            </a:ext>
          </a:extLst>
        </xdr:cNvPr>
        <xdr:cNvSpPr/>
      </xdr:nvSpPr>
      <xdr:spPr>
        <a:xfrm>
          <a:off x="49424666" y="3143922"/>
          <a:ext cx="304800" cy="1739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78</xdr:col>
      <xdr:colOff>196198</xdr:colOff>
      <xdr:row>3</xdr:row>
      <xdr:rowOff>102070</xdr:rowOff>
    </xdr:from>
    <xdr:to>
      <xdr:col>78</xdr:col>
      <xdr:colOff>347381</xdr:colOff>
      <xdr:row>4</xdr:row>
      <xdr:rowOff>96371</xdr:rowOff>
    </xdr:to>
    <xdr:sp macro="" textlink="">
      <xdr:nvSpPr>
        <xdr:cNvPr id="63" name="Flecha: doblada hacia arriba 62">
          <a:extLst>
            <a:ext uri="{FF2B5EF4-FFF2-40B4-BE49-F238E27FC236}">
              <a16:creationId xmlns:a16="http://schemas.microsoft.com/office/drawing/2014/main" id="{539BF1DA-D064-4FC4-ABCF-7A7ED13AD797}"/>
            </a:ext>
          </a:extLst>
        </xdr:cNvPr>
        <xdr:cNvSpPr/>
      </xdr:nvSpPr>
      <xdr:spPr>
        <a:xfrm rot="5400000">
          <a:off x="60015439" y="663709"/>
          <a:ext cx="177181" cy="15118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77</xdr:col>
      <xdr:colOff>237565</xdr:colOff>
      <xdr:row>3</xdr:row>
      <xdr:rowOff>40341</xdr:rowOff>
    </xdr:from>
    <xdr:to>
      <xdr:col>77</xdr:col>
      <xdr:colOff>407894</xdr:colOff>
      <xdr:row>4</xdr:row>
      <xdr:rowOff>165848</xdr:rowOff>
    </xdr:to>
    <xdr:sp macro="" textlink="">
      <xdr:nvSpPr>
        <xdr:cNvPr id="64" name="Flecha: hacia la izquierda 63">
          <a:extLst>
            <a:ext uri="{FF2B5EF4-FFF2-40B4-BE49-F238E27FC236}">
              <a16:creationId xmlns:a16="http://schemas.microsoft.com/office/drawing/2014/main" id="{5F887887-EF7C-47B4-89AC-079853C9EA89}"/>
            </a:ext>
          </a:extLst>
        </xdr:cNvPr>
        <xdr:cNvSpPr/>
      </xdr:nvSpPr>
      <xdr:spPr>
        <a:xfrm rot="16200000">
          <a:off x="59414036" y="658010"/>
          <a:ext cx="308387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78</xdr:col>
      <xdr:colOff>192741</xdr:colOff>
      <xdr:row>19</xdr:row>
      <xdr:rowOff>13446</xdr:rowOff>
    </xdr:from>
    <xdr:to>
      <xdr:col>78</xdr:col>
      <xdr:colOff>403411</xdr:colOff>
      <xdr:row>20</xdr:row>
      <xdr:rowOff>161364</xdr:rowOff>
    </xdr:to>
    <xdr:sp macro="" textlink="">
      <xdr:nvSpPr>
        <xdr:cNvPr id="65" name="Flecha: hacia la izquierda 64">
          <a:extLst>
            <a:ext uri="{FF2B5EF4-FFF2-40B4-BE49-F238E27FC236}">
              <a16:creationId xmlns:a16="http://schemas.microsoft.com/office/drawing/2014/main" id="{146CA0DD-1F20-4A57-B300-1BF868483EC3}"/>
            </a:ext>
          </a:extLst>
        </xdr:cNvPr>
        <xdr:cNvSpPr/>
      </xdr:nvSpPr>
      <xdr:spPr>
        <a:xfrm rot="5400000">
          <a:off x="59942057" y="3685390"/>
          <a:ext cx="376518" cy="21067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77</xdr:col>
      <xdr:colOff>294810</xdr:colOff>
      <xdr:row>19</xdr:row>
      <xdr:rowOff>26895</xdr:rowOff>
    </xdr:from>
    <xdr:to>
      <xdr:col>77</xdr:col>
      <xdr:colOff>457200</xdr:colOff>
      <xdr:row>20</xdr:row>
      <xdr:rowOff>150160</xdr:rowOff>
    </xdr:to>
    <xdr:sp macro="" textlink="">
      <xdr:nvSpPr>
        <xdr:cNvPr id="66" name="Flecha: doblada hacia arriba 65">
          <a:extLst>
            <a:ext uri="{FF2B5EF4-FFF2-40B4-BE49-F238E27FC236}">
              <a16:creationId xmlns:a16="http://schemas.microsoft.com/office/drawing/2014/main" id="{8A810BA2-4E5F-4807-B5BF-894B81887496}"/>
            </a:ext>
          </a:extLst>
        </xdr:cNvPr>
        <xdr:cNvSpPr/>
      </xdr:nvSpPr>
      <xdr:spPr>
        <a:xfrm rot="16200000">
          <a:off x="59445572" y="3710653"/>
          <a:ext cx="351865" cy="16239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79</xdr:col>
      <xdr:colOff>224117</xdr:colOff>
      <xdr:row>19</xdr:row>
      <xdr:rowOff>26895</xdr:rowOff>
    </xdr:from>
    <xdr:to>
      <xdr:col>79</xdr:col>
      <xdr:colOff>367555</xdr:colOff>
      <xdr:row>20</xdr:row>
      <xdr:rowOff>134470</xdr:rowOff>
    </xdr:to>
    <xdr:sp macro="" textlink="">
      <xdr:nvSpPr>
        <xdr:cNvPr id="67" name="Flecha: doblada hacia arriba 66">
          <a:extLst>
            <a:ext uri="{FF2B5EF4-FFF2-40B4-BE49-F238E27FC236}">
              <a16:creationId xmlns:a16="http://schemas.microsoft.com/office/drawing/2014/main" id="{C3D4608A-003B-466B-B433-2F590FD5B2DB}"/>
            </a:ext>
          </a:extLst>
        </xdr:cNvPr>
        <xdr:cNvSpPr/>
      </xdr:nvSpPr>
      <xdr:spPr>
        <a:xfrm rot="16200000" flipV="1">
          <a:off x="60577208" y="3712284"/>
          <a:ext cx="336175" cy="143438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75</xdr:col>
      <xdr:colOff>394448</xdr:colOff>
      <xdr:row>11</xdr:row>
      <xdr:rowOff>44823</xdr:rowOff>
    </xdr:from>
    <xdr:to>
      <xdr:col>75</xdr:col>
      <xdr:colOff>721660</xdr:colOff>
      <xdr:row>12</xdr:row>
      <xdr:rowOff>76199</xdr:rowOff>
    </xdr:to>
    <xdr:sp macro="" textlink="">
      <xdr:nvSpPr>
        <xdr:cNvPr id="68" name="Flecha: hacia la izquierda 67">
          <a:extLst>
            <a:ext uri="{FF2B5EF4-FFF2-40B4-BE49-F238E27FC236}">
              <a16:creationId xmlns:a16="http://schemas.microsoft.com/office/drawing/2014/main" id="{2C71C7DC-B1B6-466A-8CC9-2AAF9DB67902}"/>
            </a:ext>
          </a:extLst>
        </xdr:cNvPr>
        <xdr:cNvSpPr/>
      </xdr:nvSpPr>
      <xdr:spPr>
        <a:xfrm rot="10800000">
          <a:off x="58054988" y="2086983"/>
          <a:ext cx="327212" cy="21425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75</xdr:col>
      <xdr:colOff>430914</xdr:colOff>
      <xdr:row>9</xdr:row>
      <xdr:rowOff>123875</xdr:rowOff>
    </xdr:from>
    <xdr:to>
      <xdr:col>75</xdr:col>
      <xdr:colOff>733473</xdr:colOff>
      <xdr:row>10</xdr:row>
      <xdr:rowOff>106971</xdr:rowOff>
    </xdr:to>
    <xdr:sp macro="" textlink="">
      <xdr:nvSpPr>
        <xdr:cNvPr id="69" name="Flecha: doblada hacia arriba 68">
          <a:extLst>
            <a:ext uri="{FF2B5EF4-FFF2-40B4-BE49-F238E27FC236}">
              <a16:creationId xmlns:a16="http://schemas.microsoft.com/office/drawing/2014/main" id="{9712D489-B298-42BB-9C6B-68EAC9DD4FE4}"/>
            </a:ext>
          </a:extLst>
        </xdr:cNvPr>
        <xdr:cNvSpPr/>
      </xdr:nvSpPr>
      <xdr:spPr>
        <a:xfrm>
          <a:off x="58091454" y="1792655"/>
          <a:ext cx="302559" cy="16597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90</xdr:col>
      <xdr:colOff>89648</xdr:colOff>
      <xdr:row>9</xdr:row>
      <xdr:rowOff>125504</xdr:rowOff>
    </xdr:from>
    <xdr:to>
      <xdr:col>90</xdr:col>
      <xdr:colOff>439270</xdr:colOff>
      <xdr:row>10</xdr:row>
      <xdr:rowOff>80681</xdr:rowOff>
    </xdr:to>
    <xdr:sp macro="" textlink="">
      <xdr:nvSpPr>
        <xdr:cNvPr id="70" name="Flecha: doblada hacia arriba 69">
          <a:extLst>
            <a:ext uri="{FF2B5EF4-FFF2-40B4-BE49-F238E27FC236}">
              <a16:creationId xmlns:a16="http://schemas.microsoft.com/office/drawing/2014/main" id="{C69947F4-DD19-45D1-97C3-32068DBD08F4}"/>
            </a:ext>
          </a:extLst>
        </xdr:cNvPr>
        <xdr:cNvSpPr/>
      </xdr:nvSpPr>
      <xdr:spPr>
        <a:xfrm>
          <a:off x="69256388" y="1794284"/>
          <a:ext cx="349622" cy="13805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776662</xdr:colOff>
      <xdr:row>13</xdr:row>
      <xdr:rowOff>85167</xdr:rowOff>
    </xdr:from>
    <xdr:to>
      <xdr:col>98</xdr:col>
      <xdr:colOff>192738</xdr:colOff>
      <xdr:row>14</xdr:row>
      <xdr:rowOff>113274</xdr:rowOff>
    </xdr:to>
    <xdr:sp macro="" textlink="">
      <xdr:nvSpPr>
        <xdr:cNvPr id="71" name="Flecha: doblada hacia arriba 70">
          <a:extLst>
            <a:ext uri="{FF2B5EF4-FFF2-40B4-BE49-F238E27FC236}">
              <a16:creationId xmlns:a16="http://schemas.microsoft.com/office/drawing/2014/main" id="{37BDA539-DA57-4515-B484-928C856F0F79}"/>
            </a:ext>
          </a:extLst>
        </xdr:cNvPr>
        <xdr:cNvSpPr/>
      </xdr:nvSpPr>
      <xdr:spPr>
        <a:xfrm flipV="1">
          <a:off x="75490762" y="2493087"/>
          <a:ext cx="208556" cy="21860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753036</xdr:colOff>
      <xdr:row>12</xdr:row>
      <xdr:rowOff>26894</xdr:rowOff>
    </xdr:from>
    <xdr:to>
      <xdr:col>98</xdr:col>
      <xdr:colOff>268942</xdr:colOff>
      <xdr:row>13</xdr:row>
      <xdr:rowOff>17929</xdr:rowOff>
    </xdr:to>
    <xdr:sp macro="" textlink="">
      <xdr:nvSpPr>
        <xdr:cNvPr id="72" name="Flecha: hacia la izquierda 71">
          <a:extLst>
            <a:ext uri="{FF2B5EF4-FFF2-40B4-BE49-F238E27FC236}">
              <a16:creationId xmlns:a16="http://schemas.microsoft.com/office/drawing/2014/main" id="{F48C1C89-951B-4603-A26A-687864A66971}"/>
            </a:ext>
          </a:extLst>
        </xdr:cNvPr>
        <xdr:cNvSpPr/>
      </xdr:nvSpPr>
      <xdr:spPr>
        <a:xfrm rot="10800000">
          <a:off x="75467136" y="2251934"/>
          <a:ext cx="308386" cy="1739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776662</xdr:colOff>
      <xdr:row>10</xdr:row>
      <xdr:rowOff>98611</xdr:rowOff>
    </xdr:from>
    <xdr:to>
      <xdr:col>98</xdr:col>
      <xdr:colOff>233082</xdr:colOff>
      <xdr:row>11</xdr:row>
      <xdr:rowOff>103096</xdr:rowOff>
    </xdr:to>
    <xdr:sp macro="" textlink="">
      <xdr:nvSpPr>
        <xdr:cNvPr id="73" name="Flecha: doblada hacia arriba 72">
          <a:extLst>
            <a:ext uri="{FF2B5EF4-FFF2-40B4-BE49-F238E27FC236}">
              <a16:creationId xmlns:a16="http://schemas.microsoft.com/office/drawing/2014/main" id="{6469F560-F6DA-4BB5-9C65-16F867EFA89F}"/>
            </a:ext>
          </a:extLst>
        </xdr:cNvPr>
        <xdr:cNvSpPr/>
      </xdr:nvSpPr>
      <xdr:spPr>
        <a:xfrm>
          <a:off x="75490762" y="1950271"/>
          <a:ext cx="248900" cy="19498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211886</xdr:colOff>
      <xdr:row>7</xdr:row>
      <xdr:rowOff>85167</xdr:rowOff>
    </xdr:from>
    <xdr:to>
      <xdr:col>102</xdr:col>
      <xdr:colOff>416856</xdr:colOff>
      <xdr:row>8</xdr:row>
      <xdr:rowOff>113274</xdr:rowOff>
    </xdr:to>
    <xdr:sp macro="" textlink="">
      <xdr:nvSpPr>
        <xdr:cNvPr id="74" name="Flecha: doblada hacia arriba 73">
          <a:extLst>
            <a:ext uri="{FF2B5EF4-FFF2-40B4-BE49-F238E27FC236}">
              <a16:creationId xmlns:a16="http://schemas.microsoft.com/office/drawing/2014/main" id="{275E0B3C-BB78-4D1B-B71E-49A376EDC677}"/>
            </a:ext>
          </a:extLst>
        </xdr:cNvPr>
        <xdr:cNvSpPr/>
      </xdr:nvSpPr>
      <xdr:spPr>
        <a:xfrm rot="10800000" flipV="1">
          <a:off x="78408326" y="1372947"/>
          <a:ext cx="204970" cy="21860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152400</xdr:colOff>
      <xdr:row>9</xdr:row>
      <xdr:rowOff>17929</xdr:rowOff>
    </xdr:from>
    <xdr:to>
      <xdr:col>102</xdr:col>
      <xdr:colOff>457200</xdr:colOff>
      <xdr:row>10</xdr:row>
      <xdr:rowOff>8964</xdr:rowOff>
    </xdr:to>
    <xdr:sp macro="" textlink="">
      <xdr:nvSpPr>
        <xdr:cNvPr id="75" name="Flecha: hacia la izquierda 74">
          <a:extLst>
            <a:ext uri="{FF2B5EF4-FFF2-40B4-BE49-F238E27FC236}">
              <a16:creationId xmlns:a16="http://schemas.microsoft.com/office/drawing/2014/main" id="{A3818F8A-CB00-4BC7-B795-A0A0C783FEEF}"/>
            </a:ext>
          </a:extLst>
        </xdr:cNvPr>
        <xdr:cNvSpPr/>
      </xdr:nvSpPr>
      <xdr:spPr>
        <a:xfrm>
          <a:off x="78348840" y="1686709"/>
          <a:ext cx="304800" cy="1739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179294</xdr:colOff>
      <xdr:row>10</xdr:row>
      <xdr:rowOff>68451</xdr:rowOff>
    </xdr:from>
    <xdr:to>
      <xdr:col>102</xdr:col>
      <xdr:colOff>425821</xdr:colOff>
      <xdr:row>11</xdr:row>
      <xdr:rowOff>71718</xdr:rowOff>
    </xdr:to>
    <xdr:sp macro="" textlink="">
      <xdr:nvSpPr>
        <xdr:cNvPr id="76" name="Flecha: doblada hacia arriba 75">
          <a:extLst>
            <a:ext uri="{FF2B5EF4-FFF2-40B4-BE49-F238E27FC236}">
              <a16:creationId xmlns:a16="http://schemas.microsoft.com/office/drawing/2014/main" id="{E75494DB-058E-4F1F-B859-D07B2695EF1C}"/>
            </a:ext>
          </a:extLst>
        </xdr:cNvPr>
        <xdr:cNvSpPr/>
      </xdr:nvSpPr>
      <xdr:spPr>
        <a:xfrm rot="10800000">
          <a:off x="78375734" y="1920111"/>
          <a:ext cx="246527" cy="19376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101</xdr:col>
      <xdr:colOff>210671</xdr:colOff>
      <xdr:row>18</xdr:row>
      <xdr:rowOff>121025</xdr:rowOff>
    </xdr:from>
    <xdr:to>
      <xdr:col>101</xdr:col>
      <xdr:colOff>381000</xdr:colOff>
      <xdr:row>20</xdr:row>
      <xdr:rowOff>58272</xdr:rowOff>
    </xdr:to>
    <xdr:sp macro="" textlink="">
      <xdr:nvSpPr>
        <xdr:cNvPr id="77" name="Flecha: hacia la izquierda 76">
          <a:extLst>
            <a:ext uri="{FF2B5EF4-FFF2-40B4-BE49-F238E27FC236}">
              <a16:creationId xmlns:a16="http://schemas.microsoft.com/office/drawing/2014/main" id="{9AD79BAF-0EA4-4A15-96D0-483BFDD059DD}"/>
            </a:ext>
          </a:extLst>
        </xdr:cNvPr>
        <xdr:cNvSpPr/>
      </xdr:nvSpPr>
      <xdr:spPr>
        <a:xfrm rot="5400000">
          <a:off x="77521622" y="3612554"/>
          <a:ext cx="356347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229207</xdr:colOff>
      <xdr:row>18</xdr:row>
      <xdr:rowOff>135079</xdr:rowOff>
    </xdr:from>
    <xdr:to>
      <xdr:col>100</xdr:col>
      <xdr:colOff>421951</xdr:colOff>
      <xdr:row>20</xdr:row>
      <xdr:rowOff>12840</xdr:rowOff>
    </xdr:to>
    <xdr:sp macro="" textlink="">
      <xdr:nvSpPr>
        <xdr:cNvPr id="78" name="Flecha: doblada hacia arriba 77">
          <a:extLst>
            <a:ext uri="{FF2B5EF4-FFF2-40B4-BE49-F238E27FC236}">
              <a16:creationId xmlns:a16="http://schemas.microsoft.com/office/drawing/2014/main" id="{F22ACF4D-B3D1-4EFE-8011-BF4710195DD8}"/>
            </a:ext>
          </a:extLst>
        </xdr:cNvPr>
        <xdr:cNvSpPr/>
      </xdr:nvSpPr>
      <xdr:spPr>
        <a:xfrm rot="16200000">
          <a:off x="77009608" y="3585658"/>
          <a:ext cx="296861" cy="1927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81292</xdr:colOff>
      <xdr:row>18</xdr:row>
      <xdr:rowOff>135079</xdr:rowOff>
    </xdr:from>
    <xdr:to>
      <xdr:col>102</xdr:col>
      <xdr:colOff>277906</xdr:colOff>
      <xdr:row>20</xdr:row>
      <xdr:rowOff>0</xdr:rowOff>
    </xdr:to>
    <xdr:sp macro="" textlink="">
      <xdr:nvSpPr>
        <xdr:cNvPr id="79" name="Flecha: doblada hacia arriba 78">
          <a:extLst>
            <a:ext uri="{FF2B5EF4-FFF2-40B4-BE49-F238E27FC236}">
              <a16:creationId xmlns:a16="http://schemas.microsoft.com/office/drawing/2014/main" id="{09AE93E3-8B7D-4521-9479-C3D7E01941A2}"/>
            </a:ext>
          </a:extLst>
        </xdr:cNvPr>
        <xdr:cNvSpPr/>
      </xdr:nvSpPr>
      <xdr:spPr>
        <a:xfrm rot="16200000" flipV="1">
          <a:off x="78234028" y="3577303"/>
          <a:ext cx="284021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165849</xdr:colOff>
      <xdr:row>3</xdr:row>
      <xdr:rowOff>31379</xdr:rowOff>
    </xdr:from>
    <xdr:to>
      <xdr:col>99</xdr:col>
      <xdr:colOff>336178</xdr:colOff>
      <xdr:row>4</xdr:row>
      <xdr:rowOff>156885</xdr:rowOff>
    </xdr:to>
    <xdr:sp macro="" textlink="">
      <xdr:nvSpPr>
        <xdr:cNvPr id="80" name="Flecha: hacia la izquierda 79">
          <a:extLst>
            <a:ext uri="{FF2B5EF4-FFF2-40B4-BE49-F238E27FC236}">
              <a16:creationId xmlns:a16="http://schemas.microsoft.com/office/drawing/2014/main" id="{5960081F-F733-428F-AF85-C2970B2C20C5}"/>
            </a:ext>
          </a:extLst>
        </xdr:cNvPr>
        <xdr:cNvSpPr/>
      </xdr:nvSpPr>
      <xdr:spPr>
        <a:xfrm rot="16200000">
          <a:off x="76395881" y="649047"/>
          <a:ext cx="308386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98</xdr:col>
      <xdr:colOff>296445</xdr:colOff>
      <xdr:row>3</xdr:row>
      <xdr:rowOff>36468</xdr:rowOff>
    </xdr:from>
    <xdr:to>
      <xdr:col>98</xdr:col>
      <xdr:colOff>493059</xdr:colOff>
      <xdr:row>4</xdr:row>
      <xdr:rowOff>89648</xdr:rowOff>
    </xdr:to>
    <xdr:sp macro="" textlink="">
      <xdr:nvSpPr>
        <xdr:cNvPr id="81" name="Flecha: doblada hacia arriba 80">
          <a:extLst>
            <a:ext uri="{FF2B5EF4-FFF2-40B4-BE49-F238E27FC236}">
              <a16:creationId xmlns:a16="http://schemas.microsoft.com/office/drawing/2014/main" id="{99BFFD5D-4748-4E2F-BC6F-070D8FD587C2}"/>
            </a:ext>
          </a:extLst>
        </xdr:cNvPr>
        <xdr:cNvSpPr/>
      </xdr:nvSpPr>
      <xdr:spPr>
        <a:xfrm rot="5400000" flipV="1">
          <a:off x="75783302" y="604831"/>
          <a:ext cx="236060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233083</xdr:colOff>
      <xdr:row>3</xdr:row>
      <xdr:rowOff>63362</xdr:rowOff>
    </xdr:from>
    <xdr:to>
      <xdr:col>100</xdr:col>
      <xdr:colOff>439271</xdr:colOff>
      <xdr:row>4</xdr:row>
      <xdr:rowOff>143436</xdr:rowOff>
    </xdr:to>
    <xdr:sp macro="" textlink="">
      <xdr:nvSpPr>
        <xdr:cNvPr id="82" name="Flecha: doblada hacia arriba 81">
          <a:extLst>
            <a:ext uri="{FF2B5EF4-FFF2-40B4-BE49-F238E27FC236}">
              <a16:creationId xmlns:a16="http://schemas.microsoft.com/office/drawing/2014/main" id="{E4AE250A-EADC-47A5-AA5F-7E722AF3FED7}"/>
            </a:ext>
          </a:extLst>
        </xdr:cNvPr>
        <xdr:cNvSpPr/>
      </xdr:nvSpPr>
      <xdr:spPr>
        <a:xfrm rot="5400000">
          <a:off x="77037160" y="640385"/>
          <a:ext cx="262954" cy="206188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112</xdr:col>
      <xdr:colOff>228601</xdr:colOff>
      <xdr:row>15</xdr:row>
      <xdr:rowOff>58272</xdr:rowOff>
    </xdr:from>
    <xdr:to>
      <xdr:col>112</xdr:col>
      <xdr:colOff>398930</xdr:colOff>
      <xdr:row>16</xdr:row>
      <xdr:rowOff>174813</xdr:rowOff>
    </xdr:to>
    <xdr:sp macro="" textlink="">
      <xdr:nvSpPr>
        <xdr:cNvPr id="83" name="Flecha: hacia la izquierda 82">
          <a:extLst>
            <a:ext uri="{FF2B5EF4-FFF2-40B4-BE49-F238E27FC236}">
              <a16:creationId xmlns:a16="http://schemas.microsoft.com/office/drawing/2014/main" id="{81BAEED2-A1AB-411E-ABE8-3DD8B54B2C30}"/>
            </a:ext>
          </a:extLst>
        </xdr:cNvPr>
        <xdr:cNvSpPr/>
      </xdr:nvSpPr>
      <xdr:spPr>
        <a:xfrm rot="5400000">
          <a:off x="83736405" y="2923168"/>
          <a:ext cx="307041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113</xdr:col>
      <xdr:colOff>188870</xdr:colOff>
      <xdr:row>15</xdr:row>
      <xdr:rowOff>63362</xdr:rowOff>
    </xdr:from>
    <xdr:to>
      <xdr:col>113</xdr:col>
      <xdr:colOff>385484</xdr:colOff>
      <xdr:row>16</xdr:row>
      <xdr:rowOff>107577</xdr:rowOff>
    </xdr:to>
    <xdr:sp macro="" textlink="">
      <xdr:nvSpPr>
        <xdr:cNvPr id="84" name="Flecha: doblada hacia arriba 83">
          <a:extLst>
            <a:ext uri="{FF2B5EF4-FFF2-40B4-BE49-F238E27FC236}">
              <a16:creationId xmlns:a16="http://schemas.microsoft.com/office/drawing/2014/main" id="{D79C6900-84A9-4107-870A-DAAE765AD9AF}"/>
            </a:ext>
          </a:extLst>
        </xdr:cNvPr>
        <xdr:cNvSpPr/>
      </xdr:nvSpPr>
      <xdr:spPr>
        <a:xfrm rot="16039098" flipV="1">
          <a:off x="84424159" y="2878953"/>
          <a:ext cx="234715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110</xdr:col>
      <xdr:colOff>107580</xdr:colOff>
      <xdr:row>12</xdr:row>
      <xdr:rowOff>8966</xdr:rowOff>
    </xdr:from>
    <xdr:to>
      <xdr:col>110</xdr:col>
      <xdr:colOff>412380</xdr:colOff>
      <xdr:row>13</xdr:row>
      <xdr:rowOff>1</xdr:rowOff>
    </xdr:to>
    <xdr:sp macro="" textlink="">
      <xdr:nvSpPr>
        <xdr:cNvPr id="85" name="Flecha: hacia la izquierda 84">
          <a:extLst>
            <a:ext uri="{FF2B5EF4-FFF2-40B4-BE49-F238E27FC236}">
              <a16:creationId xmlns:a16="http://schemas.microsoft.com/office/drawing/2014/main" id="{47D61276-F79F-4C67-A8E0-01ADD20E8CE8}"/>
            </a:ext>
          </a:extLst>
        </xdr:cNvPr>
        <xdr:cNvSpPr/>
      </xdr:nvSpPr>
      <xdr:spPr>
        <a:xfrm rot="10800000">
          <a:off x="82266420" y="2234006"/>
          <a:ext cx="304800" cy="1739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110</xdr:col>
      <xdr:colOff>117150</xdr:colOff>
      <xdr:row>14</xdr:row>
      <xdr:rowOff>63363</xdr:rowOff>
    </xdr:from>
    <xdr:to>
      <xdr:col>110</xdr:col>
      <xdr:colOff>412377</xdr:colOff>
      <xdr:row>15</xdr:row>
      <xdr:rowOff>44824</xdr:rowOff>
    </xdr:to>
    <xdr:sp macro="" textlink="">
      <xdr:nvSpPr>
        <xdr:cNvPr id="86" name="Flecha: doblada hacia arriba 85">
          <a:extLst>
            <a:ext uri="{FF2B5EF4-FFF2-40B4-BE49-F238E27FC236}">
              <a16:creationId xmlns:a16="http://schemas.microsoft.com/office/drawing/2014/main" id="{E369F2E2-748F-47D1-8D1E-FE4937F3125B}"/>
            </a:ext>
          </a:extLst>
        </xdr:cNvPr>
        <xdr:cNvSpPr/>
      </xdr:nvSpPr>
      <xdr:spPr>
        <a:xfrm flipV="1">
          <a:off x="82275990" y="2661783"/>
          <a:ext cx="295227" cy="17958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113</xdr:col>
      <xdr:colOff>0</xdr:colOff>
      <xdr:row>9</xdr:row>
      <xdr:rowOff>1</xdr:rowOff>
    </xdr:from>
    <xdr:to>
      <xdr:col>113</xdr:col>
      <xdr:colOff>519956</xdr:colOff>
      <xdr:row>9</xdr:row>
      <xdr:rowOff>143435</xdr:rowOff>
    </xdr:to>
    <xdr:sp macro="" textlink="">
      <xdr:nvSpPr>
        <xdr:cNvPr id="87" name="Flecha: hacia la izquierda 86">
          <a:extLst>
            <a:ext uri="{FF2B5EF4-FFF2-40B4-BE49-F238E27FC236}">
              <a16:creationId xmlns:a16="http://schemas.microsoft.com/office/drawing/2014/main" id="{245DDA5D-A366-4146-86C3-6192736563B5}"/>
            </a:ext>
          </a:extLst>
        </xdr:cNvPr>
        <xdr:cNvSpPr/>
      </xdr:nvSpPr>
      <xdr:spPr>
        <a:xfrm rot="10800000" flipH="1">
          <a:off x="84254340" y="1668781"/>
          <a:ext cx="519956" cy="14343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113</xdr:col>
      <xdr:colOff>44891</xdr:colOff>
      <xdr:row>10</xdr:row>
      <xdr:rowOff>27407</xdr:rowOff>
    </xdr:from>
    <xdr:to>
      <xdr:col>113</xdr:col>
      <xdr:colOff>502635</xdr:colOff>
      <xdr:row>11</xdr:row>
      <xdr:rowOff>26893</xdr:rowOff>
    </xdr:to>
    <xdr:sp macro="" textlink="">
      <xdr:nvSpPr>
        <xdr:cNvPr id="88" name="Flecha: doblada hacia arriba 87">
          <a:extLst>
            <a:ext uri="{FF2B5EF4-FFF2-40B4-BE49-F238E27FC236}">
              <a16:creationId xmlns:a16="http://schemas.microsoft.com/office/drawing/2014/main" id="{0C479E69-15B9-4F26-BC9B-8E3F7B4122FA}"/>
            </a:ext>
          </a:extLst>
        </xdr:cNvPr>
        <xdr:cNvSpPr/>
      </xdr:nvSpPr>
      <xdr:spPr>
        <a:xfrm flipH="1" flipV="1">
          <a:off x="84299231" y="1879067"/>
          <a:ext cx="457744" cy="18998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111</xdr:col>
      <xdr:colOff>264462</xdr:colOff>
      <xdr:row>2</xdr:row>
      <xdr:rowOff>174813</xdr:rowOff>
    </xdr:from>
    <xdr:to>
      <xdr:col>111</xdr:col>
      <xdr:colOff>434791</xdr:colOff>
      <xdr:row>4</xdr:row>
      <xdr:rowOff>121025</xdr:rowOff>
    </xdr:to>
    <xdr:sp macro="" textlink="">
      <xdr:nvSpPr>
        <xdr:cNvPr id="89" name="Flecha: hacia la izquierda 88">
          <a:extLst>
            <a:ext uri="{FF2B5EF4-FFF2-40B4-BE49-F238E27FC236}">
              <a16:creationId xmlns:a16="http://schemas.microsoft.com/office/drawing/2014/main" id="{1302BBC5-290C-47B2-A4A0-5F0BB3CF5307}"/>
            </a:ext>
          </a:extLst>
        </xdr:cNvPr>
        <xdr:cNvSpPr/>
      </xdr:nvSpPr>
      <xdr:spPr>
        <a:xfrm rot="16200000">
          <a:off x="83129721" y="611394"/>
          <a:ext cx="311972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110</xdr:col>
      <xdr:colOff>457812</xdr:colOff>
      <xdr:row>3</xdr:row>
      <xdr:rowOff>45434</xdr:rowOff>
    </xdr:from>
    <xdr:to>
      <xdr:col>110</xdr:col>
      <xdr:colOff>654426</xdr:colOff>
      <xdr:row>4</xdr:row>
      <xdr:rowOff>98614</xdr:rowOff>
    </xdr:to>
    <xdr:sp macro="" textlink="">
      <xdr:nvSpPr>
        <xdr:cNvPr id="90" name="Flecha: doblada hacia arriba 89">
          <a:extLst>
            <a:ext uri="{FF2B5EF4-FFF2-40B4-BE49-F238E27FC236}">
              <a16:creationId xmlns:a16="http://schemas.microsoft.com/office/drawing/2014/main" id="{2B01CDB4-3949-423B-96D3-63C870A399CA}"/>
            </a:ext>
          </a:extLst>
        </xdr:cNvPr>
        <xdr:cNvSpPr/>
      </xdr:nvSpPr>
      <xdr:spPr>
        <a:xfrm rot="5400000" flipV="1">
          <a:off x="82596929" y="613797"/>
          <a:ext cx="236060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66</xdr:col>
      <xdr:colOff>331694</xdr:colOff>
      <xdr:row>35</xdr:row>
      <xdr:rowOff>89650</xdr:rowOff>
    </xdr:from>
    <xdr:to>
      <xdr:col>66</xdr:col>
      <xdr:colOff>493061</xdr:colOff>
      <xdr:row>36</xdr:row>
      <xdr:rowOff>161365</xdr:rowOff>
    </xdr:to>
    <xdr:sp macro="" textlink="">
      <xdr:nvSpPr>
        <xdr:cNvPr id="91" name="Flecha: doblada hacia arriba 90">
          <a:extLst>
            <a:ext uri="{FF2B5EF4-FFF2-40B4-BE49-F238E27FC236}">
              <a16:creationId xmlns:a16="http://schemas.microsoft.com/office/drawing/2014/main" id="{82A3F2E6-14E1-464A-A4ED-680BAEB71A8F}"/>
            </a:ext>
          </a:extLst>
        </xdr:cNvPr>
        <xdr:cNvSpPr/>
      </xdr:nvSpPr>
      <xdr:spPr>
        <a:xfrm rot="5400000" flipV="1">
          <a:off x="51133340" y="6864724"/>
          <a:ext cx="254595" cy="16136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156884</xdr:colOff>
      <xdr:row>35</xdr:row>
      <xdr:rowOff>40342</xdr:rowOff>
    </xdr:from>
    <xdr:to>
      <xdr:col>67</xdr:col>
      <xdr:colOff>327213</xdr:colOff>
      <xdr:row>36</xdr:row>
      <xdr:rowOff>165848</xdr:rowOff>
    </xdr:to>
    <xdr:sp macro="" textlink="">
      <xdr:nvSpPr>
        <xdr:cNvPr id="92" name="Flecha: hacia la izquierda 91">
          <a:extLst>
            <a:ext uri="{FF2B5EF4-FFF2-40B4-BE49-F238E27FC236}">
              <a16:creationId xmlns:a16="http://schemas.microsoft.com/office/drawing/2014/main" id="{753EB3D7-A476-4C9B-B006-A1861D4DC405}"/>
            </a:ext>
          </a:extLst>
        </xdr:cNvPr>
        <xdr:cNvSpPr/>
      </xdr:nvSpPr>
      <xdr:spPr>
        <a:xfrm rot="16200000">
          <a:off x="51576196" y="6837830"/>
          <a:ext cx="308386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53788</xdr:colOff>
      <xdr:row>51</xdr:row>
      <xdr:rowOff>4484</xdr:rowOff>
    </xdr:from>
    <xdr:to>
      <xdr:col>67</xdr:col>
      <xdr:colOff>286871</xdr:colOff>
      <xdr:row>52</xdr:row>
      <xdr:rowOff>134470</xdr:rowOff>
    </xdr:to>
    <xdr:sp macro="" textlink="">
      <xdr:nvSpPr>
        <xdr:cNvPr id="93" name="Flecha: doblada hacia arriba 92">
          <a:extLst>
            <a:ext uri="{FF2B5EF4-FFF2-40B4-BE49-F238E27FC236}">
              <a16:creationId xmlns:a16="http://schemas.microsoft.com/office/drawing/2014/main" id="{68DFCAD7-4433-439C-8D6A-3A578A5A26C8}"/>
            </a:ext>
          </a:extLst>
        </xdr:cNvPr>
        <xdr:cNvSpPr/>
      </xdr:nvSpPr>
      <xdr:spPr>
        <a:xfrm rot="16200000">
          <a:off x="51502237" y="9698915"/>
          <a:ext cx="312866" cy="23308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68</xdr:col>
      <xdr:colOff>156885</xdr:colOff>
      <xdr:row>51</xdr:row>
      <xdr:rowOff>8966</xdr:rowOff>
    </xdr:from>
    <xdr:to>
      <xdr:col>68</xdr:col>
      <xdr:colOff>327214</xdr:colOff>
      <xdr:row>52</xdr:row>
      <xdr:rowOff>134472</xdr:rowOff>
    </xdr:to>
    <xdr:sp macro="" textlink="">
      <xdr:nvSpPr>
        <xdr:cNvPr id="94" name="Flecha: hacia la izquierda 93">
          <a:extLst>
            <a:ext uri="{FF2B5EF4-FFF2-40B4-BE49-F238E27FC236}">
              <a16:creationId xmlns:a16="http://schemas.microsoft.com/office/drawing/2014/main" id="{4289E6F4-3DB1-4BFC-8A00-E7A98A6135FF}"/>
            </a:ext>
          </a:extLst>
        </xdr:cNvPr>
        <xdr:cNvSpPr/>
      </xdr:nvSpPr>
      <xdr:spPr>
        <a:xfrm rot="5400000">
          <a:off x="52201037" y="9732534"/>
          <a:ext cx="308386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87409</xdr:colOff>
      <xdr:row>43</xdr:row>
      <xdr:rowOff>96370</xdr:rowOff>
    </xdr:from>
    <xdr:to>
      <xdr:col>65</xdr:col>
      <xdr:colOff>396689</xdr:colOff>
      <xdr:row>44</xdr:row>
      <xdr:rowOff>150159</xdr:rowOff>
    </xdr:to>
    <xdr:sp macro="" textlink="">
      <xdr:nvSpPr>
        <xdr:cNvPr id="95" name="Flecha: doblada hacia arriba 94">
          <a:extLst>
            <a:ext uri="{FF2B5EF4-FFF2-40B4-BE49-F238E27FC236}">
              <a16:creationId xmlns:a16="http://schemas.microsoft.com/office/drawing/2014/main" id="{B5BAB0E6-9E7C-4F65-9E92-45981C1166B7}"/>
            </a:ext>
          </a:extLst>
        </xdr:cNvPr>
        <xdr:cNvSpPr/>
      </xdr:nvSpPr>
      <xdr:spPr>
        <a:xfrm>
          <a:off x="50143189" y="8287870"/>
          <a:ext cx="309280" cy="23666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96373</xdr:colOff>
      <xdr:row>45</xdr:row>
      <xdr:rowOff>96371</xdr:rowOff>
    </xdr:from>
    <xdr:to>
      <xdr:col>65</xdr:col>
      <xdr:colOff>367552</xdr:colOff>
      <xdr:row>46</xdr:row>
      <xdr:rowOff>89648</xdr:rowOff>
    </xdr:to>
    <xdr:sp macro="" textlink="">
      <xdr:nvSpPr>
        <xdr:cNvPr id="96" name="Flecha: doblada hacia arriba 95">
          <a:extLst>
            <a:ext uri="{FF2B5EF4-FFF2-40B4-BE49-F238E27FC236}">
              <a16:creationId xmlns:a16="http://schemas.microsoft.com/office/drawing/2014/main" id="{5C191982-4D51-4BAA-8325-BF1452E6322A}"/>
            </a:ext>
          </a:extLst>
        </xdr:cNvPr>
        <xdr:cNvSpPr/>
      </xdr:nvSpPr>
      <xdr:spPr>
        <a:xfrm flipV="1">
          <a:off x="50152153" y="8653631"/>
          <a:ext cx="271179" cy="17615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105339</xdr:colOff>
      <xdr:row>44</xdr:row>
      <xdr:rowOff>78440</xdr:rowOff>
    </xdr:from>
    <xdr:to>
      <xdr:col>69</xdr:col>
      <xdr:colOff>414619</xdr:colOff>
      <xdr:row>45</xdr:row>
      <xdr:rowOff>132229</xdr:rowOff>
    </xdr:to>
    <xdr:sp macro="" textlink="">
      <xdr:nvSpPr>
        <xdr:cNvPr id="97" name="Flecha: doblada hacia arriba 96">
          <a:extLst>
            <a:ext uri="{FF2B5EF4-FFF2-40B4-BE49-F238E27FC236}">
              <a16:creationId xmlns:a16="http://schemas.microsoft.com/office/drawing/2014/main" id="{E6747F9E-18A8-41DB-A180-FDF18DB75D79}"/>
            </a:ext>
          </a:extLst>
        </xdr:cNvPr>
        <xdr:cNvSpPr/>
      </xdr:nvSpPr>
      <xdr:spPr>
        <a:xfrm rot="10800000">
          <a:off x="53010999" y="8452820"/>
          <a:ext cx="309280" cy="23666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80683</xdr:colOff>
      <xdr:row>42</xdr:row>
      <xdr:rowOff>152399</xdr:rowOff>
    </xdr:from>
    <xdr:to>
      <xdr:col>69</xdr:col>
      <xdr:colOff>438825</xdr:colOff>
      <xdr:row>44</xdr:row>
      <xdr:rowOff>17929</xdr:rowOff>
    </xdr:to>
    <xdr:sp macro="" textlink="">
      <xdr:nvSpPr>
        <xdr:cNvPr id="98" name="Flecha: hacia la izquierda 97">
          <a:extLst>
            <a:ext uri="{FF2B5EF4-FFF2-40B4-BE49-F238E27FC236}">
              <a16:creationId xmlns:a16="http://schemas.microsoft.com/office/drawing/2014/main" id="{DF7D1781-CA3F-4C0A-910D-DA7850837F96}"/>
            </a:ext>
          </a:extLst>
        </xdr:cNvPr>
        <xdr:cNvSpPr/>
      </xdr:nvSpPr>
      <xdr:spPr>
        <a:xfrm>
          <a:off x="52986343" y="8161019"/>
          <a:ext cx="358142" cy="23129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161365</xdr:colOff>
      <xdr:row>41</xdr:row>
      <xdr:rowOff>80683</xdr:rowOff>
    </xdr:from>
    <xdr:to>
      <xdr:col>69</xdr:col>
      <xdr:colOff>432544</xdr:colOff>
      <xdr:row>42</xdr:row>
      <xdr:rowOff>73960</xdr:rowOff>
    </xdr:to>
    <xdr:sp macro="" textlink="">
      <xdr:nvSpPr>
        <xdr:cNvPr id="99" name="Flecha: doblada hacia arriba 98">
          <a:extLst>
            <a:ext uri="{FF2B5EF4-FFF2-40B4-BE49-F238E27FC236}">
              <a16:creationId xmlns:a16="http://schemas.microsoft.com/office/drawing/2014/main" id="{84548F76-F3AA-450E-9DAE-351DA24ECBD8}"/>
            </a:ext>
          </a:extLst>
        </xdr:cNvPr>
        <xdr:cNvSpPr/>
      </xdr:nvSpPr>
      <xdr:spPr>
        <a:xfrm rot="10800000" flipV="1">
          <a:off x="53067025" y="7906423"/>
          <a:ext cx="271179" cy="17615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517487</xdr:colOff>
      <xdr:row>9</xdr:row>
      <xdr:rowOff>51323</xdr:rowOff>
    </xdr:from>
    <xdr:to>
      <xdr:col>19</xdr:col>
      <xdr:colOff>708212</xdr:colOff>
      <xdr:row>12</xdr:row>
      <xdr:rowOff>35859</xdr:rowOff>
    </xdr:to>
    <xdr:sp macro="" textlink="">
      <xdr:nvSpPr>
        <xdr:cNvPr id="100" name="Flecha: hacia la izquierda 99">
          <a:extLst>
            <a:ext uri="{FF2B5EF4-FFF2-40B4-BE49-F238E27FC236}">
              <a16:creationId xmlns:a16="http://schemas.microsoft.com/office/drawing/2014/main" id="{17A8535E-CA6E-4AA0-83B4-89AFBC7825C6}"/>
            </a:ext>
          </a:extLst>
        </xdr:cNvPr>
        <xdr:cNvSpPr/>
      </xdr:nvSpPr>
      <xdr:spPr>
        <a:xfrm rot="16200000">
          <a:off x="15399572" y="1895138"/>
          <a:ext cx="540796" cy="1907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304444</xdr:colOff>
      <xdr:row>9</xdr:row>
      <xdr:rowOff>168182</xdr:rowOff>
    </xdr:from>
    <xdr:to>
      <xdr:col>20</xdr:col>
      <xdr:colOff>513093</xdr:colOff>
      <xdr:row>11</xdr:row>
      <xdr:rowOff>28999</xdr:rowOff>
    </xdr:to>
    <xdr:sp macro="" textlink="">
      <xdr:nvSpPr>
        <xdr:cNvPr id="101" name="Flecha: doblada hacia arriba 100">
          <a:extLst>
            <a:ext uri="{FF2B5EF4-FFF2-40B4-BE49-F238E27FC236}">
              <a16:creationId xmlns:a16="http://schemas.microsoft.com/office/drawing/2014/main" id="{24787DA4-1362-4189-828E-1E202313AD76}"/>
            </a:ext>
          </a:extLst>
        </xdr:cNvPr>
        <xdr:cNvSpPr/>
      </xdr:nvSpPr>
      <xdr:spPr>
        <a:xfrm rot="5400000">
          <a:off x="16141270" y="1849736"/>
          <a:ext cx="234197" cy="20864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22</xdr:col>
      <xdr:colOff>244508</xdr:colOff>
      <xdr:row>25</xdr:row>
      <xdr:rowOff>62753</xdr:rowOff>
    </xdr:from>
    <xdr:to>
      <xdr:col>22</xdr:col>
      <xdr:colOff>484094</xdr:colOff>
      <xdr:row>27</xdr:row>
      <xdr:rowOff>134470</xdr:rowOff>
    </xdr:to>
    <xdr:sp macro="" textlink="">
      <xdr:nvSpPr>
        <xdr:cNvPr id="102" name="Flecha: doblada hacia arriba 101">
          <a:extLst>
            <a:ext uri="{FF2B5EF4-FFF2-40B4-BE49-F238E27FC236}">
              <a16:creationId xmlns:a16="http://schemas.microsoft.com/office/drawing/2014/main" id="{D0361EC1-125B-456E-9803-A20F3AE43310}"/>
            </a:ext>
          </a:extLst>
        </xdr:cNvPr>
        <xdr:cNvSpPr/>
      </xdr:nvSpPr>
      <xdr:spPr>
        <a:xfrm rot="16200000" flipV="1">
          <a:off x="17580122" y="5061359"/>
          <a:ext cx="437477" cy="23958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18</xdr:col>
      <xdr:colOff>475131</xdr:colOff>
      <xdr:row>9</xdr:row>
      <xdr:rowOff>168182</xdr:rowOff>
    </xdr:from>
    <xdr:to>
      <xdr:col>18</xdr:col>
      <xdr:colOff>770611</xdr:colOff>
      <xdr:row>11</xdr:row>
      <xdr:rowOff>53792</xdr:rowOff>
    </xdr:to>
    <xdr:sp macro="" textlink="">
      <xdr:nvSpPr>
        <xdr:cNvPr id="103" name="Flecha: doblada hacia arriba 102">
          <a:extLst>
            <a:ext uri="{FF2B5EF4-FFF2-40B4-BE49-F238E27FC236}">
              <a16:creationId xmlns:a16="http://schemas.microsoft.com/office/drawing/2014/main" id="{1C7CF72E-6BCB-405F-AF6C-CA26CB706682}"/>
            </a:ext>
          </a:extLst>
        </xdr:cNvPr>
        <xdr:cNvSpPr/>
      </xdr:nvSpPr>
      <xdr:spPr>
        <a:xfrm rot="5400000" flipV="1">
          <a:off x="14758016" y="1818717"/>
          <a:ext cx="258990" cy="29548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55</xdr:col>
      <xdr:colOff>19142</xdr:colOff>
      <xdr:row>30</xdr:row>
      <xdr:rowOff>86383</xdr:rowOff>
    </xdr:from>
    <xdr:to>
      <xdr:col>55</xdr:col>
      <xdr:colOff>277905</xdr:colOff>
      <xdr:row>32</xdr:row>
      <xdr:rowOff>35858</xdr:rowOff>
    </xdr:to>
    <xdr:sp macro="" textlink="">
      <xdr:nvSpPr>
        <xdr:cNvPr id="104" name="Flecha: doblada hacia arriba 103">
          <a:extLst>
            <a:ext uri="{FF2B5EF4-FFF2-40B4-BE49-F238E27FC236}">
              <a16:creationId xmlns:a16="http://schemas.microsoft.com/office/drawing/2014/main" id="{F5AF6582-8DA6-4C74-8DF4-14DE593C500A}"/>
            </a:ext>
          </a:extLst>
        </xdr:cNvPr>
        <xdr:cNvSpPr/>
      </xdr:nvSpPr>
      <xdr:spPr>
        <a:xfrm rot="5400000">
          <a:off x="42655286" y="5928679"/>
          <a:ext cx="315235" cy="25876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54</xdr:col>
      <xdr:colOff>345137</xdr:colOff>
      <xdr:row>30</xdr:row>
      <xdr:rowOff>107576</xdr:rowOff>
    </xdr:from>
    <xdr:to>
      <xdr:col>54</xdr:col>
      <xdr:colOff>515466</xdr:colOff>
      <xdr:row>32</xdr:row>
      <xdr:rowOff>53788</xdr:rowOff>
    </xdr:to>
    <xdr:sp macro="" textlink="">
      <xdr:nvSpPr>
        <xdr:cNvPr id="105" name="Flecha: hacia la izquierda 104">
          <a:extLst>
            <a:ext uri="{FF2B5EF4-FFF2-40B4-BE49-F238E27FC236}">
              <a16:creationId xmlns:a16="http://schemas.microsoft.com/office/drawing/2014/main" id="{8BC862E9-11FA-46E6-BC53-ADA0E8FBADD4}"/>
            </a:ext>
          </a:extLst>
        </xdr:cNvPr>
        <xdr:cNvSpPr/>
      </xdr:nvSpPr>
      <xdr:spPr>
        <a:xfrm rot="16200000">
          <a:off x="42321476" y="5992457"/>
          <a:ext cx="311972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57</xdr:col>
      <xdr:colOff>313764</xdr:colOff>
      <xdr:row>23</xdr:row>
      <xdr:rowOff>113277</xdr:rowOff>
    </xdr:from>
    <xdr:to>
      <xdr:col>57</xdr:col>
      <xdr:colOff>512201</xdr:colOff>
      <xdr:row>25</xdr:row>
      <xdr:rowOff>44822</xdr:rowOff>
    </xdr:to>
    <xdr:sp macro="" textlink="">
      <xdr:nvSpPr>
        <xdr:cNvPr id="106" name="Flecha: doblada hacia arriba 105">
          <a:extLst>
            <a:ext uri="{FF2B5EF4-FFF2-40B4-BE49-F238E27FC236}">
              <a16:creationId xmlns:a16="http://schemas.microsoft.com/office/drawing/2014/main" id="{5976B72C-363F-4A93-A22F-581F6C1C375B}"/>
            </a:ext>
          </a:extLst>
        </xdr:cNvPr>
        <xdr:cNvSpPr/>
      </xdr:nvSpPr>
      <xdr:spPr>
        <a:xfrm rot="16200000" flipV="1">
          <a:off x="44121240" y="4685181"/>
          <a:ext cx="320165" cy="19843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58</xdr:col>
      <xdr:colOff>143435</xdr:colOff>
      <xdr:row>23</xdr:row>
      <xdr:rowOff>86383</xdr:rowOff>
    </xdr:from>
    <xdr:to>
      <xdr:col>58</xdr:col>
      <xdr:colOff>341872</xdr:colOff>
      <xdr:row>25</xdr:row>
      <xdr:rowOff>17928</xdr:rowOff>
    </xdr:to>
    <xdr:sp macro="" textlink="">
      <xdr:nvSpPr>
        <xdr:cNvPr id="107" name="Flecha: doblada hacia arriba 106">
          <a:extLst>
            <a:ext uri="{FF2B5EF4-FFF2-40B4-BE49-F238E27FC236}">
              <a16:creationId xmlns:a16="http://schemas.microsoft.com/office/drawing/2014/main" id="{DC42D6CA-8BBD-4FA6-8A65-3870A628135C}"/>
            </a:ext>
          </a:extLst>
        </xdr:cNvPr>
        <xdr:cNvSpPr/>
      </xdr:nvSpPr>
      <xdr:spPr>
        <a:xfrm rot="16200000" flipV="1">
          <a:off x="44590991" y="4658287"/>
          <a:ext cx="320165" cy="19843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54</xdr:col>
      <xdr:colOff>86958</xdr:colOff>
      <xdr:row>16</xdr:row>
      <xdr:rowOff>64994</xdr:rowOff>
    </xdr:from>
    <xdr:to>
      <xdr:col>54</xdr:col>
      <xdr:colOff>385483</xdr:colOff>
      <xdr:row>16</xdr:row>
      <xdr:rowOff>152400</xdr:rowOff>
    </xdr:to>
    <xdr:sp macro="" textlink="">
      <xdr:nvSpPr>
        <xdr:cNvPr id="108" name="Flecha: hacia la izquierda 107">
          <a:extLst>
            <a:ext uri="{FF2B5EF4-FFF2-40B4-BE49-F238E27FC236}">
              <a16:creationId xmlns:a16="http://schemas.microsoft.com/office/drawing/2014/main" id="{2A7B2E26-D3D9-4652-8DCF-91925041B85C}"/>
            </a:ext>
          </a:extLst>
        </xdr:cNvPr>
        <xdr:cNvSpPr/>
      </xdr:nvSpPr>
      <xdr:spPr>
        <a:xfrm>
          <a:off x="42134118" y="3052034"/>
          <a:ext cx="298525" cy="8740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54</xdr:col>
      <xdr:colOff>68582</xdr:colOff>
      <xdr:row>18</xdr:row>
      <xdr:rowOff>29110</xdr:rowOff>
    </xdr:from>
    <xdr:to>
      <xdr:col>54</xdr:col>
      <xdr:colOff>327417</xdr:colOff>
      <xdr:row>19</xdr:row>
      <xdr:rowOff>11200</xdr:rowOff>
    </xdr:to>
    <xdr:sp macro="" textlink="">
      <xdr:nvSpPr>
        <xdr:cNvPr id="109" name="Flecha: doblada hacia arriba 108">
          <a:extLst>
            <a:ext uri="{FF2B5EF4-FFF2-40B4-BE49-F238E27FC236}">
              <a16:creationId xmlns:a16="http://schemas.microsoft.com/office/drawing/2014/main" id="{2D824016-3128-4730-AD74-1289E7D9CEBC}"/>
            </a:ext>
          </a:extLst>
        </xdr:cNvPr>
        <xdr:cNvSpPr/>
      </xdr:nvSpPr>
      <xdr:spPr>
        <a:xfrm rot="10800000">
          <a:off x="42115742" y="3427630"/>
          <a:ext cx="258835" cy="17259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56</xdr:col>
      <xdr:colOff>103861</xdr:colOff>
      <xdr:row>23</xdr:row>
      <xdr:rowOff>101408</xdr:rowOff>
    </xdr:from>
    <xdr:to>
      <xdr:col>56</xdr:col>
      <xdr:colOff>274210</xdr:colOff>
      <xdr:row>24</xdr:row>
      <xdr:rowOff>163019</xdr:rowOff>
    </xdr:to>
    <xdr:sp macro="" textlink="">
      <xdr:nvSpPr>
        <xdr:cNvPr id="110" name="Flecha: doblada hacia arriba 109">
          <a:extLst>
            <a:ext uri="{FF2B5EF4-FFF2-40B4-BE49-F238E27FC236}">
              <a16:creationId xmlns:a16="http://schemas.microsoft.com/office/drawing/2014/main" id="{1029DA3F-067C-4469-92CA-DB8BA0D1C098}"/>
            </a:ext>
          </a:extLst>
        </xdr:cNvPr>
        <xdr:cNvSpPr/>
      </xdr:nvSpPr>
      <xdr:spPr>
        <a:xfrm rot="16200000">
          <a:off x="43329340" y="4660949"/>
          <a:ext cx="267351" cy="17034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56</xdr:col>
      <xdr:colOff>44824</xdr:colOff>
      <xdr:row>13</xdr:row>
      <xdr:rowOff>134470</xdr:rowOff>
    </xdr:from>
    <xdr:to>
      <xdr:col>56</xdr:col>
      <xdr:colOff>243261</xdr:colOff>
      <xdr:row>15</xdr:row>
      <xdr:rowOff>57051</xdr:rowOff>
    </xdr:to>
    <xdr:sp macro="" textlink="">
      <xdr:nvSpPr>
        <xdr:cNvPr id="111" name="Flecha: doblada hacia arriba 110">
          <a:extLst>
            <a:ext uri="{FF2B5EF4-FFF2-40B4-BE49-F238E27FC236}">
              <a16:creationId xmlns:a16="http://schemas.microsoft.com/office/drawing/2014/main" id="{C5316C69-F913-42E3-BDDF-B0CC7D3A8FC1}"/>
            </a:ext>
          </a:extLst>
        </xdr:cNvPr>
        <xdr:cNvSpPr/>
      </xdr:nvSpPr>
      <xdr:spPr>
        <a:xfrm rot="5400000" flipV="1">
          <a:off x="43262422" y="2598772"/>
          <a:ext cx="311201" cy="19843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176025</xdr:colOff>
      <xdr:row>18</xdr:row>
      <xdr:rowOff>53789</xdr:rowOff>
    </xdr:from>
    <xdr:to>
      <xdr:col>67</xdr:col>
      <xdr:colOff>457198</xdr:colOff>
      <xdr:row>19</xdr:row>
      <xdr:rowOff>112062</xdr:rowOff>
    </xdr:to>
    <xdr:sp macro="" textlink="">
      <xdr:nvSpPr>
        <xdr:cNvPr id="112" name="Flecha: doblada hacia arriba 111">
          <a:extLst>
            <a:ext uri="{FF2B5EF4-FFF2-40B4-BE49-F238E27FC236}">
              <a16:creationId xmlns:a16="http://schemas.microsoft.com/office/drawing/2014/main" id="{C33573B3-2558-41E2-A4C0-E0EA664B6448}"/>
            </a:ext>
          </a:extLst>
        </xdr:cNvPr>
        <xdr:cNvSpPr/>
      </xdr:nvSpPr>
      <xdr:spPr>
        <a:xfrm>
          <a:off x="51664365" y="3452309"/>
          <a:ext cx="281173" cy="24877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143435</xdr:colOff>
      <xdr:row>20</xdr:row>
      <xdr:rowOff>26894</xdr:rowOff>
    </xdr:from>
    <xdr:to>
      <xdr:col>67</xdr:col>
      <xdr:colOff>448235</xdr:colOff>
      <xdr:row>21</xdr:row>
      <xdr:rowOff>17929</xdr:rowOff>
    </xdr:to>
    <xdr:sp macro="" textlink="">
      <xdr:nvSpPr>
        <xdr:cNvPr id="113" name="Flecha: hacia la izquierda 112">
          <a:extLst>
            <a:ext uri="{FF2B5EF4-FFF2-40B4-BE49-F238E27FC236}">
              <a16:creationId xmlns:a16="http://schemas.microsoft.com/office/drawing/2014/main" id="{2B9C4465-9BAA-4DA9-A14F-CC890B34EF07}"/>
            </a:ext>
          </a:extLst>
        </xdr:cNvPr>
        <xdr:cNvSpPr/>
      </xdr:nvSpPr>
      <xdr:spPr>
        <a:xfrm rot="10800000">
          <a:off x="51631775" y="3844514"/>
          <a:ext cx="304800" cy="2196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68</xdr:col>
      <xdr:colOff>89647</xdr:colOff>
      <xdr:row>14</xdr:row>
      <xdr:rowOff>161363</xdr:rowOff>
    </xdr:from>
    <xdr:to>
      <xdr:col>68</xdr:col>
      <xdr:colOff>259977</xdr:colOff>
      <xdr:row>16</xdr:row>
      <xdr:rowOff>44822</xdr:rowOff>
    </xdr:to>
    <xdr:sp macro="" textlink="">
      <xdr:nvSpPr>
        <xdr:cNvPr id="114" name="Flecha: doblada hacia arriba 113">
          <a:extLst>
            <a:ext uri="{FF2B5EF4-FFF2-40B4-BE49-F238E27FC236}">
              <a16:creationId xmlns:a16="http://schemas.microsoft.com/office/drawing/2014/main" id="{D03BECF7-1609-4C73-82A8-3706B63BF51C}"/>
            </a:ext>
          </a:extLst>
        </xdr:cNvPr>
        <xdr:cNvSpPr/>
      </xdr:nvSpPr>
      <xdr:spPr>
        <a:xfrm rot="10800000" flipV="1">
          <a:off x="52202827" y="2759783"/>
          <a:ext cx="170330" cy="27207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499463</xdr:colOff>
      <xdr:row>14</xdr:row>
      <xdr:rowOff>19209</xdr:rowOff>
    </xdr:from>
    <xdr:to>
      <xdr:col>73</xdr:col>
      <xdr:colOff>710133</xdr:colOff>
      <xdr:row>15</xdr:row>
      <xdr:rowOff>218353</xdr:rowOff>
    </xdr:to>
    <xdr:sp macro="" textlink="">
      <xdr:nvSpPr>
        <xdr:cNvPr id="117" name="Flecha: hacia la izquierda 116">
          <a:extLst>
            <a:ext uri="{FF2B5EF4-FFF2-40B4-BE49-F238E27FC236}">
              <a16:creationId xmlns:a16="http://schemas.microsoft.com/office/drawing/2014/main" id="{CED29260-4253-4335-BEB8-A028FDA7A6D9}"/>
            </a:ext>
          </a:extLst>
        </xdr:cNvPr>
        <xdr:cNvSpPr/>
      </xdr:nvSpPr>
      <xdr:spPr>
        <a:xfrm rot="5247438">
          <a:off x="56615640" y="3251946"/>
          <a:ext cx="427744" cy="21067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74</xdr:col>
      <xdr:colOff>215619</xdr:colOff>
      <xdr:row>13</xdr:row>
      <xdr:rowOff>173708</xdr:rowOff>
    </xdr:from>
    <xdr:to>
      <xdr:col>74</xdr:col>
      <xdr:colOff>413448</xdr:colOff>
      <xdr:row>15</xdr:row>
      <xdr:rowOff>108713</xdr:rowOff>
    </xdr:to>
    <xdr:sp macro="" textlink="">
      <xdr:nvSpPr>
        <xdr:cNvPr id="118" name="Flecha: doblada hacia arriba 117">
          <a:extLst>
            <a:ext uri="{FF2B5EF4-FFF2-40B4-BE49-F238E27FC236}">
              <a16:creationId xmlns:a16="http://schemas.microsoft.com/office/drawing/2014/main" id="{ABBB7AE2-ADC4-4568-AFA2-F437BA6E8490}"/>
            </a:ext>
          </a:extLst>
        </xdr:cNvPr>
        <xdr:cNvSpPr/>
      </xdr:nvSpPr>
      <xdr:spPr>
        <a:xfrm rot="16047438" flipV="1">
          <a:off x="57132359" y="3161053"/>
          <a:ext cx="403091" cy="19782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28</xdr:col>
      <xdr:colOff>591670</xdr:colOff>
      <xdr:row>16</xdr:row>
      <xdr:rowOff>125503</xdr:rowOff>
    </xdr:from>
    <xdr:to>
      <xdr:col>29</xdr:col>
      <xdr:colOff>295835</xdr:colOff>
      <xdr:row>18</xdr:row>
      <xdr:rowOff>44822</xdr:rowOff>
    </xdr:to>
    <xdr:sp macro="" textlink="">
      <xdr:nvSpPr>
        <xdr:cNvPr id="119" name="Flecha: hacia la izquierda 118">
          <a:extLst>
            <a:ext uri="{FF2B5EF4-FFF2-40B4-BE49-F238E27FC236}">
              <a16:creationId xmlns:a16="http://schemas.microsoft.com/office/drawing/2014/main" id="{95C7B4D2-FFB3-4A29-B694-E67C75576751}"/>
            </a:ext>
          </a:extLst>
        </xdr:cNvPr>
        <xdr:cNvSpPr/>
      </xdr:nvSpPr>
      <xdr:spPr>
        <a:xfrm rot="10800000" flipH="1">
          <a:off x="22781110" y="3112543"/>
          <a:ext cx="496645" cy="3307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112</xdr:col>
      <xdr:colOff>152402</xdr:colOff>
      <xdr:row>3</xdr:row>
      <xdr:rowOff>125505</xdr:rowOff>
    </xdr:from>
    <xdr:to>
      <xdr:col>112</xdr:col>
      <xdr:colOff>304799</xdr:colOff>
      <xdr:row>4</xdr:row>
      <xdr:rowOff>134472</xdr:rowOff>
    </xdr:to>
    <xdr:sp macro="" textlink="">
      <xdr:nvSpPr>
        <xdr:cNvPr id="120" name="Flecha: doblada hacia arriba 119">
          <a:extLst>
            <a:ext uri="{FF2B5EF4-FFF2-40B4-BE49-F238E27FC236}">
              <a16:creationId xmlns:a16="http://schemas.microsoft.com/office/drawing/2014/main" id="{90415F17-C271-4E8D-9ED2-6DDE61945811}"/>
            </a:ext>
          </a:extLst>
        </xdr:cNvPr>
        <xdr:cNvSpPr/>
      </xdr:nvSpPr>
      <xdr:spPr>
        <a:xfrm rot="5400000">
          <a:off x="83708837" y="693870"/>
          <a:ext cx="191847" cy="15239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111</xdr:col>
      <xdr:colOff>294932</xdr:colOff>
      <xdr:row>15</xdr:row>
      <xdr:rowOff>74843</xdr:rowOff>
    </xdr:from>
    <xdr:to>
      <xdr:col>111</xdr:col>
      <xdr:colOff>568005</xdr:colOff>
      <xdr:row>16</xdr:row>
      <xdr:rowOff>136038</xdr:rowOff>
    </xdr:to>
    <xdr:sp macro="" textlink="">
      <xdr:nvSpPr>
        <xdr:cNvPr id="121" name="Flecha: doblada hacia arriba 120">
          <a:extLst>
            <a:ext uri="{FF2B5EF4-FFF2-40B4-BE49-F238E27FC236}">
              <a16:creationId xmlns:a16="http://schemas.microsoft.com/office/drawing/2014/main" id="{D899AA0A-4ED9-4B09-8A64-FB84069523CF}"/>
            </a:ext>
          </a:extLst>
        </xdr:cNvPr>
        <xdr:cNvSpPr/>
      </xdr:nvSpPr>
      <xdr:spPr>
        <a:xfrm rot="16200000">
          <a:off x="85821072" y="3528532"/>
          <a:ext cx="300680" cy="27307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113</xdr:col>
      <xdr:colOff>125505</xdr:colOff>
      <xdr:row>6</xdr:row>
      <xdr:rowOff>107577</xdr:rowOff>
    </xdr:from>
    <xdr:to>
      <xdr:col>113</xdr:col>
      <xdr:colOff>357979</xdr:colOff>
      <xdr:row>7</xdr:row>
      <xdr:rowOff>124897</xdr:rowOff>
    </xdr:to>
    <xdr:sp macro="" textlink="">
      <xdr:nvSpPr>
        <xdr:cNvPr id="122" name="Flecha: doblada hacia arriba 121">
          <a:extLst>
            <a:ext uri="{FF2B5EF4-FFF2-40B4-BE49-F238E27FC236}">
              <a16:creationId xmlns:a16="http://schemas.microsoft.com/office/drawing/2014/main" id="{28F2F782-02D0-414A-B233-09418A6BC9E1}"/>
            </a:ext>
          </a:extLst>
        </xdr:cNvPr>
        <xdr:cNvSpPr/>
      </xdr:nvSpPr>
      <xdr:spPr>
        <a:xfrm rot="10800000" flipV="1">
          <a:off x="84379845" y="1212477"/>
          <a:ext cx="232474" cy="20020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528917</xdr:colOff>
      <xdr:row>33</xdr:row>
      <xdr:rowOff>62754</xdr:rowOff>
    </xdr:from>
    <xdr:to>
      <xdr:col>97</xdr:col>
      <xdr:colOff>761391</xdr:colOff>
      <xdr:row>34</xdr:row>
      <xdr:rowOff>80074</xdr:rowOff>
    </xdr:to>
    <xdr:sp macro="" textlink="">
      <xdr:nvSpPr>
        <xdr:cNvPr id="123" name="Flecha: doblada hacia arriba 122">
          <a:extLst>
            <a:ext uri="{FF2B5EF4-FFF2-40B4-BE49-F238E27FC236}">
              <a16:creationId xmlns:a16="http://schemas.microsoft.com/office/drawing/2014/main" id="{7A5A32BC-1AF1-4D47-BC76-15C98713095C}"/>
            </a:ext>
          </a:extLst>
        </xdr:cNvPr>
        <xdr:cNvSpPr/>
      </xdr:nvSpPr>
      <xdr:spPr>
        <a:xfrm flipV="1">
          <a:off x="75243017" y="6425454"/>
          <a:ext cx="232474" cy="20020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520562</xdr:colOff>
      <xdr:row>30</xdr:row>
      <xdr:rowOff>142826</xdr:rowOff>
    </xdr:from>
    <xdr:to>
      <xdr:col>97</xdr:col>
      <xdr:colOff>765876</xdr:colOff>
      <xdr:row>31</xdr:row>
      <xdr:rowOff>156276</xdr:rowOff>
    </xdr:to>
    <xdr:sp macro="" textlink="">
      <xdr:nvSpPr>
        <xdr:cNvPr id="124" name="Flecha: doblada hacia arriba 123">
          <a:extLst>
            <a:ext uri="{FF2B5EF4-FFF2-40B4-BE49-F238E27FC236}">
              <a16:creationId xmlns:a16="http://schemas.microsoft.com/office/drawing/2014/main" id="{364923CE-80A3-4FA8-BB78-41802D884635}"/>
            </a:ext>
          </a:extLst>
        </xdr:cNvPr>
        <xdr:cNvSpPr/>
      </xdr:nvSpPr>
      <xdr:spPr>
        <a:xfrm>
          <a:off x="75234662" y="5956886"/>
          <a:ext cx="245314" cy="19633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479611</xdr:colOff>
      <xdr:row>32</xdr:row>
      <xdr:rowOff>13449</xdr:rowOff>
    </xdr:from>
    <xdr:to>
      <xdr:col>97</xdr:col>
      <xdr:colOff>784411</xdr:colOff>
      <xdr:row>33</xdr:row>
      <xdr:rowOff>4484</xdr:rowOff>
    </xdr:to>
    <xdr:sp macro="" textlink="">
      <xdr:nvSpPr>
        <xdr:cNvPr id="125" name="Flecha: hacia la izquierda 124">
          <a:extLst>
            <a:ext uri="{FF2B5EF4-FFF2-40B4-BE49-F238E27FC236}">
              <a16:creationId xmlns:a16="http://schemas.microsoft.com/office/drawing/2014/main" id="{D6C4A64B-2B54-4BCF-B811-8661EA10337B}"/>
            </a:ext>
          </a:extLst>
        </xdr:cNvPr>
        <xdr:cNvSpPr/>
      </xdr:nvSpPr>
      <xdr:spPr>
        <a:xfrm rot="10800000">
          <a:off x="75193711" y="6193269"/>
          <a:ext cx="304800" cy="1739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192741</xdr:colOff>
      <xdr:row>29</xdr:row>
      <xdr:rowOff>85165</xdr:rowOff>
    </xdr:from>
    <xdr:to>
      <xdr:col>102</xdr:col>
      <xdr:colOff>425215</xdr:colOff>
      <xdr:row>30</xdr:row>
      <xdr:rowOff>102484</xdr:rowOff>
    </xdr:to>
    <xdr:sp macro="" textlink="">
      <xdr:nvSpPr>
        <xdr:cNvPr id="126" name="Flecha: doblada hacia arriba 125">
          <a:extLst>
            <a:ext uri="{FF2B5EF4-FFF2-40B4-BE49-F238E27FC236}">
              <a16:creationId xmlns:a16="http://schemas.microsoft.com/office/drawing/2014/main" id="{E689CA2E-E297-47B4-92F3-F9540BE209C4}"/>
            </a:ext>
          </a:extLst>
        </xdr:cNvPr>
        <xdr:cNvSpPr/>
      </xdr:nvSpPr>
      <xdr:spPr>
        <a:xfrm rot="10800000" flipV="1">
          <a:off x="78389181" y="5716345"/>
          <a:ext cx="232474" cy="20019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143435</xdr:colOff>
      <xdr:row>31</xdr:row>
      <xdr:rowOff>8965</xdr:rowOff>
    </xdr:from>
    <xdr:to>
      <xdr:col>102</xdr:col>
      <xdr:colOff>448235</xdr:colOff>
      <xdr:row>32</xdr:row>
      <xdr:rowOff>0</xdr:rowOff>
    </xdr:to>
    <xdr:sp macro="" textlink="">
      <xdr:nvSpPr>
        <xdr:cNvPr id="127" name="Flecha: hacia la izquierda 126">
          <a:extLst>
            <a:ext uri="{FF2B5EF4-FFF2-40B4-BE49-F238E27FC236}">
              <a16:creationId xmlns:a16="http://schemas.microsoft.com/office/drawing/2014/main" id="{C0F14CAA-797F-498F-B3D5-E0466BCEC745}"/>
            </a:ext>
          </a:extLst>
        </xdr:cNvPr>
        <xdr:cNvSpPr/>
      </xdr:nvSpPr>
      <xdr:spPr>
        <a:xfrm>
          <a:off x="78339875" y="6005905"/>
          <a:ext cx="304800" cy="1739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161364</xdr:colOff>
      <xdr:row>32</xdr:row>
      <xdr:rowOff>98612</xdr:rowOff>
    </xdr:from>
    <xdr:to>
      <xdr:col>102</xdr:col>
      <xdr:colOff>406678</xdr:colOff>
      <xdr:row>33</xdr:row>
      <xdr:rowOff>112062</xdr:rowOff>
    </xdr:to>
    <xdr:sp macro="" textlink="">
      <xdr:nvSpPr>
        <xdr:cNvPr id="128" name="Flecha: doblada hacia arriba 127">
          <a:extLst>
            <a:ext uri="{FF2B5EF4-FFF2-40B4-BE49-F238E27FC236}">
              <a16:creationId xmlns:a16="http://schemas.microsoft.com/office/drawing/2014/main" id="{C757CC58-D545-473E-B45B-10AAFC73CD2F}"/>
            </a:ext>
          </a:extLst>
        </xdr:cNvPr>
        <xdr:cNvSpPr/>
      </xdr:nvSpPr>
      <xdr:spPr>
        <a:xfrm rot="10800000">
          <a:off x="78357804" y="6278432"/>
          <a:ext cx="245314" cy="19633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178690</xdr:colOff>
      <xdr:row>25</xdr:row>
      <xdr:rowOff>80682</xdr:rowOff>
    </xdr:from>
    <xdr:to>
      <xdr:col>99</xdr:col>
      <xdr:colOff>349019</xdr:colOff>
      <xdr:row>27</xdr:row>
      <xdr:rowOff>26894</xdr:rowOff>
    </xdr:to>
    <xdr:sp macro="" textlink="">
      <xdr:nvSpPr>
        <xdr:cNvPr id="129" name="Flecha: hacia la izquierda 128">
          <a:extLst>
            <a:ext uri="{FF2B5EF4-FFF2-40B4-BE49-F238E27FC236}">
              <a16:creationId xmlns:a16="http://schemas.microsoft.com/office/drawing/2014/main" id="{E95EA3D0-5A96-4EDD-BCD1-5A32AE9D8ECC}"/>
            </a:ext>
          </a:extLst>
        </xdr:cNvPr>
        <xdr:cNvSpPr/>
      </xdr:nvSpPr>
      <xdr:spPr>
        <a:xfrm rot="16200000">
          <a:off x="76406929" y="5051163"/>
          <a:ext cx="311972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179294</xdr:colOff>
      <xdr:row>25</xdr:row>
      <xdr:rowOff>85771</xdr:rowOff>
    </xdr:from>
    <xdr:to>
      <xdr:col>100</xdr:col>
      <xdr:colOff>372038</xdr:colOff>
      <xdr:row>26</xdr:row>
      <xdr:rowOff>151791</xdr:rowOff>
    </xdr:to>
    <xdr:sp macro="" textlink="">
      <xdr:nvSpPr>
        <xdr:cNvPr id="130" name="Flecha: doblada hacia arriba 129">
          <a:extLst>
            <a:ext uri="{FF2B5EF4-FFF2-40B4-BE49-F238E27FC236}">
              <a16:creationId xmlns:a16="http://schemas.microsoft.com/office/drawing/2014/main" id="{7A813E2D-C86B-441A-93A7-F158441B64C6}"/>
            </a:ext>
          </a:extLst>
        </xdr:cNvPr>
        <xdr:cNvSpPr/>
      </xdr:nvSpPr>
      <xdr:spPr>
        <a:xfrm rot="5400000">
          <a:off x="76983676" y="5013509"/>
          <a:ext cx="248900" cy="1927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98</xdr:col>
      <xdr:colOff>443756</xdr:colOff>
      <xdr:row>25</xdr:row>
      <xdr:rowOff>130593</xdr:rowOff>
    </xdr:from>
    <xdr:to>
      <xdr:col>98</xdr:col>
      <xdr:colOff>640370</xdr:colOff>
      <xdr:row>27</xdr:row>
      <xdr:rowOff>4479</xdr:rowOff>
    </xdr:to>
    <xdr:sp macro="" textlink="">
      <xdr:nvSpPr>
        <xdr:cNvPr id="131" name="Flecha: doblada hacia arriba 130">
          <a:extLst>
            <a:ext uri="{FF2B5EF4-FFF2-40B4-BE49-F238E27FC236}">
              <a16:creationId xmlns:a16="http://schemas.microsoft.com/office/drawing/2014/main" id="{871051D6-69BA-4F57-BC0F-5AF2BFDB36AD}"/>
            </a:ext>
          </a:extLst>
        </xdr:cNvPr>
        <xdr:cNvSpPr/>
      </xdr:nvSpPr>
      <xdr:spPr>
        <a:xfrm rot="5400000" flipV="1">
          <a:off x="75928820" y="5051769"/>
          <a:ext cx="239646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98</xdr:col>
      <xdr:colOff>443754</xdr:colOff>
      <xdr:row>51</xdr:row>
      <xdr:rowOff>103092</xdr:rowOff>
    </xdr:from>
    <xdr:to>
      <xdr:col>98</xdr:col>
      <xdr:colOff>640368</xdr:colOff>
      <xdr:row>52</xdr:row>
      <xdr:rowOff>156272</xdr:rowOff>
    </xdr:to>
    <xdr:sp macro="" textlink="">
      <xdr:nvSpPr>
        <xdr:cNvPr id="132" name="Flecha: doblada hacia arriba 131">
          <a:extLst>
            <a:ext uri="{FF2B5EF4-FFF2-40B4-BE49-F238E27FC236}">
              <a16:creationId xmlns:a16="http://schemas.microsoft.com/office/drawing/2014/main" id="{4179BCF2-D214-4CF7-B1DA-3B2497BF8214}"/>
            </a:ext>
          </a:extLst>
        </xdr:cNvPr>
        <xdr:cNvSpPr/>
      </xdr:nvSpPr>
      <xdr:spPr>
        <a:xfrm rot="5400000" flipV="1">
          <a:off x="75930611" y="9777355"/>
          <a:ext cx="236060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174813</xdr:colOff>
      <xdr:row>51</xdr:row>
      <xdr:rowOff>58271</xdr:rowOff>
    </xdr:from>
    <xdr:to>
      <xdr:col>99</xdr:col>
      <xdr:colOff>345142</xdr:colOff>
      <xdr:row>53</xdr:row>
      <xdr:rowOff>4483</xdr:rowOff>
    </xdr:to>
    <xdr:sp macro="" textlink="">
      <xdr:nvSpPr>
        <xdr:cNvPr id="133" name="Flecha: hacia la izquierda 132">
          <a:extLst>
            <a:ext uri="{FF2B5EF4-FFF2-40B4-BE49-F238E27FC236}">
              <a16:creationId xmlns:a16="http://schemas.microsoft.com/office/drawing/2014/main" id="{F5183427-35E7-4C43-BB7D-2FAB0DFF4D92}"/>
            </a:ext>
          </a:extLst>
        </xdr:cNvPr>
        <xdr:cNvSpPr/>
      </xdr:nvSpPr>
      <xdr:spPr>
        <a:xfrm rot="16200000">
          <a:off x="76403052" y="9783632"/>
          <a:ext cx="311972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0</xdr:colOff>
      <xdr:row>56</xdr:row>
      <xdr:rowOff>17929</xdr:rowOff>
    </xdr:from>
    <xdr:to>
      <xdr:col>100</xdr:col>
      <xdr:colOff>233082</xdr:colOff>
      <xdr:row>57</xdr:row>
      <xdr:rowOff>116540</xdr:rowOff>
    </xdr:to>
    <xdr:sp macro="" textlink="">
      <xdr:nvSpPr>
        <xdr:cNvPr id="134" name="Flecha: doblada hacia arriba 133">
          <a:extLst>
            <a:ext uri="{FF2B5EF4-FFF2-40B4-BE49-F238E27FC236}">
              <a16:creationId xmlns:a16="http://schemas.microsoft.com/office/drawing/2014/main" id="{6519EF09-66E3-4990-B61C-7B07801580BA}"/>
            </a:ext>
          </a:extLst>
        </xdr:cNvPr>
        <xdr:cNvSpPr/>
      </xdr:nvSpPr>
      <xdr:spPr>
        <a:xfrm rot="16200000">
          <a:off x="76808255" y="10611074"/>
          <a:ext cx="281491" cy="233082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309283</xdr:colOff>
      <xdr:row>55</xdr:row>
      <xdr:rowOff>76199</xdr:rowOff>
    </xdr:from>
    <xdr:to>
      <xdr:col>101</xdr:col>
      <xdr:colOff>40342</xdr:colOff>
      <xdr:row>56</xdr:row>
      <xdr:rowOff>67234</xdr:rowOff>
    </xdr:to>
    <xdr:sp macro="" textlink="">
      <xdr:nvSpPr>
        <xdr:cNvPr id="135" name="Flecha: hacia la izquierda 134">
          <a:extLst>
            <a:ext uri="{FF2B5EF4-FFF2-40B4-BE49-F238E27FC236}">
              <a16:creationId xmlns:a16="http://schemas.microsoft.com/office/drawing/2014/main" id="{D5A14A56-0739-4336-AA34-9EC41283359D}"/>
            </a:ext>
          </a:extLst>
        </xdr:cNvPr>
        <xdr:cNvSpPr/>
      </xdr:nvSpPr>
      <xdr:spPr>
        <a:xfrm>
          <a:off x="77141743" y="10462259"/>
          <a:ext cx="302559" cy="1739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90</xdr:col>
      <xdr:colOff>277906</xdr:colOff>
      <xdr:row>56</xdr:row>
      <xdr:rowOff>80682</xdr:rowOff>
    </xdr:from>
    <xdr:to>
      <xdr:col>90</xdr:col>
      <xdr:colOff>502023</xdr:colOff>
      <xdr:row>58</xdr:row>
      <xdr:rowOff>17929</xdr:rowOff>
    </xdr:to>
    <xdr:sp macro="" textlink="">
      <xdr:nvSpPr>
        <xdr:cNvPr id="136" name="Flecha: doblada hacia arriba 135">
          <a:extLst>
            <a:ext uri="{FF2B5EF4-FFF2-40B4-BE49-F238E27FC236}">
              <a16:creationId xmlns:a16="http://schemas.microsoft.com/office/drawing/2014/main" id="{76DF32F7-87C6-40FF-B580-D817F60D7AD7}"/>
            </a:ext>
          </a:extLst>
        </xdr:cNvPr>
        <xdr:cNvSpPr/>
      </xdr:nvSpPr>
      <xdr:spPr>
        <a:xfrm rot="10800000">
          <a:off x="69444646" y="10649622"/>
          <a:ext cx="224117" cy="30300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277906</xdr:colOff>
      <xdr:row>45</xdr:row>
      <xdr:rowOff>143436</xdr:rowOff>
    </xdr:from>
    <xdr:to>
      <xdr:col>62</xdr:col>
      <xdr:colOff>407669</xdr:colOff>
      <xdr:row>47</xdr:row>
      <xdr:rowOff>114526</xdr:rowOff>
    </xdr:to>
    <xdr:sp macro="" textlink="">
      <xdr:nvSpPr>
        <xdr:cNvPr id="137" name="Flecha: hacia la izquierda 136">
          <a:extLst>
            <a:ext uri="{FF2B5EF4-FFF2-40B4-BE49-F238E27FC236}">
              <a16:creationId xmlns:a16="http://schemas.microsoft.com/office/drawing/2014/main" id="{BAA5E230-FC01-4065-8A71-C74CFFC87C5F}"/>
            </a:ext>
          </a:extLst>
        </xdr:cNvPr>
        <xdr:cNvSpPr/>
      </xdr:nvSpPr>
      <xdr:spPr>
        <a:xfrm rot="5400000">
          <a:off x="47852703" y="8804239"/>
          <a:ext cx="336850" cy="12976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546846</xdr:colOff>
      <xdr:row>8</xdr:row>
      <xdr:rowOff>170329</xdr:rowOff>
    </xdr:from>
    <xdr:to>
      <xdr:col>8</xdr:col>
      <xdr:colOff>313764</xdr:colOff>
      <xdr:row>11</xdr:row>
      <xdr:rowOff>98613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32A4E3A9-734E-452F-9CF0-EFE163BA44D5}"/>
            </a:ext>
          </a:extLst>
        </xdr:cNvPr>
        <xdr:cNvSpPr txBox="1"/>
      </xdr:nvSpPr>
      <xdr:spPr>
        <a:xfrm>
          <a:off x="5301726" y="1648609"/>
          <a:ext cx="1351878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</a:t>
          </a:r>
          <a:r>
            <a:rPr lang="es-MX" sz="1100" baseline="0"/>
            <a:t> General Sotenes Rocha</a:t>
          </a:r>
          <a:endParaRPr lang="es-MX" sz="1100"/>
        </a:p>
      </xdr:txBody>
    </xdr:sp>
    <xdr:clientData/>
  </xdr:twoCellAnchor>
  <xdr:twoCellAnchor>
    <xdr:from>
      <xdr:col>0</xdr:col>
      <xdr:colOff>0</xdr:colOff>
      <xdr:row>17</xdr:row>
      <xdr:rowOff>89648</xdr:rowOff>
    </xdr:from>
    <xdr:to>
      <xdr:col>1</xdr:col>
      <xdr:colOff>313765</xdr:colOff>
      <xdr:row>20</xdr:row>
      <xdr:rowOff>17932</xdr:rowOff>
    </xdr:to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9CAEE143-4FBB-4A3F-8A90-22D6FBA64F8E}"/>
            </a:ext>
          </a:extLst>
        </xdr:cNvPr>
        <xdr:cNvSpPr txBox="1"/>
      </xdr:nvSpPr>
      <xdr:spPr>
        <a:xfrm>
          <a:off x="0" y="3259568"/>
          <a:ext cx="1106245" cy="57598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madero </a:t>
          </a:r>
        </a:p>
        <a:p>
          <a:pPr algn="ctr"/>
          <a:r>
            <a:rPr lang="es-MX" sz="1100"/>
            <a:t>Oriente</a:t>
          </a:r>
        </a:p>
      </xdr:txBody>
    </xdr:sp>
    <xdr:clientData/>
  </xdr:twoCellAnchor>
  <xdr:twoCellAnchor>
    <xdr:from>
      <xdr:col>3</xdr:col>
      <xdr:colOff>627530</xdr:colOff>
      <xdr:row>26</xdr:row>
      <xdr:rowOff>71719</xdr:rowOff>
    </xdr:from>
    <xdr:to>
      <xdr:col>5</xdr:col>
      <xdr:colOff>152400</xdr:colOff>
      <xdr:row>29</xdr:row>
      <xdr:rowOff>8967</xdr:rowOff>
    </xdr:to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72D29C69-E354-4086-AEE6-FEE475621163}"/>
            </a:ext>
          </a:extLst>
        </xdr:cNvPr>
        <xdr:cNvSpPr txBox="1"/>
      </xdr:nvSpPr>
      <xdr:spPr>
        <a:xfrm>
          <a:off x="3004970" y="5154259"/>
          <a:ext cx="1109830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Cointzio</a:t>
          </a:r>
        </a:p>
      </xdr:txBody>
    </xdr:sp>
    <xdr:clientData/>
  </xdr:twoCellAnchor>
  <xdr:twoCellAnchor>
    <xdr:from>
      <xdr:col>6</xdr:col>
      <xdr:colOff>636494</xdr:colOff>
      <xdr:row>26</xdr:row>
      <xdr:rowOff>80684</xdr:rowOff>
    </xdr:from>
    <xdr:to>
      <xdr:col>8</xdr:col>
      <xdr:colOff>161365</xdr:colOff>
      <xdr:row>29</xdr:row>
      <xdr:rowOff>17932</xdr:rowOff>
    </xdr:to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09475D9B-47AF-4D71-91F9-1140F6668561}"/>
            </a:ext>
          </a:extLst>
        </xdr:cNvPr>
        <xdr:cNvSpPr txBox="1"/>
      </xdr:nvSpPr>
      <xdr:spPr>
        <a:xfrm>
          <a:off x="5391374" y="5163224"/>
          <a:ext cx="1109831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</a:t>
          </a:r>
          <a:r>
            <a:rPr lang="es-MX" sz="1100" baseline="0"/>
            <a:t>. Supermo Tribunal de Ario</a:t>
          </a:r>
          <a:endParaRPr lang="es-MX" sz="1100"/>
        </a:p>
      </xdr:txBody>
    </xdr:sp>
    <xdr:clientData/>
  </xdr:twoCellAnchor>
  <xdr:twoCellAnchor>
    <xdr:from>
      <xdr:col>13</xdr:col>
      <xdr:colOff>654422</xdr:colOff>
      <xdr:row>26</xdr:row>
      <xdr:rowOff>80684</xdr:rowOff>
    </xdr:from>
    <xdr:to>
      <xdr:col>15</xdr:col>
      <xdr:colOff>179293</xdr:colOff>
      <xdr:row>29</xdr:row>
      <xdr:rowOff>17932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FE17DEDA-D794-4ACE-9EB6-30A3B8CA4099}"/>
            </a:ext>
          </a:extLst>
        </xdr:cNvPr>
        <xdr:cNvSpPr txBox="1"/>
      </xdr:nvSpPr>
      <xdr:spPr>
        <a:xfrm>
          <a:off x="10956662" y="5163224"/>
          <a:ext cx="1109831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Manuela medina</a:t>
          </a:r>
        </a:p>
      </xdr:txBody>
    </xdr:sp>
    <xdr:clientData/>
  </xdr:twoCellAnchor>
  <xdr:twoCellAnchor>
    <xdr:from>
      <xdr:col>10</xdr:col>
      <xdr:colOff>493061</xdr:colOff>
      <xdr:row>8</xdr:row>
      <xdr:rowOff>170330</xdr:rowOff>
    </xdr:from>
    <xdr:to>
      <xdr:col>12</xdr:col>
      <xdr:colOff>259979</xdr:colOff>
      <xdr:row>11</xdr:row>
      <xdr:rowOff>98614</xdr:rowOff>
    </xdr:to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D4A4D451-9DA2-4CB7-B7D8-95763C2027D5}"/>
            </a:ext>
          </a:extLst>
        </xdr:cNvPr>
        <xdr:cNvSpPr txBox="1"/>
      </xdr:nvSpPr>
      <xdr:spPr>
        <a:xfrm>
          <a:off x="8417861" y="1648610"/>
          <a:ext cx="1351878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</a:t>
          </a:r>
          <a:r>
            <a:rPr lang="es-MX" sz="1100" baseline="0"/>
            <a:t> Lidefonso Portugal</a:t>
          </a:r>
          <a:endParaRPr lang="es-MX" sz="1100"/>
        </a:p>
      </xdr:txBody>
    </xdr:sp>
    <xdr:clientData/>
  </xdr:twoCellAnchor>
  <xdr:twoCellAnchor>
    <xdr:from>
      <xdr:col>13</xdr:col>
      <xdr:colOff>484096</xdr:colOff>
      <xdr:row>8</xdr:row>
      <xdr:rowOff>170330</xdr:rowOff>
    </xdr:from>
    <xdr:to>
      <xdr:col>15</xdr:col>
      <xdr:colOff>251014</xdr:colOff>
      <xdr:row>11</xdr:row>
      <xdr:rowOff>98614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445EBA6C-D728-4FA7-90B7-9756A800FC93}"/>
            </a:ext>
          </a:extLst>
        </xdr:cNvPr>
        <xdr:cNvSpPr txBox="1"/>
      </xdr:nvSpPr>
      <xdr:spPr>
        <a:xfrm>
          <a:off x="10786336" y="1648610"/>
          <a:ext cx="1351878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</a:t>
          </a:r>
          <a:r>
            <a:rPr lang="es-MX" sz="1100" baseline="0"/>
            <a:t> Loma Dorada</a:t>
          </a:r>
          <a:endParaRPr lang="es-MX" sz="1100"/>
        </a:p>
      </xdr:txBody>
    </xdr:sp>
    <xdr:clientData/>
  </xdr:twoCellAnchor>
  <xdr:twoCellAnchor>
    <xdr:from>
      <xdr:col>16</xdr:col>
      <xdr:colOff>493062</xdr:colOff>
      <xdr:row>8</xdr:row>
      <xdr:rowOff>170328</xdr:rowOff>
    </xdr:from>
    <xdr:to>
      <xdr:col>18</xdr:col>
      <xdr:colOff>259980</xdr:colOff>
      <xdr:row>11</xdr:row>
      <xdr:rowOff>98612</xdr:rowOff>
    </xdr:to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62D6C0A1-8BE9-4D01-B0E4-EEDC391AEF0E}"/>
            </a:ext>
          </a:extLst>
        </xdr:cNvPr>
        <xdr:cNvSpPr txBox="1"/>
      </xdr:nvSpPr>
      <xdr:spPr>
        <a:xfrm>
          <a:off x="13172742" y="1648608"/>
          <a:ext cx="1351878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</a:t>
          </a:r>
          <a:r>
            <a:rPr lang="es-MX" sz="1100" baseline="0"/>
            <a:t> Lago de Zirahuen</a:t>
          </a:r>
          <a:endParaRPr lang="es-MX" sz="1100"/>
        </a:p>
      </xdr:txBody>
    </xdr:sp>
    <xdr:clientData/>
  </xdr:twoCellAnchor>
  <xdr:twoCellAnchor>
    <xdr:from>
      <xdr:col>16</xdr:col>
      <xdr:colOff>627529</xdr:colOff>
      <xdr:row>26</xdr:row>
      <xdr:rowOff>80684</xdr:rowOff>
    </xdr:from>
    <xdr:to>
      <xdr:col>18</xdr:col>
      <xdr:colOff>152400</xdr:colOff>
      <xdr:row>29</xdr:row>
      <xdr:rowOff>17932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5490D209-A90D-4781-8008-5F3399F69DAC}"/>
            </a:ext>
          </a:extLst>
        </xdr:cNvPr>
        <xdr:cNvSpPr txBox="1"/>
      </xdr:nvSpPr>
      <xdr:spPr>
        <a:xfrm>
          <a:off x="13307209" y="5163224"/>
          <a:ext cx="1109831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San</a:t>
          </a:r>
          <a:r>
            <a:rPr lang="es-MX" sz="1100" baseline="0"/>
            <a:t> Juanito Itzicuaro</a:t>
          </a:r>
          <a:endParaRPr lang="es-MX" sz="1100"/>
        </a:p>
      </xdr:txBody>
    </xdr:sp>
    <xdr:clientData/>
  </xdr:twoCellAnchor>
  <xdr:twoCellAnchor>
    <xdr:from>
      <xdr:col>20</xdr:col>
      <xdr:colOff>197227</xdr:colOff>
      <xdr:row>4</xdr:row>
      <xdr:rowOff>170328</xdr:rowOff>
    </xdr:from>
    <xdr:to>
      <xdr:col>21</xdr:col>
      <xdr:colOff>753039</xdr:colOff>
      <xdr:row>7</xdr:row>
      <xdr:rowOff>107576</xdr:rowOff>
    </xdr:to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57879880-ADDC-4A30-8FE5-D609A9137E2A}"/>
            </a:ext>
          </a:extLst>
        </xdr:cNvPr>
        <xdr:cNvSpPr txBox="1"/>
      </xdr:nvSpPr>
      <xdr:spPr>
        <a:xfrm>
          <a:off x="16046827" y="901848"/>
          <a:ext cx="1348292" cy="49350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Glorieta Periferico Salida Quiroga</a:t>
          </a:r>
        </a:p>
      </xdr:txBody>
    </xdr:sp>
    <xdr:clientData/>
  </xdr:twoCellAnchor>
  <xdr:twoCellAnchor>
    <xdr:from>
      <xdr:col>20</xdr:col>
      <xdr:colOff>179298</xdr:colOff>
      <xdr:row>29</xdr:row>
      <xdr:rowOff>170327</xdr:rowOff>
    </xdr:from>
    <xdr:to>
      <xdr:col>21</xdr:col>
      <xdr:colOff>735110</xdr:colOff>
      <xdr:row>32</xdr:row>
      <xdr:rowOff>116541</xdr:rowOff>
    </xdr:to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5BC80FD6-CF2B-4CA1-9743-C060B8C623A8}"/>
            </a:ext>
          </a:extLst>
        </xdr:cNvPr>
        <xdr:cNvSpPr txBox="1"/>
      </xdr:nvSpPr>
      <xdr:spPr>
        <a:xfrm>
          <a:off x="16028898" y="5801507"/>
          <a:ext cx="1348292" cy="494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Glorieta Periferico Salida Quiroga</a:t>
          </a:r>
        </a:p>
      </xdr:txBody>
    </xdr:sp>
    <xdr:clientData/>
  </xdr:twoCellAnchor>
  <xdr:twoCellAnchor>
    <xdr:from>
      <xdr:col>24</xdr:col>
      <xdr:colOff>484098</xdr:colOff>
      <xdr:row>8</xdr:row>
      <xdr:rowOff>170327</xdr:rowOff>
    </xdr:from>
    <xdr:to>
      <xdr:col>26</xdr:col>
      <xdr:colOff>251016</xdr:colOff>
      <xdr:row>11</xdr:row>
      <xdr:rowOff>98611</xdr:rowOff>
    </xdr:to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2EE31877-937C-41A1-AFD3-099F843B1986}"/>
            </a:ext>
          </a:extLst>
        </xdr:cNvPr>
        <xdr:cNvSpPr txBox="1"/>
      </xdr:nvSpPr>
      <xdr:spPr>
        <a:xfrm>
          <a:off x="19503618" y="1648607"/>
          <a:ext cx="1351878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Martires</a:t>
          </a:r>
          <a:r>
            <a:rPr lang="es-MX" sz="1100" baseline="0"/>
            <a:t> de la Plaza</a:t>
          </a:r>
          <a:endParaRPr lang="es-MX" sz="1100"/>
        </a:p>
      </xdr:txBody>
    </xdr:sp>
    <xdr:clientData/>
  </xdr:twoCellAnchor>
  <xdr:twoCellAnchor>
    <xdr:from>
      <xdr:col>27</xdr:col>
      <xdr:colOff>609597</xdr:colOff>
      <xdr:row>26</xdr:row>
      <xdr:rowOff>80685</xdr:rowOff>
    </xdr:from>
    <xdr:to>
      <xdr:col>29</xdr:col>
      <xdr:colOff>161365</xdr:colOff>
      <xdr:row>29</xdr:row>
      <xdr:rowOff>17933</xdr:rowOff>
    </xdr:to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EE3AC760-1990-4865-8822-01403FBF190A}"/>
            </a:ext>
          </a:extLst>
        </xdr:cNvPr>
        <xdr:cNvSpPr txBox="1"/>
      </xdr:nvSpPr>
      <xdr:spPr>
        <a:xfrm>
          <a:off x="22006557" y="5163225"/>
          <a:ext cx="1136728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Pdte. Adolfo</a:t>
          </a:r>
          <a:r>
            <a:rPr lang="es-MX" sz="1100" baseline="0"/>
            <a:t> Lopez M.</a:t>
          </a:r>
          <a:endParaRPr lang="es-MX" sz="1100"/>
        </a:p>
      </xdr:txBody>
    </xdr:sp>
    <xdr:clientData/>
  </xdr:twoCellAnchor>
  <xdr:twoCellAnchor>
    <xdr:from>
      <xdr:col>31</xdr:col>
      <xdr:colOff>591675</xdr:colOff>
      <xdr:row>3</xdr:row>
      <xdr:rowOff>107574</xdr:rowOff>
    </xdr:from>
    <xdr:to>
      <xdr:col>33</xdr:col>
      <xdr:colOff>564781</xdr:colOff>
      <xdr:row>6</xdr:row>
      <xdr:rowOff>44823</xdr:rowOff>
    </xdr:to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CD33E392-B2F1-41EF-99C4-6CFFBC879DCD}"/>
            </a:ext>
          </a:extLst>
        </xdr:cNvPr>
        <xdr:cNvSpPr txBox="1"/>
      </xdr:nvSpPr>
      <xdr:spPr>
        <a:xfrm>
          <a:off x="25158555" y="656214"/>
          <a:ext cx="1352326" cy="49350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Escuadrón</a:t>
          </a:r>
          <a:r>
            <a:rPr lang="es-MX" sz="1100" baseline="0"/>
            <a:t> 201</a:t>
          </a:r>
          <a:endParaRPr lang="es-MX" sz="1100"/>
        </a:p>
      </xdr:txBody>
    </xdr:sp>
    <xdr:clientData/>
  </xdr:twoCellAnchor>
  <xdr:twoCellAnchor>
    <xdr:from>
      <xdr:col>32</xdr:col>
      <xdr:colOff>197226</xdr:colOff>
      <xdr:row>31</xdr:row>
      <xdr:rowOff>80680</xdr:rowOff>
    </xdr:from>
    <xdr:to>
      <xdr:col>34</xdr:col>
      <xdr:colOff>331697</xdr:colOff>
      <xdr:row>34</xdr:row>
      <xdr:rowOff>26893</xdr:rowOff>
    </xdr:to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FF927023-4C58-4650-9B10-DC3F920771AE}"/>
            </a:ext>
          </a:extLst>
        </xdr:cNvPr>
        <xdr:cNvSpPr txBox="1"/>
      </xdr:nvSpPr>
      <xdr:spPr>
        <a:xfrm>
          <a:off x="25556586" y="6077620"/>
          <a:ext cx="1346051" cy="4948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José</a:t>
          </a:r>
          <a:r>
            <a:rPr lang="es-MX" sz="1100" baseline="0"/>
            <a:t> Maria Lino Patiño</a:t>
          </a:r>
          <a:endParaRPr lang="es-MX" sz="1100"/>
        </a:p>
      </xdr:txBody>
    </xdr:sp>
    <xdr:clientData/>
  </xdr:twoCellAnchor>
  <xdr:twoCellAnchor>
    <xdr:from>
      <xdr:col>36</xdr:col>
      <xdr:colOff>717176</xdr:colOff>
      <xdr:row>8</xdr:row>
      <xdr:rowOff>170323</xdr:rowOff>
    </xdr:from>
    <xdr:to>
      <xdr:col>39</xdr:col>
      <xdr:colOff>62752</xdr:colOff>
      <xdr:row>11</xdr:row>
      <xdr:rowOff>98607</xdr:rowOff>
    </xdr:to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B87C0913-DB49-4FB4-99D4-898712C21345}"/>
            </a:ext>
          </a:extLst>
        </xdr:cNvPr>
        <xdr:cNvSpPr txBox="1"/>
      </xdr:nvSpPr>
      <xdr:spPr>
        <a:xfrm>
          <a:off x="28873076" y="1648603"/>
          <a:ext cx="1349636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Pedregal</a:t>
          </a:r>
        </a:p>
      </xdr:txBody>
    </xdr:sp>
    <xdr:clientData/>
  </xdr:twoCellAnchor>
  <xdr:twoCellAnchor>
    <xdr:from>
      <xdr:col>40</xdr:col>
      <xdr:colOff>609593</xdr:colOff>
      <xdr:row>26</xdr:row>
      <xdr:rowOff>80684</xdr:rowOff>
    </xdr:from>
    <xdr:to>
      <xdr:col>42</xdr:col>
      <xdr:colOff>161361</xdr:colOff>
      <xdr:row>29</xdr:row>
      <xdr:rowOff>17932</xdr:rowOff>
    </xdr:to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68C9F3CC-A71E-49DF-AF07-623DAB611E90}"/>
            </a:ext>
          </a:extLst>
        </xdr:cNvPr>
        <xdr:cNvSpPr txBox="1"/>
      </xdr:nvSpPr>
      <xdr:spPr>
        <a:xfrm>
          <a:off x="31562033" y="5163224"/>
          <a:ext cx="1136728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Puente de Calderón</a:t>
          </a:r>
        </a:p>
      </xdr:txBody>
    </xdr:sp>
    <xdr:clientData/>
  </xdr:twoCellAnchor>
  <xdr:twoCellAnchor>
    <xdr:from>
      <xdr:col>42</xdr:col>
      <xdr:colOff>672347</xdr:colOff>
      <xdr:row>26</xdr:row>
      <xdr:rowOff>80685</xdr:rowOff>
    </xdr:from>
    <xdr:to>
      <xdr:col>44</xdr:col>
      <xdr:colOff>224115</xdr:colOff>
      <xdr:row>29</xdr:row>
      <xdr:rowOff>17933</xdr:rowOff>
    </xdr:to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3046F1A4-E50B-46DD-9A81-51A9F7DDCF88}"/>
            </a:ext>
          </a:extLst>
        </xdr:cNvPr>
        <xdr:cNvSpPr txBox="1"/>
      </xdr:nvSpPr>
      <xdr:spPr>
        <a:xfrm>
          <a:off x="33209747" y="5163225"/>
          <a:ext cx="1136728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Alejandro Robles</a:t>
          </a:r>
        </a:p>
      </xdr:txBody>
    </xdr:sp>
    <xdr:clientData/>
  </xdr:twoCellAnchor>
  <xdr:twoCellAnchor>
    <xdr:from>
      <xdr:col>40</xdr:col>
      <xdr:colOff>475129</xdr:colOff>
      <xdr:row>8</xdr:row>
      <xdr:rowOff>170324</xdr:rowOff>
    </xdr:from>
    <xdr:to>
      <xdr:col>42</xdr:col>
      <xdr:colOff>242047</xdr:colOff>
      <xdr:row>11</xdr:row>
      <xdr:rowOff>98608</xdr:rowOff>
    </xdr:to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ADCC21A9-9234-49EC-8050-7118960AD952}"/>
            </a:ext>
          </a:extLst>
        </xdr:cNvPr>
        <xdr:cNvSpPr txBox="1"/>
      </xdr:nvSpPr>
      <xdr:spPr>
        <a:xfrm>
          <a:off x="31427569" y="1648604"/>
          <a:ext cx="1351878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Puente</a:t>
          </a:r>
          <a:r>
            <a:rPr lang="es-MX" sz="1100" baseline="0"/>
            <a:t> de Calderón</a:t>
          </a:r>
          <a:endParaRPr lang="es-MX" sz="1100"/>
        </a:p>
      </xdr:txBody>
    </xdr:sp>
    <xdr:clientData/>
  </xdr:twoCellAnchor>
  <xdr:twoCellAnchor>
    <xdr:from>
      <xdr:col>42</xdr:col>
      <xdr:colOff>510988</xdr:colOff>
      <xdr:row>8</xdr:row>
      <xdr:rowOff>170322</xdr:rowOff>
    </xdr:from>
    <xdr:to>
      <xdr:col>44</xdr:col>
      <xdr:colOff>277906</xdr:colOff>
      <xdr:row>11</xdr:row>
      <xdr:rowOff>98606</xdr:rowOff>
    </xdr:to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0A1C8DA6-550B-4EF6-A62F-613CD0387DE0}"/>
            </a:ext>
          </a:extLst>
        </xdr:cNvPr>
        <xdr:cNvSpPr txBox="1"/>
      </xdr:nvSpPr>
      <xdr:spPr>
        <a:xfrm>
          <a:off x="33048388" y="1648602"/>
          <a:ext cx="1351878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Alejandro Robles</a:t>
          </a:r>
        </a:p>
      </xdr:txBody>
    </xdr:sp>
    <xdr:clientData/>
  </xdr:twoCellAnchor>
  <xdr:twoCellAnchor>
    <xdr:from>
      <xdr:col>44</xdr:col>
      <xdr:colOff>582705</xdr:colOff>
      <xdr:row>26</xdr:row>
      <xdr:rowOff>80685</xdr:rowOff>
    </xdr:from>
    <xdr:to>
      <xdr:col>46</xdr:col>
      <xdr:colOff>134472</xdr:colOff>
      <xdr:row>29</xdr:row>
      <xdr:rowOff>17933</xdr:rowOff>
    </xdr:to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AD4DE4D1-221A-4E28-87EB-EF60F9FC2B8E}"/>
            </a:ext>
          </a:extLst>
        </xdr:cNvPr>
        <xdr:cNvSpPr txBox="1"/>
      </xdr:nvSpPr>
      <xdr:spPr>
        <a:xfrm>
          <a:off x="34705065" y="5163225"/>
          <a:ext cx="1136727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Periodismo</a:t>
          </a:r>
        </a:p>
      </xdr:txBody>
    </xdr:sp>
    <xdr:clientData/>
  </xdr:twoCellAnchor>
  <xdr:twoCellAnchor>
    <xdr:from>
      <xdr:col>47</xdr:col>
      <xdr:colOff>484097</xdr:colOff>
      <xdr:row>8</xdr:row>
      <xdr:rowOff>170323</xdr:rowOff>
    </xdr:from>
    <xdr:to>
      <xdr:col>49</xdr:col>
      <xdr:colOff>251015</xdr:colOff>
      <xdr:row>11</xdr:row>
      <xdr:rowOff>98607</xdr:rowOff>
    </xdr:to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F6EFAC6D-42C1-4FBE-9844-FD2CAD502451}"/>
            </a:ext>
          </a:extLst>
        </xdr:cNvPr>
        <xdr:cNvSpPr txBox="1"/>
      </xdr:nvSpPr>
      <xdr:spPr>
        <a:xfrm>
          <a:off x="36983897" y="1648603"/>
          <a:ext cx="1351878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Manuela Medina</a:t>
          </a:r>
        </a:p>
      </xdr:txBody>
    </xdr:sp>
    <xdr:clientData/>
  </xdr:twoCellAnchor>
  <xdr:twoCellAnchor>
    <xdr:from>
      <xdr:col>50</xdr:col>
      <xdr:colOff>484098</xdr:colOff>
      <xdr:row>8</xdr:row>
      <xdr:rowOff>170321</xdr:rowOff>
    </xdr:from>
    <xdr:to>
      <xdr:col>52</xdr:col>
      <xdr:colOff>251016</xdr:colOff>
      <xdr:row>11</xdr:row>
      <xdr:rowOff>98605</xdr:rowOff>
    </xdr:to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42EB06AA-86C9-410E-9465-B7AD6E26AB21}"/>
            </a:ext>
          </a:extLst>
        </xdr:cNvPr>
        <xdr:cNvSpPr txBox="1"/>
      </xdr:nvSpPr>
      <xdr:spPr>
        <a:xfrm>
          <a:off x="39361338" y="1648601"/>
          <a:ext cx="1351878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María Rodriguez</a:t>
          </a:r>
          <a:r>
            <a:rPr lang="es-MX" sz="1100" baseline="0"/>
            <a:t> del Toro</a:t>
          </a:r>
          <a:endParaRPr lang="es-MX" sz="1100"/>
        </a:p>
      </xdr:txBody>
    </xdr:sp>
    <xdr:clientData/>
  </xdr:twoCellAnchor>
  <xdr:twoCellAnchor>
    <xdr:from>
      <xdr:col>47</xdr:col>
      <xdr:colOff>502029</xdr:colOff>
      <xdr:row>26</xdr:row>
      <xdr:rowOff>64088</xdr:rowOff>
    </xdr:from>
    <xdr:to>
      <xdr:col>49</xdr:col>
      <xdr:colOff>268947</xdr:colOff>
      <xdr:row>29</xdr:row>
      <xdr:rowOff>17922</xdr:rowOff>
    </xdr:to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ED4AE1D1-CD9A-4372-BE6B-6E7FD3561245}"/>
            </a:ext>
          </a:extLst>
        </xdr:cNvPr>
        <xdr:cNvSpPr txBox="1"/>
      </xdr:nvSpPr>
      <xdr:spPr>
        <a:xfrm>
          <a:off x="37001829" y="5146628"/>
          <a:ext cx="1351878" cy="50247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Jesús Solorzano Davalos</a:t>
          </a:r>
        </a:p>
      </xdr:txBody>
    </xdr:sp>
    <xdr:clientData/>
  </xdr:twoCellAnchor>
  <xdr:twoCellAnchor>
    <xdr:from>
      <xdr:col>50</xdr:col>
      <xdr:colOff>510998</xdr:colOff>
      <xdr:row>26</xdr:row>
      <xdr:rowOff>64087</xdr:rowOff>
    </xdr:from>
    <xdr:to>
      <xdr:col>52</xdr:col>
      <xdr:colOff>277916</xdr:colOff>
      <xdr:row>29</xdr:row>
      <xdr:rowOff>17921</xdr:rowOff>
    </xdr:to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EE688B12-73E3-49D4-A4EE-C74556711695}"/>
            </a:ext>
          </a:extLst>
        </xdr:cNvPr>
        <xdr:cNvSpPr txBox="1"/>
      </xdr:nvSpPr>
      <xdr:spPr>
        <a:xfrm>
          <a:off x="39388238" y="5146627"/>
          <a:ext cx="1351878" cy="50247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Pedro de Fuentes</a:t>
          </a:r>
        </a:p>
      </xdr:txBody>
    </xdr:sp>
    <xdr:clientData/>
  </xdr:twoCellAnchor>
  <xdr:twoCellAnchor>
    <xdr:from>
      <xdr:col>53</xdr:col>
      <xdr:colOff>744075</xdr:colOff>
      <xdr:row>25</xdr:row>
      <xdr:rowOff>89638</xdr:rowOff>
    </xdr:from>
    <xdr:to>
      <xdr:col>56</xdr:col>
      <xdr:colOff>71722</xdr:colOff>
      <xdr:row>28</xdr:row>
      <xdr:rowOff>35852</xdr:rowOff>
    </xdr:to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EDC6CF13-4C51-4AA0-BD3B-1D4179EE0372}"/>
            </a:ext>
          </a:extLst>
        </xdr:cNvPr>
        <xdr:cNvSpPr txBox="1"/>
      </xdr:nvSpPr>
      <xdr:spPr>
        <a:xfrm>
          <a:off x="41998755" y="4989298"/>
          <a:ext cx="1346947" cy="494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Monumeto a Lazaro Cardenas</a:t>
          </a:r>
        </a:p>
      </xdr:txBody>
    </xdr:sp>
    <xdr:clientData/>
  </xdr:twoCellAnchor>
  <xdr:twoCellAnchor>
    <xdr:from>
      <xdr:col>55</xdr:col>
      <xdr:colOff>519957</xdr:colOff>
      <xdr:row>7</xdr:row>
      <xdr:rowOff>152391</xdr:rowOff>
    </xdr:from>
    <xdr:to>
      <xdr:col>58</xdr:col>
      <xdr:colOff>26898</xdr:colOff>
      <xdr:row>10</xdr:row>
      <xdr:rowOff>80676</xdr:rowOff>
    </xdr:to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A33E309E-1A90-4B32-B08E-3C2A45A8E38D}"/>
            </a:ext>
          </a:extLst>
        </xdr:cNvPr>
        <xdr:cNvSpPr txBox="1"/>
      </xdr:nvSpPr>
      <xdr:spPr>
        <a:xfrm>
          <a:off x="43184337" y="1440171"/>
          <a:ext cx="1350981" cy="49216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Nocupetaro</a:t>
          </a:r>
        </a:p>
      </xdr:txBody>
    </xdr:sp>
    <xdr:clientData/>
  </xdr:twoCellAnchor>
  <xdr:twoCellAnchor>
    <xdr:from>
      <xdr:col>61</xdr:col>
      <xdr:colOff>484104</xdr:colOff>
      <xdr:row>48</xdr:row>
      <xdr:rowOff>28229</xdr:rowOff>
    </xdr:from>
    <xdr:to>
      <xdr:col>63</xdr:col>
      <xdr:colOff>251022</xdr:colOff>
      <xdr:row>50</xdr:row>
      <xdr:rowOff>161356</xdr:rowOff>
    </xdr:to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AF96E71C-CB06-45D5-AE5E-E1FAFC2FC69F}"/>
            </a:ext>
          </a:extLst>
        </xdr:cNvPr>
        <xdr:cNvSpPr txBox="1"/>
      </xdr:nvSpPr>
      <xdr:spPr>
        <a:xfrm>
          <a:off x="47369964" y="9134129"/>
          <a:ext cx="1351878" cy="49888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Mariano Michelena</a:t>
          </a:r>
        </a:p>
      </xdr:txBody>
    </xdr:sp>
    <xdr:clientData/>
  </xdr:twoCellAnchor>
  <xdr:twoCellAnchor>
    <xdr:from>
      <xdr:col>69</xdr:col>
      <xdr:colOff>134475</xdr:colOff>
      <xdr:row>17</xdr:row>
      <xdr:rowOff>188250</xdr:rowOff>
    </xdr:from>
    <xdr:to>
      <xdr:col>70</xdr:col>
      <xdr:colOff>690286</xdr:colOff>
      <xdr:row>20</xdr:row>
      <xdr:rowOff>17923</xdr:rowOff>
    </xdr:to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22A016F1-7DC3-4678-A79D-15A032ACF2A5}"/>
            </a:ext>
          </a:extLst>
        </xdr:cNvPr>
        <xdr:cNvSpPr txBox="1"/>
      </xdr:nvSpPr>
      <xdr:spPr>
        <a:xfrm>
          <a:off x="53040135" y="3358170"/>
          <a:ext cx="1348291" cy="47737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Madero Oriente</a:t>
          </a:r>
        </a:p>
      </xdr:txBody>
    </xdr:sp>
    <xdr:clientData/>
  </xdr:twoCellAnchor>
  <xdr:twoCellAnchor>
    <xdr:from>
      <xdr:col>64</xdr:col>
      <xdr:colOff>98616</xdr:colOff>
      <xdr:row>8</xdr:row>
      <xdr:rowOff>188251</xdr:rowOff>
    </xdr:from>
    <xdr:to>
      <xdr:col>65</xdr:col>
      <xdr:colOff>654428</xdr:colOff>
      <xdr:row>11</xdr:row>
      <xdr:rowOff>116535</xdr:rowOff>
    </xdr:to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8F70E190-DB9C-42D5-B747-DBB32DC18358}"/>
            </a:ext>
          </a:extLst>
        </xdr:cNvPr>
        <xdr:cNvSpPr txBox="1"/>
      </xdr:nvSpPr>
      <xdr:spPr>
        <a:xfrm>
          <a:off x="49361916" y="1666531"/>
          <a:ext cx="1348292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Santiago Tapia</a:t>
          </a:r>
        </a:p>
      </xdr:txBody>
    </xdr:sp>
    <xdr:clientData/>
  </xdr:twoCellAnchor>
  <xdr:twoCellAnchor>
    <xdr:from>
      <xdr:col>65</xdr:col>
      <xdr:colOff>708216</xdr:colOff>
      <xdr:row>4</xdr:row>
      <xdr:rowOff>188252</xdr:rowOff>
    </xdr:from>
    <xdr:to>
      <xdr:col>68</xdr:col>
      <xdr:colOff>5</xdr:colOff>
      <xdr:row>7</xdr:row>
      <xdr:rowOff>125500</xdr:rowOff>
    </xdr:to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555C26F8-5B47-4CC7-88E7-D5EB7DCC8687}"/>
            </a:ext>
          </a:extLst>
        </xdr:cNvPr>
        <xdr:cNvSpPr txBox="1"/>
      </xdr:nvSpPr>
      <xdr:spPr>
        <a:xfrm>
          <a:off x="50763996" y="919772"/>
          <a:ext cx="1349189" cy="49350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Francisco Zarco</a:t>
          </a:r>
        </a:p>
      </xdr:txBody>
    </xdr:sp>
    <xdr:clientData/>
  </xdr:twoCellAnchor>
  <xdr:twoCellAnchor>
    <xdr:from>
      <xdr:col>72</xdr:col>
      <xdr:colOff>493063</xdr:colOff>
      <xdr:row>3</xdr:row>
      <xdr:rowOff>125499</xdr:rowOff>
    </xdr:from>
    <xdr:to>
      <xdr:col>74</xdr:col>
      <xdr:colOff>259981</xdr:colOff>
      <xdr:row>6</xdr:row>
      <xdr:rowOff>62748</xdr:rowOff>
    </xdr:to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E0084FCD-B6F0-4E43-8846-F810B02E5AB7}"/>
            </a:ext>
          </a:extLst>
        </xdr:cNvPr>
        <xdr:cNvSpPr txBox="1"/>
      </xdr:nvSpPr>
      <xdr:spPr>
        <a:xfrm>
          <a:off x="55776163" y="674139"/>
          <a:ext cx="1351878" cy="49350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Vicente Riva Palacios</a:t>
          </a:r>
        </a:p>
      </xdr:txBody>
    </xdr:sp>
    <xdr:clientData/>
  </xdr:twoCellAnchor>
  <xdr:twoCellAnchor>
    <xdr:from>
      <xdr:col>72</xdr:col>
      <xdr:colOff>645463</xdr:colOff>
      <xdr:row>21</xdr:row>
      <xdr:rowOff>152393</xdr:rowOff>
    </xdr:from>
    <xdr:to>
      <xdr:col>74</xdr:col>
      <xdr:colOff>412381</xdr:colOff>
      <xdr:row>24</xdr:row>
      <xdr:rowOff>62748</xdr:rowOff>
    </xdr:to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A8A5035F-4B44-4AD6-AD96-030D29EE25F3}"/>
            </a:ext>
          </a:extLst>
        </xdr:cNvPr>
        <xdr:cNvSpPr txBox="1"/>
      </xdr:nvSpPr>
      <xdr:spPr>
        <a:xfrm>
          <a:off x="55928563" y="4198613"/>
          <a:ext cx="1351878" cy="58091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Vicente Riva Palacios</a:t>
          </a:r>
        </a:p>
      </xdr:txBody>
    </xdr:sp>
    <xdr:clientData/>
  </xdr:twoCellAnchor>
  <xdr:twoCellAnchor>
    <xdr:from>
      <xdr:col>78</xdr:col>
      <xdr:colOff>528922</xdr:colOff>
      <xdr:row>0</xdr:row>
      <xdr:rowOff>89640</xdr:rowOff>
    </xdr:from>
    <xdr:to>
      <xdr:col>80</xdr:col>
      <xdr:colOff>466169</xdr:colOff>
      <xdr:row>3</xdr:row>
      <xdr:rowOff>35854</xdr:rowOff>
    </xdr:to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863DD8DF-9E7C-4A4E-A6E3-543DC88470F7}"/>
            </a:ext>
          </a:extLst>
        </xdr:cNvPr>
        <xdr:cNvSpPr txBox="1"/>
      </xdr:nvSpPr>
      <xdr:spPr>
        <a:xfrm>
          <a:off x="60361162" y="89640"/>
          <a:ext cx="1346947" cy="494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Guadalupe</a:t>
          </a:r>
          <a:r>
            <a:rPr lang="es-MX" sz="1100" baseline="0"/>
            <a:t> Victoria</a:t>
          </a:r>
          <a:endParaRPr lang="es-MX" sz="1100"/>
        </a:p>
      </xdr:txBody>
    </xdr:sp>
    <xdr:clientData/>
  </xdr:twoCellAnchor>
  <xdr:twoCellAnchor>
    <xdr:from>
      <xdr:col>76</xdr:col>
      <xdr:colOff>753039</xdr:colOff>
      <xdr:row>16</xdr:row>
      <xdr:rowOff>8958</xdr:rowOff>
    </xdr:from>
    <xdr:to>
      <xdr:col>79</xdr:col>
      <xdr:colOff>107580</xdr:colOff>
      <xdr:row>18</xdr:row>
      <xdr:rowOff>80678</xdr:rowOff>
    </xdr:to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AD91DBD9-0D34-4849-9340-833EE3AB402C}"/>
            </a:ext>
          </a:extLst>
        </xdr:cNvPr>
        <xdr:cNvSpPr txBox="1"/>
      </xdr:nvSpPr>
      <xdr:spPr>
        <a:xfrm>
          <a:off x="59206059" y="2995998"/>
          <a:ext cx="1350981" cy="4832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Guadalupe</a:t>
          </a:r>
          <a:r>
            <a:rPr lang="es-MX" sz="1100" baseline="0"/>
            <a:t> Victoria</a:t>
          </a:r>
          <a:endParaRPr lang="es-MX" sz="1100"/>
        </a:p>
      </xdr:txBody>
    </xdr:sp>
    <xdr:clientData/>
  </xdr:twoCellAnchor>
  <xdr:twoCellAnchor>
    <xdr:from>
      <xdr:col>80</xdr:col>
      <xdr:colOff>475133</xdr:colOff>
      <xdr:row>3</xdr:row>
      <xdr:rowOff>98605</xdr:rowOff>
    </xdr:from>
    <xdr:to>
      <xdr:col>82</xdr:col>
      <xdr:colOff>242051</xdr:colOff>
      <xdr:row>6</xdr:row>
      <xdr:rowOff>35854</xdr:rowOff>
    </xdr:to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6267422A-14CD-4DE0-8639-714AE1B3617C}"/>
            </a:ext>
          </a:extLst>
        </xdr:cNvPr>
        <xdr:cNvSpPr txBox="1"/>
      </xdr:nvSpPr>
      <xdr:spPr>
        <a:xfrm>
          <a:off x="61717073" y="647245"/>
          <a:ext cx="1351878" cy="49350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Morelos Norte</a:t>
          </a:r>
        </a:p>
      </xdr:txBody>
    </xdr:sp>
    <xdr:clientData/>
  </xdr:twoCellAnchor>
  <xdr:twoCellAnchor>
    <xdr:from>
      <xdr:col>80</xdr:col>
      <xdr:colOff>475133</xdr:colOff>
      <xdr:row>15</xdr:row>
      <xdr:rowOff>80674</xdr:rowOff>
    </xdr:from>
    <xdr:to>
      <xdr:col>82</xdr:col>
      <xdr:colOff>242051</xdr:colOff>
      <xdr:row>17</xdr:row>
      <xdr:rowOff>197217</xdr:rowOff>
    </xdr:to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ADAEB1AC-B014-4F74-AF2C-A9E08E09F1B5}"/>
            </a:ext>
          </a:extLst>
        </xdr:cNvPr>
        <xdr:cNvSpPr txBox="1"/>
      </xdr:nvSpPr>
      <xdr:spPr>
        <a:xfrm>
          <a:off x="61717073" y="2877214"/>
          <a:ext cx="1351878" cy="48992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Morelos Norte</a:t>
          </a:r>
        </a:p>
      </xdr:txBody>
    </xdr:sp>
    <xdr:clientData/>
  </xdr:twoCellAnchor>
  <xdr:twoCellAnchor>
    <xdr:from>
      <xdr:col>84</xdr:col>
      <xdr:colOff>510989</xdr:colOff>
      <xdr:row>3</xdr:row>
      <xdr:rowOff>98604</xdr:rowOff>
    </xdr:from>
    <xdr:to>
      <xdr:col>86</xdr:col>
      <xdr:colOff>277907</xdr:colOff>
      <xdr:row>6</xdr:row>
      <xdr:rowOff>35853</xdr:rowOff>
    </xdr:to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B64FACE9-2281-44CE-B5D8-6F258C6DB664}"/>
            </a:ext>
          </a:extLst>
        </xdr:cNvPr>
        <xdr:cNvSpPr txBox="1"/>
      </xdr:nvSpPr>
      <xdr:spPr>
        <a:xfrm>
          <a:off x="64922849" y="647244"/>
          <a:ext cx="1351878" cy="49350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Alvaro</a:t>
          </a:r>
          <a:r>
            <a:rPr lang="es-MX" sz="1100" baseline="0"/>
            <a:t> Obregón</a:t>
          </a:r>
          <a:endParaRPr lang="es-MX" sz="1100"/>
        </a:p>
      </xdr:txBody>
    </xdr:sp>
    <xdr:clientData/>
  </xdr:twoCellAnchor>
  <xdr:twoCellAnchor>
    <xdr:from>
      <xdr:col>84</xdr:col>
      <xdr:colOff>510989</xdr:colOff>
      <xdr:row>15</xdr:row>
      <xdr:rowOff>116532</xdr:rowOff>
    </xdr:from>
    <xdr:to>
      <xdr:col>86</xdr:col>
      <xdr:colOff>277907</xdr:colOff>
      <xdr:row>17</xdr:row>
      <xdr:rowOff>233075</xdr:rowOff>
    </xdr:to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6C5BDDAE-A8C8-4845-AD6C-836193582424}"/>
            </a:ext>
          </a:extLst>
        </xdr:cNvPr>
        <xdr:cNvSpPr txBox="1"/>
      </xdr:nvSpPr>
      <xdr:spPr>
        <a:xfrm>
          <a:off x="64922849" y="2913072"/>
          <a:ext cx="1351878" cy="48230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Alvaro</a:t>
          </a:r>
          <a:r>
            <a:rPr lang="es-MX" sz="1100" baseline="0"/>
            <a:t> Obregón</a:t>
          </a:r>
          <a:endParaRPr lang="es-MX" sz="1100"/>
        </a:p>
      </xdr:txBody>
    </xdr:sp>
    <xdr:clientData/>
  </xdr:twoCellAnchor>
  <xdr:twoCellAnchor>
    <xdr:from>
      <xdr:col>87</xdr:col>
      <xdr:colOff>421342</xdr:colOff>
      <xdr:row>3</xdr:row>
      <xdr:rowOff>98604</xdr:rowOff>
    </xdr:from>
    <xdr:to>
      <xdr:col>89</xdr:col>
      <xdr:colOff>188260</xdr:colOff>
      <xdr:row>6</xdr:row>
      <xdr:rowOff>35853</xdr:rowOff>
    </xdr:to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F06C5456-EAB1-4828-8BDA-973397693B0E}"/>
            </a:ext>
          </a:extLst>
        </xdr:cNvPr>
        <xdr:cNvSpPr txBox="1"/>
      </xdr:nvSpPr>
      <xdr:spPr>
        <a:xfrm>
          <a:off x="67210642" y="647244"/>
          <a:ext cx="1351878" cy="49350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Dr. Miguel Silva</a:t>
          </a:r>
        </a:p>
      </xdr:txBody>
    </xdr:sp>
    <xdr:clientData/>
  </xdr:twoCellAnchor>
  <xdr:twoCellAnchor>
    <xdr:from>
      <xdr:col>87</xdr:col>
      <xdr:colOff>555813</xdr:colOff>
      <xdr:row>15</xdr:row>
      <xdr:rowOff>80674</xdr:rowOff>
    </xdr:from>
    <xdr:to>
      <xdr:col>89</xdr:col>
      <xdr:colOff>322731</xdr:colOff>
      <xdr:row>17</xdr:row>
      <xdr:rowOff>197217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3BC935AD-BDE4-4DE7-BE75-B78DB1A0B3A1}"/>
            </a:ext>
          </a:extLst>
        </xdr:cNvPr>
        <xdr:cNvSpPr txBox="1"/>
      </xdr:nvSpPr>
      <xdr:spPr>
        <a:xfrm>
          <a:off x="67345113" y="2877214"/>
          <a:ext cx="1351878" cy="48992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Dr. Miguel Silva</a:t>
          </a:r>
        </a:p>
      </xdr:txBody>
    </xdr:sp>
    <xdr:clientData/>
  </xdr:twoCellAnchor>
  <xdr:twoCellAnchor>
    <xdr:from>
      <xdr:col>93</xdr:col>
      <xdr:colOff>179294</xdr:colOff>
      <xdr:row>14</xdr:row>
      <xdr:rowOff>44816</xdr:rowOff>
    </xdr:from>
    <xdr:to>
      <xdr:col>94</xdr:col>
      <xdr:colOff>735106</xdr:colOff>
      <xdr:row>16</xdr:row>
      <xdr:rowOff>143429</xdr:rowOff>
    </xdr:to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51E5AA42-BFD7-467C-BCFF-A839CAB69073}"/>
            </a:ext>
          </a:extLst>
        </xdr:cNvPr>
        <xdr:cNvSpPr txBox="1"/>
      </xdr:nvSpPr>
      <xdr:spPr>
        <a:xfrm>
          <a:off x="71723474" y="2643236"/>
          <a:ext cx="1348292" cy="48723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Madero Poniente</a:t>
          </a:r>
        </a:p>
      </xdr:txBody>
    </xdr:sp>
    <xdr:clientData/>
  </xdr:twoCellAnchor>
  <xdr:twoCellAnchor>
    <xdr:from>
      <xdr:col>101</xdr:col>
      <xdr:colOff>80683</xdr:colOff>
      <xdr:row>3</xdr:row>
      <xdr:rowOff>53780</xdr:rowOff>
    </xdr:from>
    <xdr:to>
      <xdr:col>102</xdr:col>
      <xdr:colOff>636495</xdr:colOff>
      <xdr:row>6</xdr:row>
      <xdr:rowOff>110835</xdr:rowOff>
    </xdr:to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62EBD980-F9AA-46BE-B05C-C168DBF03CD5}"/>
            </a:ext>
          </a:extLst>
        </xdr:cNvPr>
        <xdr:cNvSpPr txBox="1"/>
      </xdr:nvSpPr>
      <xdr:spPr>
        <a:xfrm>
          <a:off x="77484643" y="602420"/>
          <a:ext cx="1348292" cy="61331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Plan de Ayala</a:t>
          </a:r>
        </a:p>
      </xdr:txBody>
    </xdr:sp>
    <xdr:clientData/>
  </xdr:twoCellAnchor>
  <xdr:twoCellAnchor>
    <xdr:from>
      <xdr:col>101</xdr:col>
      <xdr:colOff>134471</xdr:colOff>
      <xdr:row>14</xdr:row>
      <xdr:rowOff>170322</xdr:rowOff>
    </xdr:from>
    <xdr:to>
      <xdr:col>102</xdr:col>
      <xdr:colOff>690283</xdr:colOff>
      <xdr:row>17</xdr:row>
      <xdr:rowOff>89641</xdr:rowOff>
    </xdr:to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12827276-BF0D-4EFF-AE9A-4FEAA6C3A7F0}"/>
            </a:ext>
          </a:extLst>
        </xdr:cNvPr>
        <xdr:cNvSpPr txBox="1"/>
      </xdr:nvSpPr>
      <xdr:spPr>
        <a:xfrm>
          <a:off x="77538431" y="2768742"/>
          <a:ext cx="1348292" cy="49081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Tata Vasco</a:t>
          </a:r>
        </a:p>
      </xdr:txBody>
    </xdr:sp>
    <xdr:clientData/>
  </xdr:twoCellAnchor>
  <xdr:twoCellAnchor>
    <xdr:from>
      <xdr:col>108</xdr:col>
      <xdr:colOff>502024</xdr:colOff>
      <xdr:row>0</xdr:row>
      <xdr:rowOff>143427</xdr:rowOff>
    </xdr:from>
    <xdr:to>
      <xdr:col>110</xdr:col>
      <xdr:colOff>268941</xdr:colOff>
      <xdr:row>5</xdr:row>
      <xdr:rowOff>41564</xdr:rowOff>
    </xdr:to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6561E079-3956-4E5F-8AE7-4874F7FB8CD1}"/>
            </a:ext>
          </a:extLst>
        </xdr:cNvPr>
        <xdr:cNvSpPr txBox="1"/>
      </xdr:nvSpPr>
      <xdr:spPr>
        <a:xfrm>
          <a:off x="81075904" y="143427"/>
          <a:ext cx="1351877" cy="82015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</a:t>
          </a:r>
          <a:r>
            <a:rPr lang="es-MX" sz="1400" baseline="0"/>
            <a:t> Periferico Salida Charo</a:t>
          </a:r>
          <a:endParaRPr lang="es-MX" sz="1400"/>
        </a:p>
      </xdr:txBody>
    </xdr:sp>
    <xdr:clientData/>
  </xdr:twoCellAnchor>
  <xdr:twoCellAnchor>
    <xdr:from>
      <xdr:col>111</xdr:col>
      <xdr:colOff>116541</xdr:colOff>
      <xdr:row>22</xdr:row>
      <xdr:rowOff>107568</xdr:rowOff>
    </xdr:from>
    <xdr:to>
      <xdr:col>113</xdr:col>
      <xdr:colOff>143435</xdr:colOff>
      <xdr:row>26</xdr:row>
      <xdr:rowOff>96982</xdr:rowOff>
    </xdr:to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C51C34B1-7B18-4450-B428-BD93947E64D6}"/>
            </a:ext>
          </a:extLst>
        </xdr:cNvPr>
        <xdr:cNvSpPr txBox="1"/>
      </xdr:nvSpPr>
      <xdr:spPr>
        <a:xfrm>
          <a:off x="83052621" y="4390008"/>
          <a:ext cx="1345154" cy="78951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</a:t>
          </a:r>
          <a:r>
            <a:rPr lang="es-MX" sz="1400" baseline="0"/>
            <a:t> Periferico Salida Charo</a:t>
          </a:r>
          <a:endParaRPr lang="es-MX" sz="1400"/>
        </a:p>
      </xdr:txBody>
    </xdr:sp>
    <xdr:clientData/>
  </xdr:twoCellAnchor>
  <xdr:twoCellAnchor>
    <xdr:from>
      <xdr:col>116</xdr:col>
      <xdr:colOff>457201</xdr:colOff>
      <xdr:row>0</xdr:row>
      <xdr:rowOff>152392</xdr:rowOff>
    </xdr:from>
    <xdr:to>
      <xdr:col>118</xdr:col>
      <xdr:colOff>224119</xdr:colOff>
      <xdr:row>3</xdr:row>
      <xdr:rowOff>152400</xdr:rowOff>
    </xdr:to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D900EF27-65F3-4231-8E52-C39ED774347B}"/>
            </a:ext>
          </a:extLst>
        </xdr:cNvPr>
        <xdr:cNvSpPr txBox="1"/>
      </xdr:nvSpPr>
      <xdr:spPr>
        <a:xfrm>
          <a:off x="87088981" y="152392"/>
          <a:ext cx="1351878" cy="54864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</a:t>
          </a:r>
          <a:r>
            <a:rPr lang="es-MX" sz="1400" baseline="0"/>
            <a:t> Nicolas Ballesteros</a:t>
          </a:r>
          <a:endParaRPr lang="es-MX" sz="1400"/>
        </a:p>
      </xdr:txBody>
    </xdr:sp>
    <xdr:clientData/>
  </xdr:twoCellAnchor>
  <xdr:twoCellAnchor>
    <xdr:from>
      <xdr:col>116</xdr:col>
      <xdr:colOff>510989</xdr:colOff>
      <xdr:row>18</xdr:row>
      <xdr:rowOff>134463</xdr:rowOff>
    </xdr:from>
    <xdr:to>
      <xdr:col>118</xdr:col>
      <xdr:colOff>277907</xdr:colOff>
      <xdr:row>21</xdr:row>
      <xdr:rowOff>17924</xdr:rowOff>
    </xdr:to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7185B6C0-DC12-4302-B0C8-00A395E1722D}"/>
            </a:ext>
          </a:extLst>
        </xdr:cNvPr>
        <xdr:cNvSpPr txBox="1"/>
      </xdr:nvSpPr>
      <xdr:spPr>
        <a:xfrm>
          <a:off x="87142769" y="3532983"/>
          <a:ext cx="1351878" cy="53116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Marcos Moriana</a:t>
          </a:r>
        </a:p>
      </xdr:txBody>
    </xdr:sp>
    <xdr:clientData/>
  </xdr:twoCellAnchor>
  <xdr:twoCellAnchor>
    <xdr:from>
      <xdr:col>125</xdr:col>
      <xdr:colOff>618565</xdr:colOff>
      <xdr:row>9</xdr:row>
      <xdr:rowOff>107578</xdr:rowOff>
    </xdr:from>
    <xdr:to>
      <xdr:col>127</xdr:col>
      <xdr:colOff>665019</xdr:colOff>
      <xdr:row>11</xdr:row>
      <xdr:rowOff>152401</xdr:rowOff>
    </xdr:to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F7E9FAAC-47A8-49CB-A681-A194757E6039}"/>
            </a:ext>
          </a:extLst>
        </xdr:cNvPr>
        <xdr:cNvSpPr txBox="1"/>
      </xdr:nvSpPr>
      <xdr:spPr>
        <a:xfrm>
          <a:off x="94382665" y="1776358"/>
          <a:ext cx="1631414" cy="41820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400"/>
            <a:t>Ciudad Salud</a:t>
          </a:r>
        </a:p>
      </xdr:txBody>
    </xdr:sp>
    <xdr:clientData/>
  </xdr:twoCellAnchor>
  <xdr:twoCellAnchor>
    <xdr:from>
      <xdr:col>96</xdr:col>
      <xdr:colOff>80684</xdr:colOff>
      <xdr:row>49</xdr:row>
      <xdr:rowOff>143427</xdr:rowOff>
    </xdr:from>
    <xdr:to>
      <xdr:col>97</xdr:col>
      <xdr:colOff>636496</xdr:colOff>
      <xdr:row>52</xdr:row>
      <xdr:rowOff>89640</xdr:rowOff>
    </xdr:to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57875D6E-502F-49A8-9BB7-2084B840E192}"/>
            </a:ext>
          </a:extLst>
        </xdr:cNvPr>
        <xdr:cNvSpPr txBox="1"/>
      </xdr:nvSpPr>
      <xdr:spPr>
        <a:xfrm>
          <a:off x="74002304" y="9432207"/>
          <a:ext cx="1348292" cy="4948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Rafael Carrillo</a:t>
          </a:r>
        </a:p>
      </xdr:txBody>
    </xdr:sp>
    <xdr:clientData/>
  </xdr:twoCellAnchor>
  <xdr:twoCellAnchor>
    <xdr:from>
      <xdr:col>98</xdr:col>
      <xdr:colOff>690285</xdr:colOff>
      <xdr:row>62</xdr:row>
      <xdr:rowOff>44814</xdr:rowOff>
    </xdr:from>
    <xdr:to>
      <xdr:col>101</xdr:col>
      <xdr:colOff>134473</xdr:colOff>
      <xdr:row>66</xdr:row>
      <xdr:rowOff>41563</xdr:rowOff>
    </xdr:to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DE242780-9FF0-4C02-AD23-B6AC8286DBE2}"/>
            </a:ext>
          </a:extLst>
        </xdr:cNvPr>
        <xdr:cNvSpPr txBox="1"/>
      </xdr:nvSpPr>
      <xdr:spPr>
        <a:xfrm>
          <a:off x="76196865" y="11711034"/>
          <a:ext cx="1341568" cy="72826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Ventura Puente</a:t>
          </a:r>
        </a:p>
      </xdr:txBody>
    </xdr:sp>
    <xdr:clientData/>
  </xdr:twoCellAnchor>
  <xdr:twoCellAnchor>
    <xdr:from>
      <xdr:col>91</xdr:col>
      <xdr:colOff>188261</xdr:colOff>
      <xdr:row>42</xdr:row>
      <xdr:rowOff>107567</xdr:rowOff>
    </xdr:from>
    <xdr:to>
      <xdr:col>92</xdr:col>
      <xdr:colOff>744072</xdr:colOff>
      <xdr:row>45</xdr:row>
      <xdr:rowOff>53781</xdr:rowOff>
    </xdr:to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CE56B3E9-AB21-4433-BA5D-2375CE25F22D}"/>
            </a:ext>
          </a:extLst>
        </xdr:cNvPr>
        <xdr:cNvSpPr txBox="1"/>
      </xdr:nvSpPr>
      <xdr:spPr>
        <a:xfrm>
          <a:off x="70147481" y="8116187"/>
          <a:ext cx="1348291" cy="494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Antonio Alzate</a:t>
          </a:r>
        </a:p>
      </xdr:txBody>
    </xdr:sp>
    <xdr:clientData/>
  </xdr:twoCellAnchor>
  <xdr:twoCellAnchor>
    <xdr:from>
      <xdr:col>86</xdr:col>
      <xdr:colOff>510990</xdr:colOff>
      <xdr:row>35</xdr:row>
      <xdr:rowOff>161356</xdr:rowOff>
    </xdr:from>
    <xdr:to>
      <xdr:col>88</xdr:col>
      <xdr:colOff>277908</xdr:colOff>
      <xdr:row>38</xdr:row>
      <xdr:rowOff>107570</xdr:rowOff>
    </xdr:to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573D5563-8367-4344-8AED-587813D01927}"/>
            </a:ext>
          </a:extLst>
        </xdr:cNvPr>
        <xdr:cNvSpPr txBox="1"/>
      </xdr:nvSpPr>
      <xdr:spPr>
        <a:xfrm>
          <a:off x="66507810" y="6889816"/>
          <a:ext cx="1351878" cy="494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Isidro</a:t>
          </a:r>
          <a:r>
            <a:rPr lang="es-MX" sz="1100" baseline="0"/>
            <a:t> Huarte</a:t>
          </a:r>
          <a:endParaRPr lang="es-MX" sz="1100"/>
        </a:p>
      </xdr:txBody>
    </xdr:sp>
    <xdr:clientData/>
  </xdr:twoCellAnchor>
  <xdr:twoCellAnchor>
    <xdr:from>
      <xdr:col>86</xdr:col>
      <xdr:colOff>537884</xdr:colOff>
      <xdr:row>50</xdr:row>
      <xdr:rowOff>80673</xdr:rowOff>
    </xdr:from>
    <xdr:to>
      <xdr:col>88</xdr:col>
      <xdr:colOff>304802</xdr:colOff>
      <xdr:row>53</xdr:row>
      <xdr:rowOff>26887</xdr:rowOff>
    </xdr:to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16ADB364-CF68-4F3F-861F-CE95F4CD8E06}"/>
            </a:ext>
          </a:extLst>
        </xdr:cNvPr>
        <xdr:cNvSpPr txBox="1"/>
      </xdr:nvSpPr>
      <xdr:spPr>
        <a:xfrm>
          <a:off x="66534704" y="9552333"/>
          <a:ext cx="1351878" cy="494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Isidro</a:t>
          </a:r>
          <a:r>
            <a:rPr lang="es-MX" sz="1100" baseline="0"/>
            <a:t> Huarte</a:t>
          </a:r>
          <a:endParaRPr lang="es-MX" sz="1100"/>
        </a:p>
      </xdr:txBody>
    </xdr:sp>
    <xdr:clientData/>
  </xdr:twoCellAnchor>
  <xdr:twoCellAnchor>
    <xdr:from>
      <xdr:col>72</xdr:col>
      <xdr:colOff>510988</xdr:colOff>
      <xdr:row>34</xdr:row>
      <xdr:rowOff>134470</xdr:rowOff>
    </xdr:from>
    <xdr:to>
      <xdr:col>74</xdr:col>
      <xdr:colOff>277906</xdr:colOff>
      <xdr:row>37</xdr:row>
      <xdr:rowOff>80684</xdr:rowOff>
    </xdr:to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323354E7-3727-47F8-B7D3-03DC827CA421}"/>
            </a:ext>
          </a:extLst>
        </xdr:cNvPr>
        <xdr:cNvSpPr txBox="1"/>
      </xdr:nvSpPr>
      <xdr:spPr>
        <a:xfrm>
          <a:off x="55794088" y="6680050"/>
          <a:ext cx="1351878" cy="494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Andres Quintana Roo</a:t>
          </a:r>
        </a:p>
      </xdr:txBody>
    </xdr:sp>
    <xdr:clientData/>
  </xdr:twoCellAnchor>
  <xdr:twoCellAnchor>
    <xdr:from>
      <xdr:col>72</xdr:col>
      <xdr:colOff>510988</xdr:colOff>
      <xdr:row>49</xdr:row>
      <xdr:rowOff>161365</xdr:rowOff>
    </xdr:from>
    <xdr:to>
      <xdr:col>74</xdr:col>
      <xdr:colOff>277906</xdr:colOff>
      <xdr:row>52</xdr:row>
      <xdr:rowOff>107578</xdr:rowOff>
    </xdr:to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EB095442-1D30-4EE4-9D1C-B7400F203F2F}"/>
            </a:ext>
          </a:extLst>
        </xdr:cNvPr>
        <xdr:cNvSpPr txBox="1"/>
      </xdr:nvSpPr>
      <xdr:spPr>
        <a:xfrm>
          <a:off x="55794088" y="9450145"/>
          <a:ext cx="1351878" cy="4948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Andres Quintana Roo</a:t>
          </a:r>
        </a:p>
      </xdr:txBody>
    </xdr:sp>
    <xdr:clientData/>
  </xdr:twoCellAnchor>
  <xdr:twoCellAnchor>
    <xdr:from>
      <xdr:col>69</xdr:col>
      <xdr:colOff>672354</xdr:colOff>
      <xdr:row>39</xdr:row>
      <xdr:rowOff>17930</xdr:rowOff>
    </xdr:from>
    <xdr:to>
      <xdr:col>71</xdr:col>
      <xdr:colOff>439271</xdr:colOff>
      <xdr:row>41</xdr:row>
      <xdr:rowOff>143438</xdr:rowOff>
    </xdr:to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1E8EF3E8-94F0-4A3D-800D-C72EDA4206A7}"/>
            </a:ext>
          </a:extLst>
        </xdr:cNvPr>
        <xdr:cNvSpPr txBox="1"/>
      </xdr:nvSpPr>
      <xdr:spPr>
        <a:xfrm>
          <a:off x="53578014" y="7477910"/>
          <a:ext cx="1351877" cy="49126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Corrregidora</a:t>
          </a:r>
        </a:p>
      </xdr:txBody>
    </xdr:sp>
    <xdr:clientData/>
  </xdr:twoCellAnchor>
  <xdr:twoCellAnchor>
    <xdr:from>
      <xdr:col>66</xdr:col>
      <xdr:colOff>251013</xdr:colOff>
      <xdr:row>30</xdr:row>
      <xdr:rowOff>107577</xdr:rowOff>
    </xdr:from>
    <xdr:to>
      <xdr:col>68</xdr:col>
      <xdr:colOff>331696</xdr:colOff>
      <xdr:row>33</xdr:row>
      <xdr:rowOff>53790</xdr:rowOff>
    </xdr:to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4B83F20F-D2F5-4D9D-8A85-99CFCEF4EA8F}"/>
            </a:ext>
          </a:extLst>
        </xdr:cNvPr>
        <xdr:cNvSpPr txBox="1"/>
      </xdr:nvSpPr>
      <xdr:spPr>
        <a:xfrm>
          <a:off x="51099273" y="5921637"/>
          <a:ext cx="1345603" cy="4948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Cuautla</a:t>
          </a:r>
        </a:p>
      </xdr:txBody>
    </xdr:sp>
    <xdr:clientData/>
  </xdr:twoCellAnchor>
  <xdr:twoCellAnchor>
    <xdr:from>
      <xdr:col>66</xdr:col>
      <xdr:colOff>313765</xdr:colOff>
      <xdr:row>54</xdr:row>
      <xdr:rowOff>62753</xdr:rowOff>
    </xdr:from>
    <xdr:to>
      <xdr:col>68</xdr:col>
      <xdr:colOff>394448</xdr:colOff>
      <xdr:row>57</xdr:row>
      <xdr:rowOff>8967</xdr:rowOff>
    </xdr:to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2D599916-5979-4968-87F3-806D9C2399C8}"/>
            </a:ext>
          </a:extLst>
        </xdr:cNvPr>
        <xdr:cNvSpPr txBox="1"/>
      </xdr:nvSpPr>
      <xdr:spPr>
        <a:xfrm>
          <a:off x="51162025" y="10265933"/>
          <a:ext cx="1345603" cy="494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Cuautla</a:t>
          </a:r>
        </a:p>
      </xdr:txBody>
    </xdr:sp>
    <xdr:clientData/>
  </xdr:twoCellAnchor>
  <xdr:twoCellAnchor>
    <xdr:from>
      <xdr:col>6</xdr:col>
      <xdr:colOff>546846</xdr:colOff>
      <xdr:row>6</xdr:row>
      <xdr:rowOff>55418</xdr:rowOff>
    </xdr:from>
    <xdr:to>
      <xdr:col>8</xdr:col>
      <xdr:colOff>313764</xdr:colOff>
      <xdr:row>11</xdr:row>
      <xdr:rowOff>84758</xdr:rowOff>
    </xdr:to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5B01F2D1-FAD1-4DFF-A970-2381820CF9F5}"/>
            </a:ext>
          </a:extLst>
        </xdr:cNvPr>
        <xdr:cNvSpPr txBox="1"/>
      </xdr:nvSpPr>
      <xdr:spPr>
        <a:xfrm>
          <a:off x="5301726" y="1160318"/>
          <a:ext cx="1351878" cy="9666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General Sotenes Rocha</a:t>
          </a:r>
          <a:endParaRPr lang="es-MX" sz="1400"/>
        </a:p>
      </xdr:txBody>
    </xdr:sp>
    <xdr:clientData/>
  </xdr:twoCellAnchor>
  <xdr:twoCellAnchor>
    <xdr:from>
      <xdr:col>0</xdr:col>
      <xdr:colOff>0</xdr:colOff>
      <xdr:row>17</xdr:row>
      <xdr:rowOff>75793</xdr:rowOff>
    </xdr:from>
    <xdr:to>
      <xdr:col>1</xdr:col>
      <xdr:colOff>313765</xdr:colOff>
      <xdr:row>20</xdr:row>
      <xdr:rowOff>4077</xdr:rowOff>
    </xdr:to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EEDB98DF-3E0F-4924-A7C8-246DA3572E59}"/>
            </a:ext>
          </a:extLst>
        </xdr:cNvPr>
        <xdr:cNvSpPr txBox="1"/>
      </xdr:nvSpPr>
      <xdr:spPr>
        <a:xfrm>
          <a:off x="0" y="3245713"/>
          <a:ext cx="1106245" cy="57598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</a:t>
          </a:r>
        </a:p>
        <a:p>
          <a:pPr algn="ctr"/>
          <a:r>
            <a:rPr lang="es-MX" sz="1400"/>
            <a:t>Oriente</a:t>
          </a:r>
        </a:p>
      </xdr:txBody>
    </xdr:sp>
    <xdr:clientData/>
  </xdr:twoCellAnchor>
  <xdr:twoCellAnchor>
    <xdr:from>
      <xdr:col>3</xdr:col>
      <xdr:colOff>627530</xdr:colOff>
      <xdr:row>26</xdr:row>
      <xdr:rowOff>57864</xdr:rowOff>
    </xdr:from>
    <xdr:to>
      <xdr:col>5</xdr:col>
      <xdr:colOff>152400</xdr:colOff>
      <xdr:row>28</xdr:row>
      <xdr:rowOff>175221</xdr:rowOff>
    </xdr:to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DC3F0AE0-872B-4055-BD90-44E7BEDEFBE4}"/>
            </a:ext>
          </a:extLst>
        </xdr:cNvPr>
        <xdr:cNvSpPr txBox="1"/>
      </xdr:nvSpPr>
      <xdr:spPr>
        <a:xfrm>
          <a:off x="3004970" y="5140404"/>
          <a:ext cx="1109830" cy="48311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Cointzio</a:t>
          </a:r>
        </a:p>
      </xdr:txBody>
    </xdr:sp>
    <xdr:clientData/>
  </xdr:twoCellAnchor>
  <xdr:twoCellAnchor>
    <xdr:from>
      <xdr:col>6</xdr:col>
      <xdr:colOff>636494</xdr:colOff>
      <xdr:row>26</xdr:row>
      <xdr:rowOff>66829</xdr:rowOff>
    </xdr:from>
    <xdr:to>
      <xdr:col>8</xdr:col>
      <xdr:colOff>161365</xdr:colOff>
      <xdr:row>32</xdr:row>
      <xdr:rowOff>13855</xdr:rowOff>
    </xdr:to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B8AE0C44-9F66-4B38-AA83-17917CE7EE5B}"/>
            </a:ext>
          </a:extLst>
        </xdr:cNvPr>
        <xdr:cNvSpPr txBox="1"/>
      </xdr:nvSpPr>
      <xdr:spPr>
        <a:xfrm>
          <a:off x="5391374" y="5149369"/>
          <a:ext cx="1109831" cy="104430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</a:t>
          </a:r>
          <a:r>
            <a:rPr lang="es-MX" sz="1400" baseline="0"/>
            <a:t>. Supermo Tribunal de Ario</a:t>
          </a:r>
          <a:endParaRPr lang="es-MX" sz="1400"/>
        </a:p>
      </xdr:txBody>
    </xdr:sp>
    <xdr:clientData/>
  </xdr:twoCellAnchor>
  <xdr:twoCellAnchor>
    <xdr:from>
      <xdr:col>13</xdr:col>
      <xdr:colOff>654422</xdr:colOff>
      <xdr:row>26</xdr:row>
      <xdr:rowOff>66829</xdr:rowOff>
    </xdr:from>
    <xdr:to>
      <xdr:col>15</xdr:col>
      <xdr:colOff>179293</xdr:colOff>
      <xdr:row>30</xdr:row>
      <xdr:rowOff>110836</xdr:rowOff>
    </xdr:to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60DC8F92-532C-4ECF-94D0-29D417A7678A}"/>
            </a:ext>
          </a:extLst>
        </xdr:cNvPr>
        <xdr:cNvSpPr txBox="1"/>
      </xdr:nvSpPr>
      <xdr:spPr>
        <a:xfrm>
          <a:off x="10956662" y="5149369"/>
          <a:ext cx="1109831" cy="77552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Manuela medina</a:t>
          </a:r>
        </a:p>
      </xdr:txBody>
    </xdr:sp>
    <xdr:clientData/>
  </xdr:twoCellAnchor>
  <xdr:twoCellAnchor>
    <xdr:from>
      <xdr:col>10</xdr:col>
      <xdr:colOff>493061</xdr:colOff>
      <xdr:row>7</xdr:row>
      <xdr:rowOff>138546</xdr:rowOff>
    </xdr:from>
    <xdr:to>
      <xdr:col>12</xdr:col>
      <xdr:colOff>259979</xdr:colOff>
      <xdr:row>11</xdr:row>
      <xdr:rowOff>84759</xdr:rowOff>
    </xdr:to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A76EC670-8A5A-4079-8502-49A417E9DD6C}"/>
            </a:ext>
          </a:extLst>
        </xdr:cNvPr>
        <xdr:cNvSpPr txBox="1"/>
      </xdr:nvSpPr>
      <xdr:spPr>
        <a:xfrm>
          <a:off x="8417861" y="1426326"/>
          <a:ext cx="1351878" cy="70059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Lidefonso Portugal</a:t>
          </a:r>
          <a:endParaRPr lang="es-MX" sz="1400"/>
        </a:p>
      </xdr:txBody>
    </xdr:sp>
    <xdr:clientData/>
  </xdr:twoCellAnchor>
  <xdr:twoCellAnchor>
    <xdr:from>
      <xdr:col>13</xdr:col>
      <xdr:colOff>484096</xdr:colOff>
      <xdr:row>7</xdr:row>
      <xdr:rowOff>124691</xdr:rowOff>
    </xdr:from>
    <xdr:to>
      <xdr:col>15</xdr:col>
      <xdr:colOff>251014</xdr:colOff>
      <xdr:row>11</xdr:row>
      <xdr:rowOff>84759</xdr:rowOff>
    </xdr:to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CD344B67-5E0A-4CD2-8121-328891FD2FD2}"/>
            </a:ext>
          </a:extLst>
        </xdr:cNvPr>
        <xdr:cNvSpPr txBox="1"/>
      </xdr:nvSpPr>
      <xdr:spPr>
        <a:xfrm>
          <a:off x="10786336" y="1412471"/>
          <a:ext cx="1351878" cy="71444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Loma Dorada</a:t>
          </a:r>
          <a:endParaRPr lang="es-MX" sz="1400"/>
        </a:p>
      </xdr:txBody>
    </xdr:sp>
    <xdr:clientData/>
  </xdr:twoCellAnchor>
  <xdr:twoCellAnchor>
    <xdr:from>
      <xdr:col>16</xdr:col>
      <xdr:colOff>493062</xdr:colOff>
      <xdr:row>7</xdr:row>
      <xdr:rowOff>83127</xdr:rowOff>
    </xdr:from>
    <xdr:to>
      <xdr:col>18</xdr:col>
      <xdr:colOff>259980</xdr:colOff>
      <xdr:row>11</xdr:row>
      <xdr:rowOff>84757</xdr:rowOff>
    </xdr:to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FA68B41E-10D0-461D-B2A8-CB36BD1F6976}"/>
            </a:ext>
          </a:extLst>
        </xdr:cNvPr>
        <xdr:cNvSpPr txBox="1"/>
      </xdr:nvSpPr>
      <xdr:spPr>
        <a:xfrm>
          <a:off x="13172742" y="1370907"/>
          <a:ext cx="1351878" cy="75601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Lago de Zirahuen</a:t>
          </a:r>
          <a:endParaRPr lang="es-MX" sz="1400"/>
        </a:p>
      </xdr:txBody>
    </xdr:sp>
    <xdr:clientData/>
  </xdr:twoCellAnchor>
  <xdr:twoCellAnchor>
    <xdr:from>
      <xdr:col>16</xdr:col>
      <xdr:colOff>627529</xdr:colOff>
      <xdr:row>26</xdr:row>
      <xdr:rowOff>66829</xdr:rowOff>
    </xdr:from>
    <xdr:to>
      <xdr:col>18</xdr:col>
      <xdr:colOff>152400</xdr:colOff>
      <xdr:row>30</xdr:row>
      <xdr:rowOff>166255</xdr:rowOff>
    </xdr:to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059BABBD-8276-4230-9981-072F65317C25}"/>
            </a:ext>
          </a:extLst>
        </xdr:cNvPr>
        <xdr:cNvSpPr txBox="1"/>
      </xdr:nvSpPr>
      <xdr:spPr>
        <a:xfrm>
          <a:off x="13307209" y="5149369"/>
          <a:ext cx="1109831" cy="83094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San</a:t>
          </a:r>
          <a:r>
            <a:rPr lang="es-MX" sz="1400" baseline="0"/>
            <a:t> Juanito Itzicuaro</a:t>
          </a:r>
          <a:endParaRPr lang="es-MX" sz="1400"/>
        </a:p>
      </xdr:txBody>
    </xdr:sp>
    <xdr:clientData/>
  </xdr:twoCellAnchor>
  <xdr:twoCellAnchor>
    <xdr:from>
      <xdr:col>20</xdr:col>
      <xdr:colOff>197227</xdr:colOff>
      <xdr:row>2</xdr:row>
      <xdr:rowOff>138546</xdr:rowOff>
    </xdr:from>
    <xdr:to>
      <xdr:col>21</xdr:col>
      <xdr:colOff>753039</xdr:colOff>
      <xdr:row>7</xdr:row>
      <xdr:rowOff>93721</xdr:rowOff>
    </xdr:to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1B1C85A8-B1F3-4081-8098-AED3AFE64B8F}"/>
            </a:ext>
          </a:extLst>
        </xdr:cNvPr>
        <xdr:cNvSpPr txBox="1"/>
      </xdr:nvSpPr>
      <xdr:spPr>
        <a:xfrm>
          <a:off x="16046827" y="504306"/>
          <a:ext cx="1348292" cy="87719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 Periferico Salida Quiroga</a:t>
          </a:r>
        </a:p>
      </xdr:txBody>
    </xdr:sp>
    <xdr:clientData/>
  </xdr:twoCellAnchor>
  <xdr:twoCellAnchor>
    <xdr:from>
      <xdr:col>20</xdr:col>
      <xdr:colOff>179298</xdr:colOff>
      <xdr:row>29</xdr:row>
      <xdr:rowOff>156472</xdr:rowOff>
    </xdr:from>
    <xdr:to>
      <xdr:col>21</xdr:col>
      <xdr:colOff>735110</xdr:colOff>
      <xdr:row>34</xdr:row>
      <xdr:rowOff>124691</xdr:rowOff>
    </xdr:to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697CE654-A484-47C0-BD3C-ECE292335CDD}"/>
            </a:ext>
          </a:extLst>
        </xdr:cNvPr>
        <xdr:cNvSpPr txBox="1"/>
      </xdr:nvSpPr>
      <xdr:spPr>
        <a:xfrm>
          <a:off x="16028898" y="5787652"/>
          <a:ext cx="1348292" cy="88261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 Periferico Salida Quiroga</a:t>
          </a:r>
        </a:p>
      </xdr:txBody>
    </xdr:sp>
    <xdr:clientData/>
  </xdr:twoCellAnchor>
  <xdr:twoCellAnchor>
    <xdr:from>
      <xdr:col>24</xdr:col>
      <xdr:colOff>484098</xdr:colOff>
      <xdr:row>7</xdr:row>
      <xdr:rowOff>138546</xdr:rowOff>
    </xdr:from>
    <xdr:to>
      <xdr:col>26</xdr:col>
      <xdr:colOff>251016</xdr:colOff>
      <xdr:row>11</xdr:row>
      <xdr:rowOff>84756</xdr:rowOff>
    </xdr:to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7A08B91A-13D5-4F98-B619-2776C8ADCE96}"/>
            </a:ext>
          </a:extLst>
        </xdr:cNvPr>
        <xdr:cNvSpPr txBox="1"/>
      </xdr:nvSpPr>
      <xdr:spPr>
        <a:xfrm>
          <a:off x="19503618" y="1426326"/>
          <a:ext cx="1351878" cy="70059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Martires</a:t>
          </a:r>
          <a:r>
            <a:rPr lang="es-MX" sz="1400" baseline="0"/>
            <a:t> de la Plaza</a:t>
          </a:r>
          <a:endParaRPr lang="es-MX" sz="1400"/>
        </a:p>
      </xdr:txBody>
    </xdr:sp>
    <xdr:clientData/>
  </xdr:twoCellAnchor>
  <xdr:twoCellAnchor>
    <xdr:from>
      <xdr:col>27</xdr:col>
      <xdr:colOff>609597</xdr:colOff>
      <xdr:row>26</xdr:row>
      <xdr:rowOff>66830</xdr:rowOff>
    </xdr:from>
    <xdr:to>
      <xdr:col>29</xdr:col>
      <xdr:colOff>161365</xdr:colOff>
      <xdr:row>30</xdr:row>
      <xdr:rowOff>166255</xdr:rowOff>
    </xdr:to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7D5F4A60-8D1E-40EF-91F5-74C5C1E89392}"/>
            </a:ext>
          </a:extLst>
        </xdr:cNvPr>
        <xdr:cNvSpPr txBox="1"/>
      </xdr:nvSpPr>
      <xdr:spPr>
        <a:xfrm>
          <a:off x="22006557" y="5149370"/>
          <a:ext cx="1136728" cy="83094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Pdte. Adolfo</a:t>
          </a:r>
          <a:r>
            <a:rPr lang="es-MX" sz="1400" baseline="0"/>
            <a:t> Lopez M.</a:t>
          </a:r>
          <a:endParaRPr lang="es-MX" sz="1400"/>
        </a:p>
      </xdr:txBody>
    </xdr:sp>
    <xdr:clientData/>
  </xdr:twoCellAnchor>
  <xdr:twoCellAnchor>
    <xdr:from>
      <xdr:col>31</xdr:col>
      <xdr:colOff>591675</xdr:colOff>
      <xdr:row>2</xdr:row>
      <xdr:rowOff>166256</xdr:rowOff>
    </xdr:from>
    <xdr:to>
      <xdr:col>33</xdr:col>
      <xdr:colOff>564781</xdr:colOff>
      <xdr:row>6</xdr:row>
      <xdr:rowOff>30969</xdr:rowOff>
    </xdr:to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8495E5AA-A8E5-4C76-8F2E-F68F5535317D}"/>
            </a:ext>
          </a:extLst>
        </xdr:cNvPr>
        <xdr:cNvSpPr txBox="1"/>
      </xdr:nvSpPr>
      <xdr:spPr>
        <a:xfrm>
          <a:off x="25158555" y="532016"/>
          <a:ext cx="1352326" cy="6038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Escuadrón</a:t>
          </a:r>
          <a:r>
            <a:rPr lang="es-MX" sz="1400" baseline="0"/>
            <a:t> 201</a:t>
          </a:r>
          <a:endParaRPr lang="es-MX" sz="1400"/>
        </a:p>
      </xdr:txBody>
    </xdr:sp>
    <xdr:clientData/>
  </xdr:twoCellAnchor>
  <xdr:twoCellAnchor>
    <xdr:from>
      <xdr:col>32</xdr:col>
      <xdr:colOff>197226</xdr:colOff>
      <xdr:row>31</xdr:row>
      <xdr:rowOff>66825</xdr:rowOff>
    </xdr:from>
    <xdr:to>
      <xdr:col>34</xdr:col>
      <xdr:colOff>331697</xdr:colOff>
      <xdr:row>35</xdr:row>
      <xdr:rowOff>110836</xdr:rowOff>
    </xdr:to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ED5E68D6-DC13-4171-A195-A731566FE92C}"/>
            </a:ext>
          </a:extLst>
        </xdr:cNvPr>
        <xdr:cNvSpPr txBox="1"/>
      </xdr:nvSpPr>
      <xdr:spPr>
        <a:xfrm>
          <a:off x="25556586" y="6063765"/>
          <a:ext cx="1346051" cy="77553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José</a:t>
          </a:r>
          <a:r>
            <a:rPr lang="es-MX" sz="1400" baseline="0"/>
            <a:t> Maria Lino Patiño</a:t>
          </a:r>
          <a:endParaRPr lang="es-MX" sz="1400"/>
        </a:p>
      </xdr:txBody>
    </xdr:sp>
    <xdr:clientData/>
  </xdr:twoCellAnchor>
  <xdr:twoCellAnchor>
    <xdr:from>
      <xdr:col>36</xdr:col>
      <xdr:colOff>717176</xdr:colOff>
      <xdr:row>8</xdr:row>
      <xdr:rowOff>156468</xdr:rowOff>
    </xdr:from>
    <xdr:to>
      <xdr:col>39</xdr:col>
      <xdr:colOff>62752</xdr:colOff>
      <xdr:row>11</xdr:row>
      <xdr:rowOff>84752</xdr:rowOff>
    </xdr:to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770AD6F6-FD15-4442-8145-8D9DB4ECA8FC}"/>
            </a:ext>
          </a:extLst>
        </xdr:cNvPr>
        <xdr:cNvSpPr txBox="1"/>
      </xdr:nvSpPr>
      <xdr:spPr>
        <a:xfrm>
          <a:off x="28873076" y="1634748"/>
          <a:ext cx="1349636" cy="4921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Pedregal</a:t>
          </a:r>
        </a:p>
      </xdr:txBody>
    </xdr:sp>
    <xdr:clientData/>
  </xdr:twoCellAnchor>
  <xdr:twoCellAnchor>
    <xdr:from>
      <xdr:col>40</xdr:col>
      <xdr:colOff>609593</xdr:colOff>
      <xdr:row>26</xdr:row>
      <xdr:rowOff>66829</xdr:rowOff>
    </xdr:from>
    <xdr:to>
      <xdr:col>42</xdr:col>
      <xdr:colOff>161361</xdr:colOff>
      <xdr:row>30</xdr:row>
      <xdr:rowOff>41564</xdr:rowOff>
    </xdr:to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E10EC3D5-63FA-40F6-AF4A-08AC16D419AB}"/>
            </a:ext>
          </a:extLst>
        </xdr:cNvPr>
        <xdr:cNvSpPr txBox="1"/>
      </xdr:nvSpPr>
      <xdr:spPr>
        <a:xfrm>
          <a:off x="31562033" y="5149369"/>
          <a:ext cx="1136728" cy="70625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Puente de Calderón</a:t>
          </a:r>
        </a:p>
      </xdr:txBody>
    </xdr:sp>
    <xdr:clientData/>
  </xdr:twoCellAnchor>
  <xdr:twoCellAnchor>
    <xdr:from>
      <xdr:col>42</xdr:col>
      <xdr:colOff>658492</xdr:colOff>
      <xdr:row>26</xdr:row>
      <xdr:rowOff>66829</xdr:rowOff>
    </xdr:from>
    <xdr:to>
      <xdr:col>44</xdr:col>
      <xdr:colOff>210260</xdr:colOff>
      <xdr:row>30</xdr:row>
      <xdr:rowOff>180108</xdr:rowOff>
    </xdr:to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E8DFEF15-5DDD-478D-B340-B32F30C42AAF}"/>
            </a:ext>
          </a:extLst>
        </xdr:cNvPr>
        <xdr:cNvSpPr txBox="1"/>
      </xdr:nvSpPr>
      <xdr:spPr>
        <a:xfrm>
          <a:off x="33195892" y="5149369"/>
          <a:ext cx="1136728" cy="84479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Alejandro Robles</a:t>
          </a:r>
        </a:p>
      </xdr:txBody>
    </xdr:sp>
    <xdr:clientData/>
  </xdr:twoCellAnchor>
  <xdr:twoCellAnchor>
    <xdr:from>
      <xdr:col>40</xdr:col>
      <xdr:colOff>475129</xdr:colOff>
      <xdr:row>7</xdr:row>
      <xdr:rowOff>124691</xdr:rowOff>
    </xdr:from>
    <xdr:to>
      <xdr:col>42</xdr:col>
      <xdr:colOff>242047</xdr:colOff>
      <xdr:row>11</xdr:row>
      <xdr:rowOff>84753</xdr:rowOff>
    </xdr:to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4EE1BBCD-0BAB-4005-89DD-A9F0671E75F0}"/>
            </a:ext>
          </a:extLst>
        </xdr:cNvPr>
        <xdr:cNvSpPr txBox="1"/>
      </xdr:nvSpPr>
      <xdr:spPr>
        <a:xfrm>
          <a:off x="31427569" y="1412471"/>
          <a:ext cx="1351878" cy="71444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Puente</a:t>
          </a:r>
          <a:r>
            <a:rPr lang="es-MX" sz="1400" baseline="0"/>
            <a:t> de Calderón</a:t>
          </a:r>
          <a:endParaRPr lang="es-MX" sz="1400"/>
        </a:p>
      </xdr:txBody>
    </xdr:sp>
    <xdr:clientData/>
  </xdr:twoCellAnchor>
  <xdr:twoCellAnchor>
    <xdr:from>
      <xdr:col>42</xdr:col>
      <xdr:colOff>510988</xdr:colOff>
      <xdr:row>8</xdr:row>
      <xdr:rowOff>0</xdr:rowOff>
    </xdr:from>
    <xdr:to>
      <xdr:col>44</xdr:col>
      <xdr:colOff>277906</xdr:colOff>
      <xdr:row>11</xdr:row>
      <xdr:rowOff>84751</xdr:rowOff>
    </xdr:to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D004A107-7AFA-451A-97B3-214E7C2CF3B9}"/>
            </a:ext>
          </a:extLst>
        </xdr:cNvPr>
        <xdr:cNvSpPr txBox="1"/>
      </xdr:nvSpPr>
      <xdr:spPr>
        <a:xfrm>
          <a:off x="33048388" y="1478280"/>
          <a:ext cx="1351878" cy="64863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Alejandro Robles</a:t>
          </a:r>
        </a:p>
      </xdr:txBody>
    </xdr:sp>
    <xdr:clientData/>
  </xdr:twoCellAnchor>
  <xdr:twoCellAnchor>
    <xdr:from>
      <xdr:col>44</xdr:col>
      <xdr:colOff>582705</xdr:colOff>
      <xdr:row>26</xdr:row>
      <xdr:rowOff>66830</xdr:rowOff>
    </xdr:from>
    <xdr:to>
      <xdr:col>46</xdr:col>
      <xdr:colOff>134472</xdr:colOff>
      <xdr:row>30</xdr:row>
      <xdr:rowOff>110836</xdr:rowOff>
    </xdr:to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BCF81A34-ABBC-4AAB-80DD-11BD1EFA4584}"/>
            </a:ext>
          </a:extLst>
        </xdr:cNvPr>
        <xdr:cNvSpPr txBox="1"/>
      </xdr:nvSpPr>
      <xdr:spPr>
        <a:xfrm>
          <a:off x="34705065" y="5149370"/>
          <a:ext cx="1136727" cy="77552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Periodismo</a:t>
          </a:r>
        </a:p>
      </xdr:txBody>
    </xdr:sp>
    <xdr:clientData/>
  </xdr:twoCellAnchor>
  <xdr:twoCellAnchor>
    <xdr:from>
      <xdr:col>47</xdr:col>
      <xdr:colOff>484097</xdr:colOff>
      <xdr:row>8</xdr:row>
      <xdr:rowOff>41563</xdr:rowOff>
    </xdr:from>
    <xdr:to>
      <xdr:col>49</xdr:col>
      <xdr:colOff>251015</xdr:colOff>
      <xdr:row>11</xdr:row>
      <xdr:rowOff>84752</xdr:rowOff>
    </xdr:to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1C8E20A7-B075-421A-B6A1-01434B524C89}"/>
            </a:ext>
          </a:extLst>
        </xdr:cNvPr>
        <xdr:cNvSpPr txBox="1"/>
      </xdr:nvSpPr>
      <xdr:spPr>
        <a:xfrm>
          <a:off x="36983897" y="1519843"/>
          <a:ext cx="1351878" cy="60706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Manuela Medina</a:t>
          </a:r>
        </a:p>
      </xdr:txBody>
    </xdr:sp>
    <xdr:clientData/>
  </xdr:twoCellAnchor>
  <xdr:twoCellAnchor>
    <xdr:from>
      <xdr:col>50</xdr:col>
      <xdr:colOff>484098</xdr:colOff>
      <xdr:row>7</xdr:row>
      <xdr:rowOff>83127</xdr:rowOff>
    </xdr:from>
    <xdr:to>
      <xdr:col>52</xdr:col>
      <xdr:colOff>251016</xdr:colOff>
      <xdr:row>11</xdr:row>
      <xdr:rowOff>84750</xdr:rowOff>
    </xdr:to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332379BF-8060-4E72-9D19-C181BF9B8B07}"/>
            </a:ext>
          </a:extLst>
        </xdr:cNvPr>
        <xdr:cNvSpPr txBox="1"/>
      </xdr:nvSpPr>
      <xdr:spPr>
        <a:xfrm>
          <a:off x="39361338" y="1370907"/>
          <a:ext cx="1351878" cy="75600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María Rodriguez</a:t>
          </a:r>
          <a:r>
            <a:rPr lang="es-MX" sz="1400" baseline="0"/>
            <a:t> del Toro</a:t>
          </a:r>
          <a:endParaRPr lang="es-MX" sz="1400"/>
        </a:p>
      </xdr:txBody>
    </xdr:sp>
    <xdr:clientData/>
  </xdr:twoCellAnchor>
  <xdr:twoCellAnchor>
    <xdr:from>
      <xdr:col>47</xdr:col>
      <xdr:colOff>502029</xdr:colOff>
      <xdr:row>26</xdr:row>
      <xdr:rowOff>50233</xdr:rowOff>
    </xdr:from>
    <xdr:to>
      <xdr:col>49</xdr:col>
      <xdr:colOff>268947</xdr:colOff>
      <xdr:row>30</xdr:row>
      <xdr:rowOff>110836</xdr:rowOff>
    </xdr:to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CB22A8FB-3978-4387-9F42-83EAB79A0028}"/>
            </a:ext>
          </a:extLst>
        </xdr:cNvPr>
        <xdr:cNvSpPr txBox="1"/>
      </xdr:nvSpPr>
      <xdr:spPr>
        <a:xfrm>
          <a:off x="37001829" y="5132773"/>
          <a:ext cx="1351878" cy="79212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Jesús Solorzano Davalos</a:t>
          </a:r>
        </a:p>
      </xdr:txBody>
    </xdr:sp>
    <xdr:clientData/>
  </xdr:twoCellAnchor>
  <xdr:twoCellAnchor>
    <xdr:from>
      <xdr:col>50</xdr:col>
      <xdr:colOff>510998</xdr:colOff>
      <xdr:row>26</xdr:row>
      <xdr:rowOff>50232</xdr:rowOff>
    </xdr:from>
    <xdr:to>
      <xdr:col>52</xdr:col>
      <xdr:colOff>277916</xdr:colOff>
      <xdr:row>29</xdr:row>
      <xdr:rowOff>138545</xdr:rowOff>
    </xdr:to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E0DB9878-1B9B-4BF9-A90A-576101BB8743}"/>
            </a:ext>
          </a:extLst>
        </xdr:cNvPr>
        <xdr:cNvSpPr txBox="1"/>
      </xdr:nvSpPr>
      <xdr:spPr>
        <a:xfrm>
          <a:off x="39388238" y="5132772"/>
          <a:ext cx="1351878" cy="6369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Pedro de Fuentes</a:t>
          </a:r>
        </a:p>
      </xdr:txBody>
    </xdr:sp>
    <xdr:clientData/>
  </xdr:twoCellAnchor>
  <xdr:twoCellAnchor>
    <xdr:from>
      <xdr:col>53</xdr:col>
      <xdr:colOff>744075</xdr:colOff>
      <xdr:row>24</xdr:row>
      <xdr:rowOff>217295</xdr:rowOff>
    </xdr:from>
    <xdr:to>
      <xdr:col>56</xdr:col>
      <xdr:colOff>71722</xdr:colOff>
      <xdr:row>28</xdr:row>
      <xdr:rowOff>169221</xdr:rowOff>
    </xdr:to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E8A88EAA-6CE1-4A6B-B51C-9DA4FF7F1976}"/>
            </a:ext>
          </a:extLst>
        </xdr:cNvPr>
        <xdr:cNvSpPr txBox="1"/>
      </xdr:nvSpPr>
      <xdr:spPr>
        <a:xfrm>
          <a:off x="42109789" y="5627495"/>
          <a:ext cx="1352390" cy="86632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Monumeto a Lazaro Cardenas</a:t>
          </a:r>
        </a:p>
      </xdr:txBody>
    </xdr:sp>
    <xdr:clientData/>
  </xdr:twoCellAnchor>
  <xdr:twoCellAnchor>
    <xdr:from>
      <xdr:col>55</xdr:col>
      <xdr:colOff>519957</xdr:colOff>
      <xdr:row>7</xdr:row>
      <xdr:rowOff>138536</xdr:rowOff>
    </xdr:from>
    <xdr:to>
      <xdr:col>58</xdr:col>
      <xdr:colOff>26898</xdr:colOff>
      <xdr:row>10</xdr:row>
      <xdr:rowOff>66821</xdr:rowOff>
    </xdr:to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97566064-B6FF-474E-A490-086B1A1AAE26}"/>
            </a:ext>
          </a:extLst>
        </xdr:cNvPr>
        <xdr:cNvSpPr txBox="1"/>
      </xdr:nvSpPr>
      <xdr:spPr>
        <a:xfrm>
          <a:off x="43184337" y="1426316"/>
          <a:ext cx="1350981" cy="49216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Nocupetaro</a:t>
          </a:r>
        </a:p>
      </xdr:txBody>
    </xdr:sp>
    <xdr:clientData/>
  </xdr:twoCellAnchor>
  <xdr:twoCellAnchor>
    <xdr:from>
      <xdr:col>61</xdr:col>
      <xdr:colOff>484104</xdr:colOff>
      <xdr:row>48</xdr:row>
      <xdr:rowOff>14374</xdr:rowOff>
    </xdr:from>
    <xdr:to>
      <xdr:col>63</xdr:col>
      <xdr:colOff>251022</xdr:colOff>
      <xdr:row>51</xdr:row>
      <xdr:rowOff>124691</xdr:rowOff>
    </xdr:to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E3C060E7-F6D7-41AA-97F3-78F672E4F355}"/>
            </a:ext>
          </a:extLst>
        </xdr:cNvPr>
        <xdr:cNvSpPr txBox="1"/>
      </xdr:nvSpPr>
      <xdr:spPr>
        <a:xfrm>
          <a:off x="47369964" y="9120274"/>
          <a:ext cx="1351878" cy="65895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Mariano Michelena</a:t>
          </a:r>
        </a:p>
      </xdr:txBody>
    </xdr:sp>
    <xdr:clientData/>
  </xdr:twoCellAnchor>
  <xdr:twoCellAnchor>
    <xdr:from>
      <xdr:col>69</xdr:col>
      <xdr:colOff>134475</xdr:colOff>
      <xdr:row>17</xdr:row>
      <xdr:rowOff>174394</xdr:rowOff>
    </xdr:from>
    <xdr:to>
      <xdr:col>70</xdr:col>
      <xdr:colOff>690286</xdr:colOff>
      <xdr:row>20</xdr:row>
      <xdr:rowOff>138544</xdr:rowOff>
    </xdr:to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B281981C-7351-40AA-B05A-75010E85862A}"/>
            </a:ext>
          </a:extLst>
        </xdr:cNvPr>
        <xdr:cNvSpPr txBox="1"/>
      </xdr:nvSpPr>
      <xdr:spPr>
        <a:xfrm>
          <a:off x="53040135" y="3344314"/>
          <a:ext cx="1348291" cy="61185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Oriente</a:t>
          </a:r>
        </a:p>
      </xdr:txBody>
    </xdr:sp>
    <xdr:clientData/>
  </xdr:twoCellAnchor>
  <xdr:twoCellAnchor>
    <xdr:from>
      <xdr:col>64</xdr:col>
      <xdr:colOff>98616</xdr:colOff>
      <xdr:row>8</xdr:row>
      <xdr:rowOff>55418</xdr:rowOff>
    </xdr:from>
    <xdr:to>
      <xdr:col>65</xdr:col>
      <xdr:colOff>654428</xdr:colOff>
      <xdr:row>11</xdr:row>
      <xdr:rowOff>102680</xdr:rowOff>
    </xdr:to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id="{D1B7077A-3A39-42F8-971B-63F4F125A2CA}"/>
            </a:ext>
          </a:extLst>
        </xdr:cNvPr>
        <xdr:cNvSpPr txBox="1"/>
      </xdr:nvSpPr>
      <xdr:spPr>
        <a:xfrm>
          <a:off x="49361916" y="1533698"/>
          <a:ext cx="1348292" cy="61114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Santiago Tapia</a:t>
          </a:r>
        </a:p>
      </xdr:txBody>
    </xdr:sp>
    <xdr:clientData/>
  </xdr:twoCellAnchor>
  <xdr:twoCellAnchor>
    <xdr:from>
      <xdr:col>65</xdr:col>
      <xdr:colOff>708216</xdr:colOff>
      <xdr:row>4</xdr:row>
      <xdr:rowOff>55419</xdr:rowOff>
    </xdr:from>
    <xdr:to>
      <xdr:col>68</xdr:col>
      <xdr:colOff>5</xdr:colOff>
      <xdr:row>7</xdr:row>
      <xdr:rowOff>111645</xdr:rowOff>
    </xdr:to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id="{0A120D76-855D-4B68-AFAB-1B334CC3D177}"/>
            </a:ext>
          </a:extLst>
        </xdr:cNvPr>
        <xdr:cNvSpPr txBox="1"/>
      </xdr:nvSpPr>
      <xdr:spPr>
        <a:xfrm>
          <a:off x="50763996" y="786939"/>
          <a:ext cx="1349189" cy="61248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Francisco Zarco</a:t>
          </a:r>
        </a:p>
      </xdr:txBody>
    </xdr:sp>
    <xdr:clientData/>
  </xdr:twoCellAnchor>
  <xdr:twoCellAnchor>
    <xdr:from>
      <xdr:col>72</xdr:col>
      <xdr:colOff>493063</xdr:colOff>
      <xdr:row>2</xdr:row>
      <xdr:rowOff>110838</xdr:rowOff>
    </xdr:from>
    <xdr:to>
      <xdr:col>74</xdr:col>
      <xdr:colOff>259981</xdr:colOff>
      <xdr:row>5</xdr:row>
      <xdr:rowOff>21773</xdr:rowOff>
    </xdr:to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8E659019-6560-450E-ACB8-5DFB981F31E3}"/>
            </a:ext>
          </a:extLst>
        </xdr:cNvPr>
        <xdr:cNvSpPr txBox="1"/>
      </xdr:nvSpPr>
      <xdr:spPr>
        <a:xfrm>
          <a:off x="55923120" y="480952"/>
          <a:ext cx="1356232" cy="56407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Vicente Riva Palacios</a:t>
          </a:r>
        </a:p>
      </xdr:txBody>
    </xdr:sp>
    <xdr:clientData/>
  </xdr:twoCellAnchor>
  <xdr:twoCellAnchor>
    <xdr:from>
      <xdr:col>72</xdr:col>
      <xdr:colOff>645463</xdr:colOff>
      <xdr:row>21</xdr:row>
      <xdr:rowOff>138538</xdr:rowOff>
    </xdr:from>
    <xdr:to>
      <xdr:col>74</xdr:col>
      <xdr:colOff>412381</xdr:colOff>
      <xdr:row>24</xdr:row>
      <xdr:rowOff>48893</xdr:rowOff>
    </xdr:to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5303CA78-A154-4E62-8F0E-CF9465D2FF71}"/>
            </a:ext>
          </a:extLst>
        </xdr:cNvPr>
        <xdr:cNvSpPr txBox="1"/>
      </xdr:nvSpPr>
      <xdr:spPr>
        <a:xfrm>
          <a:off x="55928563" y="4184758"/>
          <a:ext cx="1351878" cy="58091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Vicente Riva Palacios</a:t>
          </a:r>
        </a:p>
      </xdr:txBody>
    </xdr:sp>
    <xdr:clientData/>
  </xdr:twoCellAnchor>
  <xdr:twoCellAnchor>
    <xdr:from>
      <xdr:col>78</xdr:col>
      <xdr:colOff>528921</xdr:colOff>
      <xdr:row>0</xdr:row>
      <xdr:rowOff>75785</xdr:rowOff>
    </xdr:from>
    <xdr:to>
      <xdr:col>81</xdr:col>
      <xdr:colOff>13853</xdr:colOff>
      <xdr:row>4</xdr:row>
      <xdr:rowOff>69273</xdr:rowOff>
    </xdr:to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EF95EDE1-5737-4F2E-A76D-2EBB4F709B00}"/>
            </a:ext>
          </a:extLst>
        </xdr:cNvPr>
        <xdr:cNvSpPr txBox="1"/>
      </xdr:nvSpPr>
      <xdr:spPr>
        <a:xfrm>
          <a:off x="60361161" y="75785"/>
          <a:ext cx="1687112" cy="72500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Guadalupe</a:t>
          </a:r>
          <a:r>
            <a:rPr lang="es-MX" sz="1400" baseline="0"/>
            <a:t> Victoria</a:t>
          </a:r>
          <a:endParaRPr lang="es-MX" sz="1400"/>
        </a:p>
      </xdr:txBody>
    </xdr:sp>
    <xdr:clientData/>
  </xdr:twoCellAnchor>
  <xdr:twoCellAnchor>
    <xdr:from>
      <xdr:col>76</xdr:col>
      <xdr:colOff>742153</xdr:colOff>
      <xdr:row>14</xdr:row>
      <xdr:rowOff>156408</xdr:rowOff>
    </xdr:from>
    <xdr:to>
      <xdr:col>79</xdr:col>
      <xdr:colOff>96694</xdr:colOff>
      <xdr:row>18</xdr:row>
      <xdr:rowOff>130627</xdr:rowOff>
    </xdr:to>
    <xdr:sp macro="" textlink="">
      <xdr:nvSpPr>
        <xdr:cNvPr id="233" name="CuadroTexto 232">
          <a:extLst>
            <a:ext uri="{FF2B5EF4-FFF2-40B4-BE49-F238E27FC236}">
              <a16:creationId xmlns:a16="http://schemas.microsoft.com/office/drawing/2014/main" id="{EF2A7F2A-CB99-449A-BDF2-208719548351}"/>
            </a:ext>
          </a:extLst>
        </xdr:cNvPr>
        <xdr:cNvSpPr txBox="1"/>
      </xdr:nvSpPr>
      <xdr:spPr>
        <a:xfrm>
          <a:off x="59350839" y="3280608"/>
          <a:ext cx="1357512" cy="89950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Guadalupe</a:t>
          </a:r>
          <a:r>
            <a:rPr lang="es-MX" sz="1400" baseline="0"/>
            <a:t> Victoria</a:t>
          </a:r>
          <a:endParaRPr lang="es-MX" sz="1400"/>
        </a:p>
      </xdr:txBody>
    </xdr:sp>
    <xdr:clientData/>
  </xdr:twoCellAnchor>
  <xdr:twoCellAnchor>
    <xdr:from>
      <xdr:col>80</xdr:col>
      <xdr:colOff>475133</xdr:colOff>
      <xdr:row>3</xdr:row>
      <xdr:rowOff>84750</xdr:rowOff>
    </xdr:from>
    <xdr:to>
      <xdr:col>82</xdr:col>
      <xdr:colOff>242051</xdr:colOff>
      <xdr:row>7</xdr:row>
      <xdr:rowOff>69273</xdr:rowOff>
    </xdr:to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id="{7CEAEC1B-A9D5-4B4E-A45B-407B3D519052}"/>
            </a:ext>
          </a:extLst>
        </xdr:cNvPr>
        <xdr:cNvSpPr txBox="1"/>
      </xdr:nvSpPr>
      <xdr:spPr>
        <a:xfrm>
          <a:off x="61717073" y="633390"/>
          <a:ext cx="1351878" cy="72366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Morelos Norte</a:t>
          </a:r>
        </a:p>
      </xdr:txBody>
    </xdr:sp>
    <xdr:clientData/>
  </xdr:twoCellAnchor>
  <xdr:twoCellAnchor>
    <xdr:from>
      <xdr:col>80</xdr:col>
      <xdr:colOff>475133</xdr:colOff>
      <xdr:row>15</xdr:row>
      <xdr:rowOff>66819</xdr:rowOff>
    </xdr:from>
    <xdr:to>
      <xdr:col>82</xdr:col>
      <xdr:colOff>242051</xdr:colOff>
      <xdr:row>18</xdr:row>
      <xdr:rowOff>41563</xdr:rowOff>
    </xdr:to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9A6B769A-A545-42DC-8DEE-D73888A75628}"/>
            </a:ext>
          </a:extLst>
        </xdr:cNvPr>
        <xdr:cNvSpPr txBox="1"/>
      </xdr:nvSpPr>
      <xdr:spPr>
        <a:xfrm>
          <a:off x="61717073" y="2863359"/>
          <a:ext cx="1351878" cy="57672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Morelos Norte</a:t>
          </a:r>
        </a:p>
      </xdr:txBody>
    </xdr:sp>
    <xdr:clientData/>
  </xdr:twoCellAnchor>
  <xdr:twoCellAnchor>
    <xdr:from>
      <xdr:col>84</xdr:col>
      <xdr:colOff>510989</xdr:colOff>
      <xdr:row>3</xdr:row>
      <xdr:rowOff>84749</xdr:rowOff>
    </xdr:from>
    <xdr:to>
      <xdr:col>86</xdr:col>
      <xdr:colOff>277907</xdr:colOff>
      <xdr:row>6</xdr:row>
      <xdr:rowOff>124691</xdr:rowOff>
    </xdr:to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id="{AFC012E0-2084-4D1C-9ADF-5B93E4C8B6A6}"/>
            </a:ext>
          </a:extLst>
        </xdr:cNvPr>
        <xdr:cNvSpPr txBox="1"/>
      </xdr:nvSpPr>
      <xdr:spPr>
        <a:xfrm>
          <a:off x="64922849" y="633389"/>
          <a:ext cx="1351878" cy="59620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Alvaro</a:t>
          </a:r>
          <a:r>
            <a:rPr lang="es-MX" sz="1400" baseline="0"/>
            <a:t> Obregón</a:t>
          </a:r>
          <a:endParaRPr lang="es-MX" sz="1400"/>
        </a:p>
      </xdr:txBody>
    </xdr:sp>
    <xdr:clientData/>
  </xdr:twoCellAnchor>
  <xdr:twoCellAnchor>
    <xdr:from>
      <xdr:col>84</xdr:col>
      <xdr:colOff>510989</xdr:colOff>
      <xdr:row>15</xdr:row>
      <xdr:rowOff>102677</xdr:rowOff>
    </xdr:from>
    <xdr:to>
      <xdr:col>86</xdr:col>
      <xdr:colOff>277907</xdr:colOff>
      <xdr:row>18</xdr:row>
      <xdr:rowOff>124691</xdr:rowOff>
    </xdr:to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id="{E665F457-ECAA-4869-91AB-AC2134FE1766}"/>
            </a:ext>
          </a:extLst>
        </xdr:cNvPr>
        <xdr:cNvSpPr txBox="1"/>
      </xdr:nvSpPr>
      <xdr:spPr>
        <a:xfrm>
          <a:off x="64922849" y="2899217"/>
          <a:ext cx="1351878" cy="62399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Alvaro</a:t>
          </a:r>
          <a:r>
            <a:rPr lang="es-MX" sz="1400" baseline="0"/>
            <a:t> Obregón</a:t>
          </a:r>
          <a:endParaRPr lang="es-MX" sz="1400"/>
        </a:p>
      </xdr:txBody>
    </xdr:sp>
    <xdr:clientData/>
  </xdr:twoCellAnchor>
  <xdr:twoCellAnchor>
    <xdr:from>
      <xdr:col>87</xdr:col>
      <xdr:colOff>421342</xdr:colOff>
      <xdr:row>3</xdr:row>
      <xdr:rowOff>84749</xdr:rowOff>
    </xdr:from>
    <xdr:to>
      <xdr:col>89</xdr:col>
      <xdr:colOff>188260</xdr:colOff>
      <xdr:row>6</xdr:row>
      <xdr:rowOff>152400</xdr:rowOff>
    </xdr:to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id="{23A868BD-4484-43A5-92C3-D0712EC04754}"/>
            </a:ext>
          </a:extLst>
        </xdr:cNvPr>
        <xdr:cNvSpPr txBox="1"/>
      </xdr:nvSpPr>
      <xdr:spPr>
        <a:xfrm>
          <a:off x="67210642" y="633389"/>
          <a:ext cx="1351878" cy="62391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Dr. Miguel Silva</a:t>
          </a:r>
        </a:p>
      </xdr:txBody>
    </xdr:sp>
    <xdr:clientData/>
  </xdr:twoCellAnchor>
  <xdr:twoCellAnchor>
    <xdr:from>
      <xdr:col>87</xdr:col>
      <xdr:colOff>555813</xdr:colOff>
      <xdr:row>15</xdr:row>
      <xdr:rowOff>66819</xdr:rowOff>
    </xdr:from>
    <xdr:to>
      <xdr:col>89</xdr:col>
      <xdr:colOff>322731</xdr:colOff>
      <xdr:row>18</xdr:row>
      <xdr:rowOff>96981</xdr:rowOff>
    </xdr:to>
    <xdr:sp macro="" textlink="">
      <xdr:nvSpPr>
        <xdr:cNvPr id="239" name="CuadroTexto 238">
          <a:extLst>
            <a:ext uri="{FF2B5EF4-FFF2-40B4-BE49-F238E27FC236}">
              <a16:creationId xmlns:a16="http://schemas.microsoft.com/office/drawing/2014/main" id="{334DEC53-7927-41BB-83DE-CB7C8C97F982}"/>
            </a:ext>
          </a:extLst>
        </xdr:cNvPr>
        <xdr:cNvSpPr txBox="1"/>
      </xdr:nvSpPr>
      <xdr:spPr>
        <a:xfrm>
          <a:off x="67345113" y="2863359"/>
          <a:ext cx="1351878" cy="63214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Dr. Miguel Silva</a:t>
          </a:r>
        </a:p>
      </xdr:txBody>
    </xdr:sp>
    <xdr:clientData/>
  </xdr:twoCellAnchor>
  <xdr:twoCellAnchor>
    <xdr:from>
      <xdr:col>93</xdr:col>
      <xdr:colOff>179294</xdr:colOff>
      <xdr:row>14</xdr:row>
      <xdr:rowOff>30961</xdr:rowOff>
    </xdr:from>
    <xdr:to>
      <xdr:col>94</xdr:col>
      <xdr:colOff>735106</xdr:colOff>
      <xdr:row>16</xdr:row>
      <xdr:rowOff>129574</xdr:rowOff>
    </xdr:to>
    <xdr:sp macro="" textlink="">
      <xdr:nvSpPr>
        <xdr:cNvPr id="240" name="CuadroTexto 239">
          <a:extLst>
            <a:ext uri="{FF2B5EF4-FFF2-40B4-BE49-F238E27FC236}">
              <a16:creationId xmlns:a16="http://schemas.microsoft.com/office/drawing/2014/main" id="{B9B68141-4019-4F17-86D1-C21B14B93E4F}"/>
            </a:ext>
          </a:extLst>
        </xdr:cNvPr>
        <xdr:cNvSpPr txBox="1"/>
      </xdr:nvSpPr>
      <xdr:spPr>
        <a:xfrm>
          <a:off x="71723474" y="2629381"/>
          <a:ext cx="1348292" cy="48723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Poniente</a:t>
          </a:r>
        </a:p>
      </xdr:txBody>
    </xdr:sp>
    <xdr:clientData/>
  </xdr:twoCellAnchor>
  <xdr:twoCellAnchor>
    <xdr:from>
      <xdr:col>103</xdr:col>
      <xdr:colOff>549409</xdr:colOff>
      <xdr:row>30</xdr:row>
      <xdr:rowOff>105239</xdr:rowOff>
    </xdr:from>
    <xdr:to>
      <xdr:col>105</xdr:col>
      <xdr:colOff>316327</xdr:colOff>
      <xdr:row>33</xdr:row>
      <xdr:rowOff>2147</xdr:rowOff>
    </xdr:to>
    <xdr:sp macro="" textlink="">
      <xdr:nvSpPr>
        <xdr:cNvPr id="241" name="CuadroTexto 240">
          <a:extLst>
            <a:ext uri="{FF2B5EF4-FFF2-40B4-BE49-F238E27FC236}">
              <a16:creationId xmlns:a16="http://schemas.microsoft.com/office/drawing/2014/main" id="{B822868E-D4A3-4422-B5E3-85DE48CE26EA}"/>
            </a:ext>
          </a:extLst>
        </xdr:cNvPr>
        <xdr:cNvSpPr txBox="1"/>
      </xdr:nvSpPr>
      <xdr:spPr>
        <a:xfrm>
          <a:off x="79753866" y="6930582"/>
          <a:ext cx="1356232" cy="58270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Acueducto</a:t>
          </a:r>
        </a:p>
      </xdr:txBody>
    </xdr:sp>
    <xdr:clientData/>
  </xdr:twoCellAnchor>
  <xdr:twoCellAnchor>
    <xdr:from>
      <xdr:col>96</xdr:col>
      <xdr:colOff>80684</xdr:colOff>
      <xdr:row>48</xdr:row>
      <xdr:rowOff>41563</xdr:rowOff>
    </xdr:from>
    <xdr:to>
      <xdr:col>97</xdr:col>
      <xdr:colOff>636496</xdr:colOff>
      <xdr:row>52</xdr:row>
      <xdr:rowOff>75785</xdr:rowOff>
    </xdr:to>
    <xdr:sp macro="" textlink="">
      <xdr:nvSpPr>
        <xdr:cNvPr id="242" name="CuadroTexto 241">
          <a:extLst>
            <a:ext uri="{FF2B5EF4-FFF2-40B4-BE49-F238E27FC236}">
              <a16:creationId xmlns:a16="http://schemas.microsoft.com/office/drawing/2014/main" id="{59DB09FF-C94F-4201-B736-E35525911516}"/>
            </a:ext>
          </a:extLst>
        </xdr:cNvPr>
        <xdr:cNvSpPr txBox="1"/>
      </xdr:nvSpPr>
      <xdr:spPr>
        <a:xfrm>
          <a:off x="74002304" y="9147463"/>
          <a:ext cx="1348292" cy="76574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Rafael Carrillo</a:t>
          </a:r>
        </a:p>
      </xdr:txBody>
    </xdr:sp>
    <xdr:clientData/>
  </xdr:twoCellAnchor>
  <xdr:twoCellAnchor>
    <xdr:from>
      <xdr:col>102</xdr:col>
      <xdr:colOff>217600</xdr:colOff>
      <xdr:row>53</xdr:row>
      <xdr:rowOff>66003</xdr:rowOff>
    </xdr:from>
    <xdr:to>
      <xdr:col>103</xdr:col>
      <xdr:colOff>774227</xdr:colOff>
      <xdr:row>57</xdr:row>
      <xdr:rowOff>41562</xdr:rowOff>
    </xdr:to>
    <xdr:sp macro="" textlink="">
      <xdr:nvSpPr>
        <xdr:cNvPr id="243" name="CuadroTexto 242">
          <a:extLst>
            <a:ext uri="{FF2B5EF4-FFF2-40B4-BE49-F238E27FC236}">
              <a16:creationId xmlns:a16="http://schemas.microsoft.com/office/drawing/2014/main" id="{0F7AD4DE-3392-4C7B-A8DB-7AEFE506692B}"/>
            </a:ext>
          </a:extLst>
        </xdr:cNvPr>
        <xdr:cNvSpPr txBox="1"/>
      </xdr:nvSpPr>
      <xdr:spPr>
        <a:xfrm>
          <a:off x="78177127" y="12493530"/>
          <a:ext cx="1346336" cy="91766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Mariano Monterde</a:t>
          </a:r>
        </a:p>
      </xdr:txBody>
    </xdr:sp>
    <xdr:clientData/>
  </xdr:twoCellAnchor>
  <xdr:twoCellAnchor>
    <xdr:from>
      <xdr:col>91</xdr:col>
      <xdr:colOff>188261</xdr:colOff>
      <xdr:row>41</xdr:row>
      <xdr:rowOff>138547</xdr:rowOff>
    </xdr:from>
    <xdr:to>
      <xdr:col>92</xdr:col>
      <xdr:colOff>744072</xdr:colOff>
      <xdr:row>45</xdr:row>
      <xdr:rowOff>39927</xdr:rowOff>
    </xdr:to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6836C363-3CC3-4649-B3B5-D2BD394171AC}"/>
            </a:ext>
          </a:extLst>
        </xdr:cNvPr>
        <xdr:cNvSpPr txBox="1"/>
      </xdr:nvSpPr>
      <xdr:spPr>
        <a:xfrm>
          <a:off x="70147481" y="7964287"/>
          <a:ext cx="1348291" cy="6329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Antonio Alzate</a:t>
          </a:r>
        </a:p>
      </xdr:txBody>
    </xdr:sp>
    <xdr:clientData/>
  </xdr:twoCellAnchor>
  <xdr:twoCellAnchor>
    <xdr:from>
      <xdr:col>86</xdr:col>
      <xdr:colOff>510990</xdr:colOff>
      <xdr:row>35</xdr:row>
      <xdr:rowOff>41563</xdr:rowOff>
    </xdr:from>
    <xdr:to>
      <xdr:col>88</xdr:col>
      <xdr:colOff>277908</xdr:colOff>
      <xdr:row>38</xdr:row>
      <xdr:rowOff>93715</xdr:rowOff>
    </xdr:to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id="{A671DCCD-2F15-4A5A-B567-FCA01D62A8E0}"/>
            </a:ext>
          </a:extLst>
        </xdr:cNvPr>
        <xdr:cNvSpPr txBox="1"/>
      </xdr:nvSpPr>
      <xdr:spPr>
        <a:xfrm>
          <a:off x="66507810" y="6770023"/>
          <a:ext cx="1351878" cy="60079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Isidro</a:t>
          </a:r>
          <a:r>
            <a:rPr lang="es-MX" sz="1400" baseline="0"/>
            <a:t> Huarte</a:t>
          </a:r>
          <a:endParaRPr lang="es-MX" sz="1400"/>
        </a:p>
      </xdr:txBody>
    </xdr:sp>
    <xdr:clientData/>
  </xdr:twoCellAnchor>
  <xdr:twoCellAnchor>
    <xdr:from>
      <xdr:col>86</xdr:col>
      <xdr:colOff>537884</xdr:colOff>
      <xdr:row>50</xdr:row>
      <xdr:rowOff>66818</xdr:rowOff>
    </xdr:from>
    <xdr:to>
      <xdr:col>88</xdr:col>
      <xdr:colOff>304802</xdr:colOff>
      <xdr:row>54</xdr:row>
      <xdr:rowOff>55418</xdr:rowOff>
    </xdr:to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id="{2C569E71-A5FF-4E4D-B34C-3DFB52CA1AB9}"/>
            </a:ext>
          </a:extLst>
        </xdr:cNvPr>
        <xdr:cNvSpPr txBox="1"/>
      </xdr:nvSpPr>
      <xdr:spPr>
        <a:xfrm>
          <a:off x="66534704" y="9538478"/>
          <a:ext cx="1351878" cy="72012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Isidro</a:t>
          </a:r>
          <a:r>
            <a:rPr lang="es-MX" sz="1400" baseline="0"/>
            <a:t> Huarte</a:t>
          </a:r>
          <a:endParaRPr lang="es-MX" sz="1400"/>
        </a:p>
      </xdr:txBody>
    </xdr:sp>
    <xdr:clientData/>
  </xdr:twoCellAnchor>
  <xdr:twoCellAnchor>
    <xdr:from>
      <xdr:col>72</xdr:col>
      <xdr:colOff>510988</xdr:colOff>
      <xdr:row>32</xdr:row>
      <xdr:rowOff>166255</xdr:rowOff>
    </xdr:from>
    <xdr:to>
      <xdr:col>74</xdr:col>
      <xdr:colOff>277906</xdr:colOff>
      <xdr:row>37</xdr:row>
      <xdr:rowOff>66829</xdr:rowOff>
    </xdr:to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id="{4145E017-1589-447F-B8D8-E4C3CEF2A0A7}"/>
            </a:ext>
          </a:extLst>
        </xdr:cNvPr>
        <xdr:cNvSpPr txBox="1"/>
      </xdr:nvSpPr>
      <xdr:spPr>
        <a:xfrm>
          <a:off x="55794088" y="6346075"/>
          <a:ext cx="1351878" cy="81497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Andres Quintana Roo</a:t>
          </a:r>
        </a:p>
      </xdr:txBody>
    </xdr:sp>
    <xdr:clientData/>
  </xdr:twoCellAnchor>
  <xdr:twoCellAnchor>
    <xdr:from>
      <xdr:col>72</xdr:col>
      <xdr:colOff>510988</xdr:colOff>
      <xdr:row>49</xdr:row>
      <xdr:rowOff>147510</xdr:rowOff>
    </xdr:from>
    <xdr:to>
      <xdr:col>74</xdr:col>
      <xdr:colOff>277906</xdr:colOff>
      <xdr:row>53</xdr:row>
      <xdr:rowOff>152400</xdr:rowOff>
    </xdr:to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id="{AAD24352-2E9F-4B2F-BBD9-53E143EBE228}"/>
            </a:ext>
          </a:extLst>
        </xdr:cNvPr>
        <xdr:cNvSpPr txBox="1"/>
      </xdr:nvSpPr>
      <xdr:spPr>
        <a:xfrm>
          <a:off x="55794088" y="9436290"/>
          <a:ext cx="1351878" cy="73641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Andres Quintana Roo</a:t>
          </a:r>
        </a:p>
      </xdr:txBody>
    </xdr:sp>
    <xdr:clientData/>
  </xdr:twoCellAnchor>
  <xdr:twoCellAnchor>
    <xdr:from>
      <xdr:col>69</xdr:col>
      <xdr:colOff>672354</xdr:colOff>
      <xdr:row>37</xdr:row>
      <xdr:rowOff>110836</xdr:rowOff>
    </xdr:from>
    <xdr:to>
      <xdr:col>71</xdr:col>
      <xdr:colOff>439271</xdr:colOff>
      <xdr:row>41</xdr:row>
      <xdr:rowOff>129583</xdr:rowOff>
    </xdr:to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id="{89C93B1F-BC8C-4FCC-BC44-4702B9FA666F}"/>
            </a:ext>
          </a:extLst>
        </xdr:cNvPr>
        <xdr:cNvSpPr txBox="1"/>
      </xdr:nvSpPr>
      <xdr:spPr>
        <a:xfrm>
          <a:off x="53578014" y="7205056"/>
          <a:ext cx="1351877" cy="75026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Corrregidora</a:t>
          </a:r>
        </a:p>
      </xdr:txBody>
    </xdr:sp>
    <xdr:clientData/>
  </xdr:twoCellAnchor>
  <xdr:twoCellAnchor>
    <xdr:from>
      <xdr:col>66</xdr:col>
      <xdr:colOff>251013</xdr:colOff>
      <xdr:row>30</xdr:row>
      <xdr:rowOff>93722</xdr:rowOff>
    </xdr:from>
    <xdr:to>
      <xdr:col>68</xdr:col>
      <xdr:colOff>331696</xdr:colOff>
      <xdr:row>33</xdr:row>
      <xdr:rowOff>39935</xdr:rowOff>
    </xdr:to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id="{E60ADFAC-805B-42FB-BF54-0C14FA2A983B}"/>
            </a:ext>
          </a:extLst>
        </xdr:cNvPr>
        <xdr:cNvSpPr txBox="1"/>
      </xdr:nvSpPr>
      <xdr:spPr>
        <a:xfrm>
          <a:off x="51099273" y="5907782"/>
          <a:ext cx="1345603" cy="4948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Cuautla</a:t>
          </a:r>
        </a:p>
      </xdr:txBody>
    </xdr:sp>
    <xdr:clientData/>
  </xdr:twoCellAnchor>
  <xdr:twoCellAnchor>
    <xdr:from>
      <xdr:col>26</xdr:col>
      <xdr:colOff>37744</xdr:colOff>
      <xdr:row>12</xdr:row>
      <xdr:rowOff>46262</xdr:rowOff>
    </xdr:from>
    <xdr:to>
      <xdr:col>26</xdr:col>
      <xdr:colOff>246393</xdr:colOff>
      <xdr:row>13</xdr:row>
      <xdr:rowOff>97579</xdr:rowOff>
    </xdr:to>
    <xdr:sp macro="" textlink="">
      <xdr:nvSpPr>
        <xdr:cNvPr id="251" name="Flecha: doblada hacia arriba 250">
          <a:extLst>
            <a:ext uri="{FF2B5EF4-FFF2-40B4-BE49-F238E27FC236}">
              <a16:creationId xmlns:a16="http://schemas.microsoft.com/office/drawing/2014/main" id="{4FFD7447-C6E2-44F7-958A-350B1F68C854}"/>
            </a:ext>
          </a:extLst>
        </xdr:cNvPr>
        <xdr:cNvSpPr/>
      </xdr:nvSpPr>
      <xdr:spPr>
        <a:xfrm rot="5400000">
          <a:off x="20499910" y="2240896"/>
          <a:ext cx="229117" cy="208649"/>
        </a:xfrm>
        <a:prstGeom prst="bentUp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56</xdr:col>
      <xdr:colOff>351670</xdr:colOff>
      <xdr:row>13</xdr:row>
      <xdr:rowOff>86893</xdr:rowOff>
    </xdr:from>
    <xdr:to>
      <xdr:col>56</xdr:col>
      <xdr:colOff>521999</xdr:colOff>
      <xdr:row>15</xdr:row>
      <xdr:rowOff>22219</xdr:rowOff>
    </xdr:to>
    <xdr:sp macro="" textlink="">
      <xdr:nvSpPr>
        <xdr:cNvPr id="253" name="Flecha: hacia la izquierda 252">
          <a:extLst>
            <a:ext uri="{FF2B5EF4-FFF2-40B4-BE49-F238E27FC236}">
              <a16:creationId xmlns:a16="http://schemas.microsoft.com/office/drawing/2014/main" id="{56E6A22F-6506-47C0-96DE-27C415726EC8}"/>
            </a:ext>
          </a:extLst>
        </xdr:cNvPr>
        <xdr:cNvSpPr/>
      </xdr:nvSpPr>
      <xdr:spPr>
        <a:xfrm rot="16200000">
          <a:off x="43625586" y="3044605"/>
          <a:ext cx="403412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110</xdr:col>
      <xdr:colOff>101049</xdr:colOff>
      <xdr:row>13</xdr:row>
      <xdr:rowOff>13321</xdr:rowOff>
    </xdr:from>
    <xdr:to>
      <xdr:col>110</xdr:col>
      <xdr:colOff>405849</xdr:colOff>
      <xdr:row>13</xdr:row>
      <xdr:rowOff>232956</xdr:rowOff>
    </xdr:to>
    <xdr:sp macro="" textlink="">
      <xdr:nvSpPr>
        <xdr:cNvPr id="255" name="Flecha: hacia la izquierda 254">
          <a:extLst>
            <a:ext uri="{FF2B5EF4-FFF2-40B4-BE49-F238E27FC236}">
              <a16:creationId xmlns:a16="http://schemas.microsoft.com/office/drawing/2014/main" id="{3674AB52-1474-41D2-A3E7-43FB546D7514}"/>
            </a:ext>
          </a:extLst>
        </xdr:cNvPr>
        <xdr:cNvSpPr/>
      </xdr:nvSpPr>
      <xdr:spPr>
        <a:xfrm rot="10800000">
          <a:off x="84868106" y="2941578"/>
          <a:ext cx="304800" cy="2196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112</xdr:col>
      <xdr:colOff>673826</xdr:colOff>
      <xdr:row>8</xdr:row>
      <xdr:rowOff>46810</xdr:rowOff>
    </xdr:from>
    <xdr:to>
      <xdr:col>113</xdr:col>
      <xdr:colOff>518868</xdr:colOff>
      <xdr:row>8</xdr:row>
      <xdr:rowOff>190244</xdr:rowOff>
    </xdr:to>
    <xdr:sp macro="" textlink="">
      <xdr:nvSpPr>
        <xdr:cNvPr id="115" name="Flecha: hacia la izquierda 114">
          <a:extLst>
            <a:ext uri="{FF2B5EF4-FFF2-40B4-BE49-F238E27FC236}">
              <a16:creationId xmlns:a16="http://schemas.microsoft.com/office/drawing/2014/main" id="{E1271D28-C295-4405-8674-8AA23737268D}"/>
            </a:ext>
          </a:extLst>
        </xdr:cNvPr>
        <xdr:cNvSpPr/>
      </xdr:nvSpPr>
      <xdr:spPr>
        <a:xfrm rot="10800000" flipH="1">
          <a:off x="86856026" y="1810296"/>
          <a:ext cx="519956" cy="14343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207981</xdr:colOff>
      <xdr:row>27</xdr:row>
      <xdr:rowOff>174527</xdr:rowOff>
    </xdr:from>
    <xdr:to>
      <xdr:col>102</xdr:col>
      <xdr:colOff>440455</xdr:colOff>
      <xdr:row>28</xdr:row>
      <xdr:rowOff>191846</xdr:rowOff>
    </xdr:to>
    <xdr:sp macro="" textlink="">
      <xdr:nvSpPr>
        <xdr:cNvPr id="116" name="Flecha: doblada hacia arriba 115">
          <a:extLst>
            <a:ext uri="{FF2B5EF4-FFF2-40B4-BE49-F238E27FC236}">
              <a16:creationId xmlns:a16="http://schemas.microsoft.com/office/drawing/2014/main" id="{3D98B457-81AE-4AA7-91D6-9642175DFBF6}"/>
            </a:ext>
          </a:extLst>
        </xdr:cNvPr>
        <xdr:cNvSpPr/>
      </xdr:nvSpPr>
      <xdr:spPr>
        <a:xfrm rot="10800000" flipV="1">
          <a:off x="78167508" y="6478345"/>
          <a:ext cx="232474" cy="25284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263583</xdr:colOff>
      <xdr:row>38</xdr:row>
      <xdr:rowOff>75161</xdr:rowOff>
    </xdr:from>
    <xdr:to>
      <xdr:col>73</xdr:col>
      <xdr:colOff>529590</xdr:colOff>
      <xdr:row>42</xdr:row>
      <xdr:rowOff>113261</xdr:rowOff>
    </xdr:to>
    <xdr:sp macro="" textlink="">
      <xdr:nvSpPr>
        <xdr:cNvPr id="182" name="Flecha: hacia la izquierda 181">
          <a:extLst>
            <a:ext uri="{FF2B5EF4-FFF2-40B4-BE49-F238E27FC236}">
              <a16:creationId xmlns:a16="http://schemas.microsoft.com/office/drawing/2014/main" id="{335B06C2-31B7-4106-A75A-B925D0BE6EB7}"/>
            </a:ext>
          </a:extLst>
        </xdr:cNvPr>
        <xdr:cNvSpPr/>
      </xdr:nvSpPr>
      <xdr:spPr>
        <a:xfrm rot="16200000">
          <a:off x="55809573" y="9326880"/>
          <a:ext cx="980209" cy="26600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82</xdr:col>
      <xdr:colOff>166601</xdr:colOff>
      <xdr:row>3</xdr:row>
      <xdr:rowOff>19742</xdr:rowOff>
    </xdr:from>
    <xdr:to>
      <xdr:col>82</xdr:col>
      <xdr:colOff>432608</xdr:colOff>
      <xdr:row>7</xdr:row>
      <xdr:rowOff>57842</xdr:rowOff>
    </xdr:to>
    <xdr:sp macro="" textlink="">
      <xdr:nvSpPr>
        <xdr:cNvPr id="252" name="Flecha: hacia la izquierda 251">
          <a:extLst>
            <a:ext uri="{FF2B5EF4-FFF2-40B4-BE49-F238E27FC236}">
              <a16:creationId xmlns:a16="http://schemas.microsoft.com/office/drawing/2014/main" id="{28A8616B-C005-4FB3-9757-15F01FB253F3}"/>
            </a:ext>
          </a:extLst>
        </xdr:cNvPr>
        <xdr:cNvSpPr/>
      </xdr:nvSpPr>
      <xdr:spPr>
        <a:xfrm rot="16200000">
          <a:off x="62445900" y="1028007"/>
          <a:ext cx="980209" cy="26600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88</xdr:col>
      <xdr:colOff>415982</xdr:colOff>
      <xdr:row>3</xdr:row>
      <xdr:rowOff>116724</xdr:rowOff>
    </xdr:from>
    <xdr:to>
      <xdr:col>88</xdr:col>
      <xdr:colOff>681989</xdr:colOff>
      <xdr:row>7</xdr:row>
      <xdr:rowOff>154824</xdr:rowOff>
    </xdr:to>
    <xdr:sp macro="" textlink="">
      <xdr:nvSpPr>
        <xdr:cNvPr id="254" name="Flecha: hacia la izquierda 253">
          <a:extLst>
            <a:ext uri="{FF2B5EF4-FFF2-40B4-BE49-F238E27FC236}">
              <a16:creationId xmlns:a16="http://schemas.microsoft.com/office/drawing/2014/main" id="{14B069BB-875B-491D-B659-8090FCC4E922}"/>
            </a:ext>
          </a:extLst>
        </xdr:cNvPr>
        <xdr:cNvSpPr/>
      </xdr:nvSpPr>
      <xdr:spPr>
        <a:xfrm rot="16200000">
          <a:off x="67433536" y="1124989"/>
          <a:ext cx="980209" cy="26600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84</xdr:col>
      <xdr:colOff>526819</xdr:colOff>
      <xdr:row>2</xdr:row>
      <xdr:rowOff>227562</xdr:rowOff>
    </xdr:from>
    <xdr:to>
      <xdr:col>85</xdr:col>
      <xdr:colOff>3117</xdr:colOff>
      <xdr:row>7</xdr:row>
      <xdr:rowOff>30134</xdr:rowOff>
    </xdr:to>
    <xdr:sp macro="" textlink="">
      <xdr:nvSpPr>
        <xdr:cNvPr id="256" name="Flecha: hacia la izquierda 255">
          <a:extLst>
            <a:ext uri="{FF2B5EF4-FFF2-40B4-BE49-F238E27FC236}">
              <a16:creationId xmlns:a16="http://schemas.microsoft.com/office/drawing/2014/main" id="{9A5F2962-6D34-45F2-8CDC-90864BC258D9}"/>
            </a:ext>
          </a:extLst>
        </xdr:cNvPr>
        <xdr:cNvSpPr/>
      </xdr:nvSpPr>
      <xdr:spPr>
        <a:xfrm rot="5400000">
          <a:off x="64385536" y="1000299"/>
          <a:ext cx="980209" cy="26600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87</xdr:col>
      <xdr:colOff>180109</xdr:colOff>
      <xdr:row>47</xdr:row>
      <xdr:rowOff>27709</xdr:rowOff>
    </xdr:from>
    <xdr:to>
      <xdr:col>87</xdr:col>
      <xdr:colOff>446116</xdr:colOff>
      <xdr:row>51</xdr:row>
      <xdr:rowOff>65809</xdr:rowOff>
    </xdr:to>
    <xdr:sp macro="" textlink="">
      <xdr:nvSpPr>
        <xdr:cNvPr id="257" name="Flecha: hacia la izquierda 256">
          <a:extLst>
            <a:ext uri="{FF2B5EF4-FFF2-40B4-BE49-F238E27FC236}">
              <a16:creationId xmlns:a16="http://schemas.microsoft.com/office/drawing/2014/main" id="{BAA977CF-5961-45FB-9E93-02B0BDCC3354}"/>
            </a:ext>
          </a:extLst>
        </xdr:cNvPr>
        <xdr:cNvSpPr/>
      </xdr:nvSpPr>
      <xdr:spPr>
        <a:xfrm rot="5400000">
          <a:off x="66407953" y="11399174"/>
          <a:ext cx="980209" cy="26600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58</xdr:col>
      <xdr:colOff>736736</xdr:colOff>
      <xdr:row>17</xdr:row>
      <xdr:rowOff>101017</xdr:rowOff>
    </xdr:from>
    <xdr:to>
      <xdr:col>59</xdr:col>
      <xdr:colOff>245552</xdr:colOff>
      <xdr:row>17</xdr:row>
      <xdr:rowOff>188423</xdr:rowOff>
    </xdr:to>
    <xdr:sp macro="" textlink="">
      <xdr:nvSpPr>
        <xdr:cNvPr id="258" name="Flecha: hacia la izquierda 257">
          <a:extLst>
            <a:ext uri="{FF2B5EF4-FFF2-40B4-BE49-F238E27FC236}">
              <a16:creationId xmlns:a16="http://schemas.microsoft.com/office/drawing/2014/main" id="{B60F34DB-01DD-4881-A878-7377398192F5}"/>
            </a:ext>
          </a:extLst>
        </xdr:cNvPr>
        <xdr:cNvSpPr/>
      </xdr:nvSpPr>
      <xdr:spPr>
        <a:xfrm>
          <a:off x="45112845" y="4049562"/>
          <a:ext cx="298525" cy="8740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58</xdr:col>
      <xdr:colOff>713993</xdr:colOff>
      <xdr:row>15</xdr:row>
      <xdr:rowOff>182921</xdr:rowOff>
    </xdr:from>
    <xdr:to>
      <xdr:col>59</xdr:col>
      <xdr:colOff>326884</xdr:colOff>
      <xdr:row>16</xdr:row>
      <xdr:rowOff>145831</xdr:rowOff>
    </xdr:to>
    <xdr:sp macro="" textlink="">
      <xdr:nvSpPr>
        <xdr:cNvPr id="259" name="Flecha: doblada hacia arriba 258">
          <a:extLst>
            <a:ext uri="{FF2B5EF4-FFF2-40B4-BE49-F238E27FC236}">
              <a16:creationId xmlns:a16="http://schemas.microsoft.com/office/drawing/2014/main" id="{7D758533-2D02-42A4-9304-7A7BB80BB334}"/>
            </a:ext>
          </a:extLst>
        </xdr:cNvPr>
        <xdr:cNvSpPr/>
      </xdr:nvSpPr>
      <xdr:spPr>
        <a:xfrm rot="10800000" flipV="1">
          <a:off x="45090102" y="3660412"/>
          <a:ext cx="402600" cy="19843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32809</xdr:colOff>
      <xdr:row>8</xdr:row>
      <xdr:rowOff>216574</xdr:rowOff>
    </xdr:from>
    <xdr:to>
      <xdr:col>73</xdr:col>
      <xdr:colOff>231246</xdr:colOff>
      <xdr:row>10</xdr:row>
      <xdr:rowOff>148119</xdr:rowOff>
    </xdr:to>
    <xdr:sp macro="" textlink="">
      <xdr:nvSpPr>
        <xdr:cNvPr id="260" name="Flecha: doblada hacia arriba 259">
          <a:extLst>
            <a:ext uri="{FF2B5EF4-FFF2-40B4-BE49-F238E27FC236}">
              <a16:creationId xmlns:a16="http://schemas.microsoft.com/office/drawing/2014/main" id="{F0AA5EDD-BBD4-4356-AF43-EA462379EC79}"/>
            </a:ext>
          </a:extLst>
        </xdr:cNvPr>
        <xdr:cNvSpPr/>
      </xdr:nvSpPr>
      <xdr:spPr>
        <a:xfrm rot="5400000" flipV="1">
          <a:off x="55833819" y="2147455"/>
          <a:ext cx="402600" cy="19843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38</xdr:col>
      <xdr:colOff>462898</xdr:colOff>
      <xdr:row>14</xdr:row>
      <xdr:rowOff>118993</xdr:rowOff>
    </xdr:from>
    <xdr:to>
      <xdr:col>39</xdr:col>
      <xdr:colOff>100646</xdr:colOff>
      <xdr:row>15</xdr:row>
      <xdr:rowOff>100647</xdr:rowOff>
    </xdr:to>
    <xdr:sp macro="" textlink="">
      <xdr:nvSpPr>
        <xdr:cNvPr id="261" name="Flecha: doblada hacia arriba 260">
          <a:extLst>
            <a:ext uri="{FF2B5EF4-FFF2-40B4-BE49-F238E27FC236}">
              <a16:creationId xmlns:a16="http://schemas.microsoft.com/office/drawing/2014/main" id="{2D44CAFA-BFAC-42F5-873B-B1A35876DB36}"/>
            </a:ext>
          </a:extLst>
        </xdr:cNvPr>
        <xdr:cNvSpPr/>
      </xdr:nvSpPr>
      <xdr:spPr>
        <a:xfrm rot="10800000" flipV="1">
          <a:off x="29903807" y="3360957"/>
          <a:ext cx="261203" cy="21718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692727</xdr:colOff>
      <xdr:row>42</xdr:row>
      <xdr:rowOff>110838</xdr:rowOff>
    </xdr:from>
    <xdr:to>
      <xdr:col>74</xdr:col>
      <xdr:colOff>54201</xdr:colOff>
      <xdr:row>43</xdr:row>
      <xdr:rowOff>105138</xdr:rowOff>
    </xdr:to>
    <xdr:sp macro="" textlink="">
      <xdr:nvSpPr>
        <xdr:cNvPr id="262" name="Flecha: doblada hacia arriba 261">
          <a:extLst>
            <a:ext uri="{FF2B5EF4-FFF2-40B4-BE49-F238E27FC236}">
              <a16:creationId xmlns:a16="http://schemas.microsoft.com/office/drawing/2014/main" id="{C3AFEE67-072B-443D-82D1-0CC1481B8EA1}"/>
            </a:ext>
          </a:extLst>
        </xdr:cNvPr>
        <xdr:cNvSpPr/>
      </xdr:nvSpPr>
      <xdr:spPr>
        <a:xfrm rot="5400000">
          <a:off x="56556496" y="9986887"/>
          <a:ext cx="229828" cy="15118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541021</xdr:colOff>
      <xdr:row>17</xdr:row>
      <xdr:rowOff>34512</xdr:rowOff>
    </xdr:from>
    <xdr:to>
      <xdr:col>2</xdr:col>
      <xdr:colOff>731521</xdr:colOff>
      <xdr:row>18</xdr:row>
      <xdr:rowOff>7618</xdr:rowOff>
    </xdr:to>
    <xdr:sp macro="" textlink="">
      <xdr:nvSpPr>
        <xdr:cNvPr id="4" name="Flecha: hacia la izquierda 3">
          <a:extLst>
            <a:ext uri="{FF2B5EF4-FFF2-40B4-BE49-F238E27FC236}">
              <a16:creationId xmlns:a16="http://schemas.microsoft.com/office/drawing/2014/main" id="{A1D34407-9DC7-4EAF-B28F-01299441D328}"/>
            </a:ext>
          </a:extLst>
        </xdr:cNvPr>
        <xdr:cNvSpPr/>
      </xdr:nvSpPr>
      <xdr:spPr>
        <a:xfrm>
          <a:off x="1329915" y="3154230"/>
          <a:ext cx="979394" cy="20618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576431</xdr:colOff>
      <xdr:row>19</xdr:row>
      <xdr:rowOff>80235</xdr:rowOff>
    </xdr:from>
    <xdr:to>
      <xdr:col>2</xdr:col>
      <xdr:colOff>766931</xdr:colOff>
      <xdr:row>20</xdr:row>
      <xdr:rowOff>56927</xdr:rowOff>
    </xdr:to>
    <xdr:sp macro="" textlink="">
      <xdr:nvSpPr>
        <xdr:cNvPr id="5" name="Flecha: hacia la izquierda 4">
          <a:extLst>
            <a:ext uri="{FF2B5EF4-FFF2-40B4-BE49-F238E27FC236}">
              <a16:creationId xmlns:a16="http://schemas.microsoft.com/office/drawing/2014/main" id="{1BA4103D-DE67-4089-B91D-27AEEADD528A}"/>
            </a:ext>
          </a:extLst>
        </xdr:cNvPr>
        <xdr:cNvSpPr/>
      </xdr:nvSpPr>
      <xdr:spPr>
        <a:xfrm rot="10800000">
          <a:off x="1365325" y="3621294"/>
          <a:ext cx="979394" cy="2097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</xdr:col>
      <xdr:colOff>678180</xdr:colOff>
      <xdr:row>17</xdr:row>
      <xdr:rowOff>76200</xdr:rowOff>
    </xdr:from>
    <xdr:to>
      <xdr:col>15</xdr:col>
      <xdr:colOff>76200</xdr:colOff>
      <xdr:row>18</xdr:row>
      <xdr:rowOff>106680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E007DF7F-8EE8-480C-88D7-B4D39FD67361}"/>
            </a:ext>
          </a:extLst>
        </xdr:cNvPr>
        <xdr:cNvSpPr/>
      </xdr:nvSpPr>
      <xdr:spPr>
        <a:xfrm>
          <a:off x="10980420" y="324612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</xdr:col>
      <xdr:colOff>731520</xdr:colOff>
      <xdr:row>19</xdr:row>
      <xdr:rowOff>152400</xdr:rowOff>
    </xdr:from>
    <xdr:to>
      <xdr:col>15</xdr:col>
      <xdr:colOff>129540</xdr:colOff>
      <xdr:row>21</xdr:row>
      <xdr:rowOff>0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20233460-F409-4BAE-8CD0-DDE815D0C1D9}"/>
            </a:ext>
          </a:extLst>
        </xdr:cNvPr>
        <xdr:cNvSpPr/>
      </xdr:nvSpPr>
      <xdr:spPr>
        <a:xfrm rot="10800000">
          <a:off x="11033760" y="3741420"/>
          <a:ext cx="982980" cy="3048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41</xdr:col>
      <xdr:colOff>708660</xdr:colOff>
      <xdr:row>17</xdr:row>
      <xdr:rowOff>38100</xdr:rowOff>
    </xdr:from>
    <xdr:to>
      <xdr:col>43</xdr:col>
      <xdr:colOff>106680</xdr:colOff>
      <xdr:row>18</xdr:row>
      <xdr:rowOff>68580</xdr:rowOff>
    </xdr:to>
    <xdr:sp macro="" textlink="">
      <xdr:nvSpPr>
        <xdr:cNvPr id="8" name="Flecha: hacia la izquierda 7">
          <a:extLst>
            <a:ext uri="{FF2B5EF4-FFF2-40B4-BE49-F238E27FC236}">
              <a16:creationId xmlns:a16="http://schemas.microsoft.com/office/drawing/2014/main" id="{D8E56077-013E-4177-BDAA-B99D4E013C55}"/>
            </a:ext>
          </a:extLst>
        </xdr:cNvPr>
        <xdr:cNvSpPr/>
      </xdr:nvSpPr>
      <xdr:spPr>
        <a:xfrm>
          <a:off x="32453580" y="320802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41</xdr:col>
      <xdr:colOff>762000</xdr:colOff>
      <xdr:row>19</xdr:row>
      <xdr:rowOff>114300</xdr:rowOff>
    </xdr:from>
    <xdr:to>
      <xdr:col>43</xdr:col>
      <xdr:colOff>160020</xdr:colOff>
      <xdr:row>20</xdr:row>
      <xdr:rowOff>144780</xdr:rowOff>
    </xdr:to>
    <xdr:sp macro="" textlink="">
      <xdr:nvSpPr>
        <xdr:cNvPr id="9" name="Flecha: hacia la izquierda 8">
          <a:extLst>
            <a:ext uri="{FF2B5EF4-FFF2-40B4-BE49-F238E27FC236}">
              <a16:creationId xmlns:a16="http://schemas.microsoft.com/office/drawing/2014/main" id="{3FC61367-7547-40F6-92FF-17D0C52E0E86}"/>
            </a:ext>
          </a:extLst>
        </xdr:cNvPr>
        <xdr:cNvSpPr/>
      </xdr:nvSpPr>
      <xdr:spPr>
        <a:xfrm rot="10800000">
          <a:off x="32506920" y="370332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121</xdr:col>
      <xdr:colOff>88750</xdr:colOff>
      <xdr:row>9</xdr:row>
      <xdr:rowOff>77992</xdr:rowOff>
    </xdr:from>
    <xdr:to>
      <xdr:col>122</xdr:col>
      <xdr:colOff>279250</xdr:colOff>
      <xdr:row>10</xdr:row>
      <xdr:rowOff>108472</xdr:rowOff>
    </xdr:to>
    <xdr:sp macro="" textlink="">
      <xdr:nvSpPr>
        <xdr:cNvPr id="10" name="Flecha: hacia la izquierda 9">
          <a:extLst>
            <a:ext uri="{FF2B5EF4-FFF2-40B4-BE49-F238E27FC236}">
              <a16:creationId xmlns:a16="http://schemas.microsoft.com/office/drawing/2014/main" id="{5D59DC2E-F23C-4B57-9D02-E8B80DCED129}"/>
            </a:ext>
          </a:extLst>
        </xdr:cNvPr>
        <xdr:cNvSpPr/>
      </xdr:nvSpPr>
      <xdr:spPr>
        <a:xfrm>
          <a:off x="92685197" y="1718533"/>
          <a:ext cx="979394" cy="2097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121</xdr:col>
      <xdr:colOff>142091</xdr:colOff>
      <xdr:row>11</xdr:row>
      <xdr:rowOff>82474</xdr:rowOff>
    </xdr:from>
    <xdr:to>
      <xdr:col>122</xdr:col>
      <xdr:colOff>329005</xdr:colOff>
      <xdr:row>12</xdr:row>
      <xdr:rowOff>112954</xdr:rowOff>
    </xdr:to>
    <xdr:sp macro="" textlink="">
      <xdr:nvSpPr>
        <xdr:cNvPr id="11" name="Flecha: hacia la izquierda 10">
          <a:extLst>
            <a:ext uri="{FF2B5EF4-FFF2-40B4-BE49-F238E27FC236}">
              <a16:creationId xmlns:a16="http://schemas.microsoft.com/office/drawing/2014/main" id="{75A9D5D8-8DB1-4917-8419-545275FD24EA}"/>
            </a:ext>
          </a:extLst>
        </xdr:cNvPr>
        <xdr:cNvSpPr/>
      </xdr:nvSpPr>
      <xdr:spPr>
        <a:xfrm rot="10800000">
          <a:off x="92738538" y="2090568"/>
          <a:ext cx="975808" cy="2097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214929</xdr:colOff>
      <xdr:row>19</xdr:row>
      <xdr:rowOff>50429</xdr:rowOff>
    </xdr:from>
    <xdr:to>
      <xdr:col>99</xdr:col>
      <xdr:colOff>340659</xdr:colOff>
      <xdr:row>20</xdr:row>
      <xdr:rowOff>179299</xdr:rowOff>
    </xdr:to>
    <xdr:sp macro="" textlink="">
      <xdr:nvSpPr>
        <xdr:cNvPr id="12" name="Flecha: hacia la izquierda 11">
          <a:extLst>
            <a:ext uri="{FF2B5EF4-FFF2-40B4-BE49-F238E27FC236}">
              <a16:creationId xmlns:a16="http://schemas.microsoft.com/office/drawing/2014/main" id="{E534DA35-BB32-4C6E-B7C5-14400D2B139A}"/>
            </a:ext>
          </a:extLst>
        </xdr:cNvPr>
        <xdr:cNvSpPr/>
      </xdr:nvSpPr>
      <xdr:spPr>
        <a:xfrm rot="16200000">
          <a:off x="76072700" y="3709599"/>
          <a:ext cx="361952" cy="12573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52</xdr:col>
      <xdr:colOff>487680</xdr:colOff>
      <xdr:row>17</xdr:row>
      <xdr:rowOff>22860</xdr:rowOff>
    </xdr:from>
    <xdr:to>
      <xdr:col>53</xdr:col>
      <xdr:colOff>678180</xdr:colOff>
      <xdr:row>18</xdr:row>
      <xdr:rowOff>53340</xdr:rowOff>
    </xdr:to>
    <xdr:sp macro="" textlink="">
      <xdr:nvSpPr>
        <xdr:cNvPr id="14" name="Flecha: hacia la izquierda 13">
          <a:extLst>
            <a:ext uri="{FF2B5EF4-FFF2-40B4-BE49-F238E27FC236}">
              <a16:creationId xmlns:a16="http://schemas.microsoft.com/office/drawing/2014/main" id="{C369B634-5DAF-44A9-A1F8-710E5488CBAF}"/>
            </a:ext>
          </a:extLst>
        </xdr:cNvPr>
        <xdr:cNvSpPr/>
      </xdr:nvSpPr>
      <xdr:spPr>
        <a:xfrm>
          <a:off x="40949880" y="319278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52</xdr:col>
      <xdr:colOff>541020</xdr:colOff>
      <xdr:row>19</xdr:row>
      <xdr:rowOff>99060</xdr:rowOff>
    </xdr:from>
    <xdr:to>
      <xdr:col>53</xdr:col>
      <xdr:colOff>731520</xdr:colOff>
      <xdr:row>20</xdr:row>
      <xdr:rowOff>129540</xdr:rowOff>
    </xdr:to>
    <xdr:sp macro="" textlink="">
      <xdr:nvSpPr>
        <xdr:cNvPr id="15" name="Flecha: hacia la izquierda 14">
          <a:extLst>
            <a:ext uri="{FF2B5EF4-FFF2-40B4-BE49-F238E27FC236}">
              <a16:creationId xmlns:a16="http://schemas.microsoft.com/office/drawing/2014/main" id="{30FA70A9-11E6-48B3-B5F0-C2DF34EB28D1}"/>
            </a:ext>
          </a:extLst>
        </xdr:cNvPr>
        <xdr:cNvSpPr/>
      </xdr:nvSpPr>
      <xdr:spPr>
        <a:xfrm rot="10800000">
          <a:off x="41003220" y="3688080"/>
          <a:ext cx="98298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327660</xdr:colOff>
      <xdr:row>9</xdr:row>
      <xdr:rowOff>167640</xdr:rowOff>
    </xdr:from>
    <xdr:to>
      <xdr:col>68</xdr:col>
      <xdr:colOff>685800</xdr:colOff>
      <xdr:row>11</xdr:row>
      <xdr:rowOff>7620</xdr:rowOff>
    </xdr:to>
    <xdr:sp macro="" textlink="">
      <xdr:nvSpPr>
        <xdr:cNvPr id="16" name="Flecha: hacia la izquierda 15">
          <a:extLst>
            <a:ext uri="{FF2B5EF4-FFF2-40B4-BE49-F238E27FC236}">
              <a16:creationId xmlns:a16="http://schemas.microsoft.com/office/drawing/2014/main" id="{DEC526BD-59DD-4EE4-B4A3-DD75A1B62156}"/>
            </a:ext>
          </a:extLst>
        </xdr:cNvPr>
        <xdr:cNvSpPr/>
      </xdr:nvSpPr>
      <xdr:spPr>
        <a:xfrm>
          <a:off x="51816000" y="183642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457200</xdr:colOff>
      <xdr:row>11</xdr:row>
      <xdr:rowOff>0</xdr:rowOff>
    </xdr:from>
    <xdr:to>
      <xdr:col>70</xdr:col>
      <xdr:colOff>22860</xdr:colOff>
      <xdr:row>12</xdr:row>
      <xdr:rowOff>30480</xdr:rowOff>
    </xdr:to>
    <xdr:sp macro="" textlink="">
      <xdr:nvSpPr>
        <xdr:cNvPr id="17" name="Flecha: hacia la izquierda 16">
          <a:extLst>
            <a:ext uri="{FF2B5EF4-FFF2-40B4-BE49-F238E27FC236}">
              <a16:creationId xmlns:a16="http://schemas.microsoft.com/office/drawing/2014/main" id="{FD58F60B-C66D-480E-A02C-52DD6543E5B0}"/>
            </a:ext>
          </a:extLst>
        </xdr:cNvPr>
        <xdr:cNvSpPr/>
      </xdr:nvSpPr>
      <xdr:spPr>
        <a:xfrm rot="10800000">
          <a:off x="51945540" y="2042160"/>
          <a:ext cx="177546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81</xdr:col>
      <xdr:colOff>464820</xdr:colOff>
      <xdr:row>10</xdr:row>
      <xdr:rowOff>68580</xdr:rowOff>
    </xdr:from>
    <xdr:to>
      <xdr:col>82</xdr:col>
      <xdr:colOff>655320</xdr:colOff>
      <xdr:row>11</xdr:row>
      <xdr:rowOff>91440</xdr:rowOff>
    </xdr:to>
    <xdr:sp macro="" textlink="">
      <xdr:nvSpPr>
        <xdr:cNvPr id="18" name="Flecha: hacia la izquierda 17">
          <a:extLst>
            <a:ext uri="{FF2B5EF4-FFF2-40B4-BE49-F238E27FC236}">
              <a16:creationId xmlns:a16="http://schemas.microsoft.com/office/drawing/2014/main" id="{E8F91A8E-4D97-4DC7-A1C7-82C921CA49BA}"/>
            </a:ext>
          </a:extLst>
        </xdr:cNvPr>
        <xdr:cNvSpPr/>
      </xdr:nvSpPr>
      <xdr:spPr>
        <a:xfrm rot="10800000">
          <a:off x="62499240" y="192024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220980</xdr:colOff>
      <xdr:row>43</xdr:row>
      <xdr:rowOff>143438</xdr:rowOff>
    </xdr:from>
    <xdr:to>
      <xdr:col>100</xdr:col>
      <xdr:colOff>439270</xdr:colOff>
      <xdr:row>46</xdr:row>
      <xdr:rowOff>45721</xdr:rowOff>
    </xdr:to>
    <xdr:sp macro="" textlink="">
      <xdr:nvSpPr>
        <xdr:cNvPr id="19" name="Flecha: hacia la izquierda 18">
          <a:extLst>
            <a:ext uri="{FF2B5EF4-FFF2-40B4-BE49-F238E27FC236}">
              <a16:creationId xmlns:a16="http://schemas.microsoft.com/office/drawing/2014/main" id="{2F699833-35B7-479F-9945-D63F640F81EE}"/>
            </a:ext>
          </a:extLst>
        </xdr:cNvPr>
        <xdr:cNvSpPr/>
      </xdr:nvSpPr>
      <xdr:spPr>
        <a:xfrm rot="5400000">
          <a:off x="76623807" y="8340541"/>
          <a:ext cx="440165" cy="21829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190500</xdr:colOff>
      <xdr:row>44</xdr:row>
      <xdr:rowOff>23460</xdr:rowOff>
    </xdr:from>
    <xdr:to>
      <xdr:col>99</xdr:col>
      <xdr:colOff>408792</xdr:colOff>
      <xdr:row>46</xdr:row>
      <xdr:rowOff>106680</xdr:rowOff>
    </xdr:to>
    <xdr:sp macro="" textlink="">
      <xdr:nvSpPr>
        <xdr:cNvPr id="20" name="Flecha: hacia la izquierda 19">
          <a:extLst>
            <a:ext uri="{FF2B5EF4-FFF2-40B4-BE49-F238E27FC236}">
              <a16:creationId xmlns:a16="http://schemas.microsoft.com/office/drawing/2014/main" id="{7FD552CE-7AF0-40E6-B7DC-2071A1899188}"/>
            </a:ext>
          </a:extLst>
        </xdr:cNvPr>
        <xdr:cNvSpPr/>
      </xdr:nvSpPr>
      <xdr:spPr>
        <a:xfrm rot="16200000">
          <a:off x="76054624" y="8400677"/>
          <a:ext cx="441808" cy="2182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74</xdr:col>
      <xdr:colOff>218738</xdr:colOff>
      <xdr:row>43</xdr:row>
      <xdr:rowOff>50651</xdr:rowOff>
    </xdr:from>
    <xdr:to>
      <xdr:col>75</xdr:col>
      <xdr:colOff>409238</xdr:colOff>
      <xdr:row>44</xdr:row>
      <xdr:rowOff>81131</xdr:rowOff>
    </xdr:to>
    <xdr:sp macro="" textlink="">
      <xdr:nvSpPr>
        <xdr:cNvPr id="22" name="Flecha: hacia la izquierda 21">
          <a:extLst>
            <a:ext uri="{FF2B5EF4-FFF2-40B4-BE49-F238E27FC236}">
              <a16:creationId xmlns:a16="http://schemas.microsoft.com/office/drawing/2014/main" id="{7E7F1869-C9C5-471A-A552-FF6A1B98EF93}"/>
            </a:ext>
          </a:extLst>
        </xdr:cNvPr>
        <xdr:cNvSpPr/>
      </xdr:nvSpPr>
      <xdr:spPr>
        <a:xfrm>
          <a:off x="56848785" y="8136816"/>
          <a:ext cx="979394" cy="2097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294715</xdr:colOff>
      <xdr:row>30</xdr:row>
      <xdr:rowOff>96148</xdr:rowOff>
    </xdr:from>
    <xdr:to>
      <xdr:col>62</xdr:col>
      <xdr:colOff>493060</xdr:colOff>
      <xdr:row>34</xdr:row>
      <xdr:rowOff>44825</xdr:rowOff>
    </xdr:to>
    <xdr:sp macro="" textlink="">
      <xdr:nvSpPr>
        <xdr:cNvPr id="23" name="Flecha: hacia la izquierda 22">
          <a:extLst>
            <a:ext uri="{FF2B5EF4-FFF2-40B4-BE49-F238E27FC236}">
              <a16:creationId xmlns:a16="http://schemas.microsoft.com/office/drawing/2014/main" id="{BFB9B044-B6F8-4D1C-96E2-33E47AFC4C52}"/>
            </a:ext>
          </a:extLst>
        </xdr:cNvPr>
        <xdr:cNvSpPr/>
      </xdr:nvSpPr>
      <xdr:spPr>
        <a:xfrm rot="5400000">
          <a:off x="47538043" y="6085243"/>
          <a:ext cx="665854" cy="19834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88</xdr:col>
      <xdr:colOff>35860</xdr:colOff>
      <xdr:row>43</xdr:row>
      <xdr:rowOff>62753</xdr:rowOff>
    </xdr:from>
    <xdr:to>
      <xdr:col>88</xdr:col>
      <xdr:colOff>690282</xdr:colOff>
      <xdr:row>44</xdr:row>
      <xdr:rowOff>98612</xdr:rowOff>
    </xdr:to>
    <xdr:sp macro="" textlink="">
      <xdr:nvSpPr>
        <xdr:cNvPr id="30" name="Flecha: hacia la izquierda 29">
          <a:extLst>
            <a:ext uri="{FF2B5EF4-FFF2-40B4-BE49-F238E27FC236}">
              <a16:creationId xmlns:a16="http://schemas.microsoft.com/office/drawing/2014/main" id="{9C000D8A-28BC-4FCB-92C0-E2B45E434F20}"/>
            </a:ext>
          </a:extLst>
        </xdr:cNvPr>
        <xdr:cNvSpPr/>
      </xdr:nvSpPr>
      <xdr:spPr>
        <a:xfrm>
          <a:off x="67333907" y="8148918"/>
          <a:ext cx="654422" cy="21515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85</xdr:col>
      <xdr:colOff>502022</xdr:colOff>
      <xdr:row>43</xdr:row>
      <xdr:rowOff>152400</xdr:rowOff>
    </xdr:from>
    <xdr:to>
      <xdr:col>86</xdr:col>
      <xdr:colOff>439271</xdr:colOff>
      <xdr:row>45</xdr:row>
      <xdr:rowOff>15240</xdr:rowOff>
    </xdr:to>
    <xdr:sp macro="" textlink="">
      <xdr:nvSpPr>
        <xdr:cNvPr id="31" name="Flecha: hacia la izquierda 30">
          <a:extLst>
            <a:ext uri="{FF2B5EF4-FFF2-40B4-BE49-F238E27FC236}">
              <a16:creationId xmlns:a16="http://schemas.microsoft.com/office/drawing/2014/main" id="{E381950B-D1D3-4724-BBA6-40DBA27F6025}"/>
            </a:ext>
          </a:extLst>
        </xdr:cNvPr>
        <xdr:cNvSpPr/>
      </xdr:nvSpPr>
      <xdr:spPr>
        <a:xfrm rot="10800000">
          <a:off x="65433387" y="8238565"/>
          <a:ext cx="726143" cy="22142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81</xdr:col>
      <xdr:colOff>582707</xdr:colOff>
      <xdr:row>42</xdr:row>
      <xdr:rowOff>143434</xdr:rowOff>
    </xdr:from>
    <xdr:to>
      <xdr:col>82</xdr:col>
      <xdr:colOff>463483</xdr:colOff>
      <xdr:row>43</xdr:row>
      <xdr:rowOff>174335</xdr:rowOff>
    </xdr:to>
    <xdr:sp macro="" textlink="">
      <xdr:nvSpPr>
        <xdr:cNvPr id="32" name="Flecha: hacia la izquierda 31">
          <a:extLst>
            <a:ext uri="{FF2B5EF4-FFF2-40B4-BE49-F238E27FC236}">
              <a16:creationId xmlns:a16="http://schemas.microsoft.com/office/drawing/2014/main" id="{3EC76C19-F47F-4237-B1F6-ECBA1FD4FCC6}"/>
            </a:ext>
          </a:extLst>
        </xdr:cNvPr>
        <xdr:cNvSpPr/>
      </xdr:nvSpPr>
      <xdr:spPr>
        <a:xfrm>
          <a:off x="62358495" y="7987552"/>
          <a:ext cx="669670" cy="210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81</xdr:col>
      <xdr:colOff>712247</xdr:colOff>
      <xdr:row>43</xdr:row>
      <xdr:rowOff>164052</xdr:rowOff>
    </xdr:from>
    <xdr:to>
      <xdr:col>82</xdr:col>
      <xdr:colOff>591670</xdr:colOff>
      <xdr:row>45</xdr:row>
      <xdr:rowOff>17929</xdr:rowOff>
    </xdr:to>
    <xdr:sp macro="" textlink="">
      <xdr:nvSpPr>
        <xdr:cNvPr id="33" name="Flecha: hacia la izquierda 32">
          <a:extLst>
            <a:ext uri="{FF2B5EF4-FFF2-40B4-BE49-F238E27FC236}">
              <a16:creationId xmlns:a16="http://schemas.microsoft.com/office/drawing/2014/main" id="{D63D7CD5-E7D6-4109-A981-0870C034597F}"/>
            </a:ext>
          </a:extLst>
        </xdr:cNvPr>
        <xdr:cNvSpPr/>
      </xdr:nvSpPr>
      <xdr:spPr>
        <a:xfrm rot="10800000">
          <a:off x="62488035" y="8187464"/>
          <a:ext cx="668317" cy="2124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93</xdr:col>
      <xdr:colOff>102647</xdr:colOff>
      <xdr:row>12</xdr:row>
      <xdr:rowOff>8965</xdr:rowOff>
    </xdr:from>
    <xdr:to>
      <xdr:col>94</xdr:col>
      <xdr:colOff>448235</xdr:colOff>
      <xdr:row>13</xdr:row>
      <xdr:rowOff>51099</xdr:rowOff>
    </xdr:to>
    <xdr:sp macro="" textlink="">
      <xdr:nvSpPr>
        <xdr:cNvPr id="35" name="Flecha: hacia la izquierda 34">
          <a:extLst>
            <a:ext uri="{FF2B5EF4-FFF2-40B4-BE49-F238E27FC236}">
              <a16:creationId xmlns:a16="http://schemas.microsoft.com/office/drawing/2014/main" id="{167916AF-44F2-4658-93FC-6FFE77761775}"/>
            </a:ext>
          </a:extLst>
        </xdr:cNvPr>
        <xdr:cNvSpPr/>
      </xdr:nvSpPr>
      <xdr:spPr>
        <a:xfrm rot="10800000">
          <a:off x="71646827" y="2234005"/>
          <a:ext cx="1138068" cy="22501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91</xdr:col>
      <xdr:colOff>412153</xdr:colOff>
      <xdr:row>17</xdr:row>
      <xdr:rowOff>166967</xdr:rowOff>
    </xdr:from>
    <xdr:to>
      <xdr:col>92</xdr:col>
      <xdr:colOff>589654</xdr:colOff>
      <xdr:row>19</xdr:row>
      <xdr:rowOff>12774</xdr:rowOff>
    </xdr:to>
    <xdr:sp macro="" textlink="">
      <xdr:nvSpPr>
        <xdr:cNvPr id="36" name="Flecha: hacia la izquierda 35">
          <a:extLst>
            <a:ext uri="{FF2B5EF4-FFF2-40B4-BE49-F238E27FC236}">
              <a16:creationId xmlns:a16="http://schemas.microsoft.com/office/drawing/2014/main" id="{52804BA3-E9C8-4E86-9814-DEC381251961}"/>
            </a:ext>
          </a:extLst>
        </xdr:cNvPr>
        <xdr:cNvSpPr/>
      </xdr:nvSpPr>
      <xdr:spPr>
        <a:xfrm rot="8856386">
          <a:off x="70371373" y="3336887"/>
          <a:ext cx="969981" cy="26490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90</xdr:col>
      <xdr:colOff>248322</xdr:colOff>
      <xdr:row>17</xdr:row>
      <xdr:rowOff>20618</xdr:rowOff>
    </xdr:from>
    <xdr:to>
      <xdr:col>91</xdr:col>
      <xdr:colOff>423582</xdr:colOff>
      <xdr:row>18</xdr:row>
      <xdr:rowOff>54684</xdr:rowOff>
    </xdr:to>
    <xdr:sp macro="" textlink="">
      <xdr:nvSpPr>
        <xdr:cNvPr id="37" name="Flecha: hacia la izquierda 36">
          <a:extLst>
            <a:ext uri="{FF2B5EF4-FFF2-40B4-BE49-F238E27FC236}">
              <a16:creationId xmlns:a16="http://schemas.microsoft.com/office/drawing/2014/main" id="{69D51973-51C1-4642-8A3C-2AB82C8BE0D5}"/>
            </a:ext>
          </a:extLst>
        </xdr:cNvPr>
        <xdr:cNvSpPr/>
      </xdr:nvSpPr>
      <xdr:spPr>
        <a:xfrm rot="19656386">
          <a:off x="69415062" y="3190538"/>
          <a:ext cx="967740" cy="26266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449836</xdr:colOff>
      <xdr:row>22</xdr:row>
      <xdr:rowOff>100408</xdr:rowOff>
    </xdr:from>
    <xdr:to>
      <xdr:col>19</xdr:col>
      <xdr:colOff>762001</xdr:colOff>
      <xdr:row>23</xdr:row>
      <xdr:rowOff>98612</xdr:rowOff>
    </xdr:to>
    <xdr:sp macro="" textlink="">
      <xdr:nvSpPr>
        <xdr:cNvPr id="38" name="Flecha: doblada hacia arriba 37">
          <a:extLst>
            <a:ext uri="{FF2B5EF4-FFF2-40B4-BE49-F238E27FC236}">
              <a16:creationId xmlns:a16="http://schemas.microsoft.com/office/drawing/2014/main" id="{82891B58-1BD6-49A0-B204-E1866DE1EFCA}"/>
            </a:ext>
          </a:extLst>
        </xdr:cNvPr>
        <xdr:cNvSpPr/>
      </xdr:nvSpPr>
      <xdr:spPr>
        <a:xfrm rot="10800000" flipH="1">
          <a:off x="15506956" y="4382848"/>
          <a:ext cx="312165" cy="22680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392654</xdr:colOff>
      <xdr:row>21</xdr:row>
      <xdr:rowOff>59614</xdr:rowOff>
    </xdr:from>
    <xdr:to>
      <xdr:col>19</xdr:col>
      <xdr:colOff>779929</xdr:colOff>
      <xdr:row>21</xdr:row>
      <xdr:rowOff>170329</xdr:rowOff>
    </xdr:to>
    <xdr:sp macro="" textlink="">
      <xdr:nvSpPr>
        <xdr:cNvPr id="39" name="Flecha: hacia la izquierda 38">
          <a:extLst>
            <a:ext uri="{FF2B5EF4-FFF2-40B4-BE49-F238E27FC236}">
              <a16:creationId xmlns:a16="http://schemas.microsoft.com/office/drawing/2014/main" id="{4F1B5C34-CD3E-4A6D-9C84-47CE410642A9}"/>
            </a:ext>
          </a:extLst>
        </xdr:cNvPr>
        <xdr:cNvSpPr/>
      </xdr:nvSpPr>
      <xdr:spPr>
        <a:xfrm rot="10800000">
          <a:off x="15449774" y="4105834"/>
          <a:ext cx="387275" cy="1107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575342</xdr:colOff>
      <xdr:row>14</xdr:row>
      <xdr:rowOff>127302</xdr:rowOff>
    </xdr:from>
    <xdr:to>
      <xdr:col>21</xdr:col>
      <xdr:colOff>699248</xdr:colOff>
      <xdr:row>15</xdr:row>
      <xdr:rowOff>125507</xdr:rowOff>
    </xdr:to>
    <xdr:sp macro="" textlink="">
      <xdr:nvSpPr>
        <xdr:cNvPr id="40" name="Flecha: doblada hacia arriba 39">
          <a:extLst>
            <a:ext uri="{FF2B5EF4-FFF2-40B4-BE49-F238E27FC236}">
              <a16:creationId xmlns:a16="http://schemas.microsoft.com/office/drawing/2014/main" id="{7872ECFD-5714-4899-8A1F-E217BCFFCD6E}"/>
            </a:ext>
          </a:extLst>
        </xdr:cNvPr>
        <xdr:cNvSpPr/>
      </xdr:nvSpPr>
      <xdr:spPr>
        <a:xfrm flipH="1">
          <a:off x="17217422" y="2725722"/>
          <a:ext cx="123906" cy="19632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347830</xdr:colOff>
      <xdr:row>16</xdr:row>
      <xdr:rowOff>41686</xdr:rowOff>
    </xdr:from>
    <xdr:to>
      <xdr:col>21</xdr:col>
      <xdr:colOff>735106</xdr:colOff>
      <xdr:row>16</xdr:row>
      <xdr:rowOff>143435</xdr:rowOff>
    </xdr:to>
    <xdr:sp macro="" textlink="">
      <xdr:nvSpPr>
        <xdr:cNvPr id="41" name="Flecha: hacia la izquierda 40">
          <a:extLst>
            <a:ext uri="{FF2B5EF4-FFF2-40B4-BE49-F238E27FC236}">
              <a16:creationId xmlns:a16="http://schemas.microsoft.com/office/drawing/2014/main" id="{40A33A9B-4BD3-4E52-B2FA-7E2A8282D7B3}"/>
            </a:ext>
          </a:extLst>
        </xdr:cNvPr>
        <xdr:cNvSpPr/>
      </xdr:nvSpPr>
      <xdr:spPr>
        <a:xfrm>
          <a:off x="16989910" y="3028726"/>
          <a:ext cx="387276" cy="10174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286871</xdr:colOff>
      <xdr:row>23</xdr:row>
      <xdr:rowOff>44823</xdr:rowOff>
    </xdr:from>
    <xdr:to>
      <xdr:col>21</xdr:col>
      <xdr:colOff>499558</xdr:colOff>
      <xdr:row>26</xdr:row>
      <xdr:rowOff>14119</xdr:rowOff>
    </xdr:to>
    <xdr:sp macro="" textlink="">
      <xdr:nvSpPr>
        <xdr:cNvPr id="42" name="Flecha: hacia la izquierda 41">
          <a:extLst>
            <a:ext uri="{FF2B5EF4-FFF2-40B4-BE49-F238E27FC236}">
              <a16:creationId xmlns:a16="http://schemas.microsoft.com/office/drawing/2014/main" id="{EFD32DDF-CB35-4552-8532-42020011749F}"/>
            </a:ext>
          </a:extLst>
        </xdr:cNvPr>
        <xdr:cNvSpPr/>
      </xdr:nvSpPr>
      <xdr:spPr>
        <a:xfrm rot="5400000">
          <a:off x="16692954" y="4678904"/>
          <a:ext cx="534073" cy="21268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681321</xdr:colOff>
      <xdr:row>23</xdr:row>
      <xdr:rowOff>152400</xdr:rowOff>
    </xdr:from>
    <xdr:to>
      <xdr:col>21</xdr:col>
      <xdr:colOff>170336</xdr:colOff>
      <xdr:row>25</xdr:row>
      <xdr:rowOff>152401</xdr:rowOff>
    </xdr:to>
    <xdr:sp macro="" textlink="">
      <xdr:nvSpPr>
        <xdr:cNvPr id="43" name="Flecha: doblada hacia arriba 42">
          <a:extLst>
            <a:ext uri="{FF2B5EF4-FFF2-40B4-BE49-F238E27FC236}">
              <a16:creationId xmlns:a16="http://schemas.microsoft.com/office/drawing/2014/main" id="{247EC630-8F5E-45CB-8EE8-CE7E20F52B8D}"/>
            </a:ext>
          </a:extLst>
        </xdr:cNvPr>
        <xdr:cNvSpPr/>
      </xdr:nvSpPr>
      <xdr:spPr>
        <a:xfrm rot="16200000">
          <a:off x="16405416" y="4679575"/>
          <a:ext cx="385484" cy="27790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34</xdr:col>
      <xdr:colOff>71719</xdr:colOff>
      <xdr:row>16</xdr:row>
      <xdr:rowOff>98610</xdr:rowOff>
    </xdr:from>
    <xdr:to>
      <xdr:col>34</xdr:col>
      <xdr:colOff>735107</xdr:colOff>
      <xdr:row>17</xdr:row>
      <xdr:rowOff>125505</xdr:rowOff>
    </xdr:to>
    <xdr:sp macro="" textlink="">
      <xdr:nvSpPr>
        <xdr:cNvPr id="44" name="Flecha: hacia la izquierda 43">
          <a:extLst>
            <a:ext uri="{FF2B5EF4-FFF2-40B4-BE49-F238E27FC236}">
              <a16:creationId xmlns:a16="http://schemas.microsoft.com/office/drawing/2014/main" id="{95E45E6B-8E2D-4074-9AE2-4167EB98A462}"/>
            </a:ext>
          </a:extLst>
        </xdr:cNvPr>
        <xdr:cNvSpPr/>
      </xdr:nvSpPr>
      <xdr:spPr>
        <a:xfrm>
          <a:off x="26526566" y="3039034"/>
          <a:ext cx="663388" cy="20618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34</xdr:col>
      <xdr:colOff>89647</xdr:colOff>
      <xdr:row>17</xdr:row>
      <xdr:rowOff>163248</xdr:rowOff>
    </xdr:from>
    <xdr:to>
      <xdr:col>34</xdr:col>
      <xdr:colOff>636494</xdr:colOff>
      <xdr:row>19</xdr:row>
      <xdr:rowOff>80682</xdr:rowOff>
    </xdr:to>
    <xdr:sp macro="" textlink="">
      <xdr:nvSpPr>
        <xdr:cNvPr id="45" name="Flecha: doblada hacia arriba 44">
          <a:extLst>
            <a:ext uri="{FF2B5EF4-FFF2-40B4-BE49-F238E27FC236}">
              <a16:creationId xmlns:a16="http://schemas.microsoft.com/office/drawing/2014/main" id="{7716C8C2-608B-40FA-8331-66463CC4D504}"/>
            </a:ext>
          </a:extLst>
        </xdr:cNvPr>
        <xdr:cNvSpPr/>
      </xdr:nvSpPr>
      <xdr:spPr>
        <a:xfrm rot="10800000">
          <a:off x="26544494" y="3282966"/>
          <a:ext cx="546847" cy="33877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165850</xdr:colOff>
      <xdr:row>11</xdr:row>
      <xdr:rowOff>165848</xdr:rowOff>
    </xdr:from>
    <xdr:to>
      <xdr:col>32</xdr:col>
      <xdr:colOff>403412</xdr:colOff>
      <xdr:row>14</xdr:row>
      <xdr:rowOff>98613</xdr:rowOff>
    </xdr:to>
    <xdr:sp macro="" textlink="">
      <xdr:nvSpPr>
        <xdr:cNvPr id="46" name="Flecha: hacia la izquierda 45">
          <a:extLst>
            <a:ext uri="{FF2B5EF4-FFF2-40B4-BE49-F238E27FC236}">
              <a16:creationId xmlns:a16="http://schemas.microsoft.com/office/drawing/2014/main" id="{C0C5C642-A4D5-415F-BFE8-B4BB71DF84E6}"/>
            </a:ext>
          </a:extLst>
        </xdr:cNvPr>
        <xdr:cNvSpPr/>
      </xdr:nvSpPr>
      <xdr:spPr>
        <a:xfrm rot="16200000">
          <a:off x="25289437" y="2294967"/>
          <a:ext cx="479612" cy="23756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494273</xdr:colOff>
      <xdr:row>11</xdr:row>
      <xdr:rowOff>99828</xdr:rowOff>
    </xdr:from>
    <xdr:to>
      <xdr:col>33</xdr:col>
      <xdr:colOff>161364</xdr:colOff>
      <xdr:row>14</xdr:row>
      <xdr:rowOff>8964</xdr:rowOff>
    </xdr:to>
    <xdr:sp macro="" textlink="">
      <xdr:nvSpPr>
        <xdr:cNvPr id="47" name="Flecha: doblada hacia arriba 46">
          <a:extLst>
            <a:ext uri="{FF2B5EF4-FFF2-40B4-BE49-F238E27FC236}">
              <a16:creationId xmlns:a16="http://schemas.microsoft.com/office/drawing/2014/main" id="{8871D6E7-CDB4-4DA8-AF41-9B00AFD7C5AE}"/>
            </a:ext>
          </a:extLst>
        </xdr:cNvPr>
        <xdr:cNvSpPr/>
      </xdr:nvSpPr>
      <xdr:spPr>
        <a:xfrm rot="5400000">
          <a:off x="25635792" y="2211015"/>
          <a:ext cx="455983" cy="24979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627531</xdr:colOff>
      <xdr:row>11</xdr:row>
      <xdr:rowOff>98615</xdr:rowOff>
    </xdr:from>
    <xdr:to>
      <xdr:col>32</xdr:col>
      <xdr:colOff>98614</xdr:colOff>
      <xdr:row>14</xdr:row>
      <xdr:rowOff>35861</xdr:rowOff>
    </xdr:to>
    <xdr:sp macro="" textlink="">
      <xdr:nvSpPr>
        <xdr:cNvPr id="48" name="Flecha: doblada hacia arriba 47">
          <a:extLst>
            <a:ext uri="{FF2B5EF4-FFF2-40B4-BE49-F238E27FC236}">
              <a16:creationId xmlns:a16="http://schemas.microsoft.com/office/drawing/2014/main" id="{1637027E-B8CB-4351-B91A-25BFB3309C77}"/>
            </a:ext>
          </a:extLst>
        </xdr:cNvPr>
        <xdr:cNvSpPr/>
      </xdr:nvSpPr>
      <xdr:spPr>
        <a:xfrm rot="5400000" flipV="1">
          <a:off x="24971191" y="2218767"/>
          <a:ext cx="484093" cy="25997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33</xdr:col>
      <xdr:colOff>201709</xdr:colOff>
      <xdr:row>23</xdr:row>
      <xdr:rowOff>26897</xdr:rowOff>
    </xdr:from>
    <xdr:to>
      <xdr:col>33</xdr:col>
      <xdr:colOff>403410</xdr:colOff>
      <xdr:row>26</xdr:row>
      <xdr:rowOff>22411</xdr:rowOff>
    </xdr:to>
    <xdr:sp macro="" textlink="">
      <xdr:nvSpPr>
        <xdr:cNvPr id="49" name="Flecha: hacia la izquierda 48">
          <a:extLst>
            <a:ext uri="{FF2B5EF4-FFF2-40B4-BE49-F238E27FC236}">
              <a16:creationId xmlns:a16="http://schemas.microsoft.com/office/drawing/2014/main" id="{0419535D-6175-4EC4-8C11-AFA502170BB5}"/>
            </a:ext>
          </a:extLst>
        </xdr:cNvPr>
        <xdr:cNvSpPr/>
      </xdr:nvSpPr>
      <xdr:spPr>
        <a:xfrm rot="5400000">
          <a:off x="25849732" y="4679580"/>
          <a:ext cx="560291" cy="20170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33</xdr:col>
      <xdr:colOff>510991</xdr:colOff>
      <xdr:row>23</xdr:row>
      <xdr:rowOff>107576</xdr:rowOff>
    </xdr:from>
    <xdr:to>
      <xdr:col>34</xdr:col>
      <xdr:colOff>170330</xdr:colOff>
      <xdr:row>26</xdr:row>
      <xdr:rowOff>26895</xdr:rowOff>
    </xdr:to>
    <xdr:sp macro="" textlink="">
      <xdr:nvSpPr>
        <xdr:cNvPr id="50" name="Flecha: doblada hacia arriba 49">
          <a:extLst>
            <a:ext uri="{FF2B5EF4-FFF2-40B4-BE49-F238E27FC236}">
              <a16:creationId xmlns:a16="http://schemas.microsoft.com/office/drawing/2014/main" id="{B14BFFFA-8C0A-4DB9-BCF5-C287CE65C2AD}"/>
            </a:ext>
          </a:extLst>
        </xdr:cNvPr>
        <xdr:cNvSpPr/>
      </xdr:nvSpPr>
      <xdr:spPr>
        <a:xfrm rot="16200000" flipV="1">
          <a:off x="26239695" y="4679578"/>
          <a:ext cx="484096" cy="286868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394450</xdr:colOff>
      <xdr:row>23</xdr:row>
      <xdr:rowOff>107576</xdr:rowOff>
    </xdr:from>
    <xdr:to>
      <xdr:col>33</xdr:col>
      <xdr:colOff>116541</xdr:colOff>
      <xdr:row>26</xdr:row>
      <xdr:rowOff>26892</xdr:rowOff>
    </xdr:to>
    <xdr:sp macro="" textlink="">
      <xdr:nvSpPr>
        <xdr:cNvPr id="51" name="Flecha: doblada hacia arriba 50">
          <a:extLst>
            <a:ext uri="{FF2B5EF4-FFF2-40B4-BE49-F238E27FC236}">
              <a16:creationId xmlns:a16="http://schemas.microsoft.com/office/drawing/2014/main" id="{93E1E962-FDE4-4E23-973D-EB3E9B5CCE0E}"/>
            </a:ext>
          </a:extLst>
        </xdr:cNvPr>
        <xdr:cNvSpPr/>
      </xdr:nvSpPr>
      <xdr:spPr>
        <a:xfrm rot="16200000">
          <a:off x="25549414" y="4670612"/>
          <a:ext cx="484093" cy="30479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215154</xdr:colOff>
      <xdr:row>19</xdr:row>
      <xdr:rowOff>62753</xdr:rowOff>
    </xdr:from>
    <xdr:to>
      <xdr:col>31</xdr:col>
      <xdr:colOff>788893</xdr:colOff>
      <xdr:row>20</xdr:row>
      <xdr:rowOff>44825</xdr:rowOff>
    </xdr:to>
    <xdr:sp macro="" textlink="">
      <xdr:nvSpPr>
        <xdr:cNvPr id="52" name="Flecha: hacia la izquierda 51">
          <a:extLst>
            <a:ext uri="{FF2B5EF4-FFF2-40B4-BE49-F238E27FC236}">
              <a16:creationId xmlns:a16="http://schemas.microsoft.com/office/drawing/2014/main" id="{030B8611-5B42-44C8-B417-3E3B9434D514}"/>
            </a:ext>
          </a:extLst>
        </xdr:cNvPr>
        <xdr:cNvSpPr/>
      </xdr:nvSpPr>
      <xdr:spPr>
        <a:xfrm rot="10800000">
          <a:off x="24670872" y="3603812"/>
          <a:ext cx="573739" cy="21515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34</xdr:col>
      <xdr:colOff>140172</xdr:colOff>
      <xdr:row>14</xdr:row>
      <xdr:rowOff>71718</xdr:rowOff>
    </xdr:from>
    <xdr:to>
      <xdr:col>34</xdr:col>
      <xdr:colOff>636493</xdr:colOff>
      <xdr:row>16</xdr:row>
      <xdr:rowOff>41561</xdr:rowOff>
    </xdr:to>
    <xdr:sp macro="" textlink="">
      <xdr:nvSpPr>
        <xdr:cNvPr id="53" name="Flecha: doblada hacia arriba 52">
          <a:extLst>
            <a:ext uri="{FF2B5EF4-FFF2-40B4-BE49-F238E27FC236}">
              <a16:creationId xmlns:a16="http://schemas.microsoft.com/office/drawing/2014/main" id="{F3B3B048-4497-4F1F-BC3B-0BD4F259CC70}"/>
            </a:ext>
          </a:extLst>
        </xdr:cNvPr>
        <xdr:cNvSpPr/>
      </xdr:nvSpPr>
      <xdr:spPr>
        <a:xfrm rot="10800000" flipV="1">
          <a:off x="26595019" y="2626659"/>
          <a:ext cx="496321" cy="35532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260587</xdr:colOff>
      <xdr:row>17</xdr:row>
      <xdr:rowOff>54398</xdr:rowOff>
    </xdr:from>
    <xdr:to>
      <xdr:col>31</xdr:col>
      <xdr:colOff>726140</xdr:colOff>
      <xdr:row>18</xdr:row>
      <xdr:rowOff>125506</xdr:rowOff>
    </xdr:to>
    <xdr:sp macro="" textlink="">
      <xdr:nvSpPr>
        <xdr:cNvPr id="54" name="Flecha: doblada hacia arriba 53">
          <a:extLst>
            <a:ext uri="{FF2B5EF4-FFF2-40B4-BE49-F238E27FC236}">
              <a16:creationId xmlns:a16="http://schemas.microsoft.com/office/drawing/2014/main" id="{E4A6F81B-7A93-4681-9CCE-171B825C556B}"/>
            </a:ext>
          </a:extLst>
        </xdr:cNvPr>
        <xdr:cNvSpPr/>
      </xdr:nvSpPr>
      <xdr:spPr>
        <a:xfrm>
          <a:off x="24716305" y="3174116"/>
          <a:ext cx="465553" cy="30419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744073</xdr:colOff>
      <xdr:row>22</xdr:row>
      <xdr:rowOff>5700</xdr:rowOff>
    </xdr:from>
    <xdr:to>
      <xdr:col>63</xdr:col>
      <xdr:colOff>35858</xdr:colOff>
      <xdr:row>24</xdr:row>
      <xdr:rowOff>71722</xdr:rowOff>
    </xdr:to>
    <xdr:grpSp>
      <xdr:nvGrpSpPr>
        <xdr:cNvPr id="429" name="Grupo 428">
          <a:extLst>
            <a:ext uri="{FF2B5EF4-FFF2-40B4-BE49-F238E27FC236}">
              <a16:creationId xmlns:a16="http://schemas.microsoft.com/office/drawing/2014/main" id="{B04B317C-AEAE-99D2-2CFD-863DF1426D3B}"/>
            </a:ext>
          </a:extLst>
        </xdr:cNvPr>
        <xdr:cNvGrpSpPr/>
      </xdr:nvGrpSpPr>
      <xdr:grpSpPr>
        <a:xfrm>
          <a:off x="46649130" y="4305557"/>
          <a:ext cx="881099" cy="436136"/>
          <a:chOff x="47432261" y="4246006"/>
          <a:chExt cx="869573" cy="505292"/>
        </a:xfrm>
      </xdr:grpSpPr>
      <xdr:sp macro="" textlink="">
        <xdr:nvSpPr>
          <xdr:cNvPr id="55" name="Flecha: hacia la izquierda 54">
            <a:extLst>
              <a:ext uri="{FF2B5EF4-FFF2-40B4-BE49-F238E27FC236}">
                <a16:creationId xmlns:a16="http://schemas.microsoft.com/office/drawing/2014/main" id="{D35294F2-5F68-43BA-97A7-6E3E73531CDD}"/>
              </a:ext>
            </a:extLst>
          </xdr:cNvPr>
          <xdr:cNvSpPr/>
        </xdr:nvSpPr>
        <xdr:spPr>
          <a:xfrm rot="5400000">
            <a:off x="47640688" y="4412883"/>
            <a:ext cx="466163" cy="210668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56" name="Flecha: doblada hacia arriba 55">
            <a:extLst>
              <a:ext uri="{FF2B5EF4-FFF2-40B4-BE49-F238E27FC236}">
                <a16:creationId xmlns:a16="http://schemas.microsoft.com/office/drawing/2014/main" id="{7AA63422-C79B-4EF3-A9EC-D183B5B81AF5}"/>
              </a:ext>
            </a:extLst>
          </xdr:cNvPr>
          <xdr:cNvSpPr/>
        </xdr:nvSpPr>
        <xdr:spPr>
          <a:xfrm rot="16200000" flipV="1">
            <a:off x="47941004" y="4385984"/>
            <a:ext cx="461683" cy="259977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57" name="Flecha: doblada hacia arriba 56">
            <a:extLst>
              <a:ext uri="{FF2B5EF4-FFF2-40B4-BE49-F238E27FC236}">
                <a16:creationId xmlns:a16="http://schemas.microsoft.com/office/drawing/2014/main" id="{E5F9ADF1-9365-4ED2-ADCC-C13A70B7D797}"/>
              </a:ext>
            </a:extLst>
          </xdr:cNvPr>
          <xdr:cNvSpPr/>
        </xdr:nvSpPr>
        <xdr:spPr>
          <a:xfrm rot="16200000">
            <a:off x="47309605" y="4368662"/>
            <a:ext cx="496324" cy="251012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61</xdr:col>
      <xdr:colOff>89648</xdr:colOff>
      <xdr:row>21</xdr:row>
      <xdr:rowOff>125504</xdr:rowOff>
    </xdr:from>
    <xdr:to>
      <xdr:col>61</xdr:col>
      <xdr:colOff>645459</xdr:colOff>
      <xdr:row>22</xdr:row>
      <xdr:rowOff>89645</xdr:rowOff>
    </xdr:to>
    <xdr:sp macro="" textlink="">
      <xdr:nvSpPr>
        <xdr:cNvPr id="58" name="Flecha: doblada hacia arriba 57">
          <a:extLst>
            <a:ext uri="{FF2B5EF4-FFF2-40B4-BE49-F238E27FC236}">
              <a16:creationId xmlns:a16="http://schemas.microsoft.com/office/drawing/2014/main" id="{9FB1677E-0AFE-47A5-92DC-CB8AA95DB67E}"/>
            </a:ext>
          </a:extLst>
        </xdr:cNvPr>
        <xdr:cNvSpPr/>
      </xdr:nvSpPr>
      <xdr:spPr>
        <a:xfrm flipV="1">
          <a:off x="46777836" y="4132728"/>
          <a:ext cx="555811" cy="19722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71718</xdr:colOff>
      <xdr:row>20</xdr:row>
      <xdr:rowOff>143434</xdr:rowOff>
    </xdr:from>
    <xdr:to>
      <xdr:col>61</xdr:col>
      <xdr:colOff>663387</xdr:colOff>
      <xdr:row>21</xdr:row>
      <xdr:rowOff>58269</xdr:rowOff>
    </xdr:to>
    <xdr:sp macro="" textlink="">
      <xdr:nvSpPr>
        <xdr:cNvPr id="59" name="Flecha: hacia la izquierda 58">
          <a:extLst>
            <a:ext uri="{FF2B5EF4-FFF2-40B4-BE49-F238E27FC236}">
              <a16:creationId xmlns:a16="http://schemas.microsoft.com/office/drawing/2014/main" id="{C16B19EB-98CC-4FD0-B43F-A8FE60F472EA}"/>
            </a:ext>
          </a:extLst>
        </xdr:cNvPr>
        <xdr:cNvSpPr/>
      </xdr:nvSpPr>
      <xdr:spPr>
        <a:xfrm rot="10800000">
          <a:off x="46759906" y="3917575"/>
          <a:ext cx="591669" cy="14791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89642</xdr:colOff>
      <xdr:row>19</xdr:row>
      <xdr:rowOff>107575</xdr:rowOff>
    </xdr:from>
    <xdr:to>
      <xdr:col>61</xdr:col>
      <xdr:colOff>663388</xdr:colOff>
      <xdr:row>20</xdr:row>
      <xdr:rowOff>31374</xdr:rowOff>
    </xdr:to>
    <xdr:sp macro="" textlink="">
      <xdr:nvSpPr>
        <xdr:cNvPr id="60" name="Flecha: hacia la izquierda 59">
          <a:extLst>
            <a:ext uri="{FF2B5EF4-FFF2-40B4-BE49-F238E27FC236}">
              <a16:creationId xmlns:a16="http://schemas.microsoft.com/office/drawing/2014/main" id="{60D5CF44-0744-415E-BFB2-DE58A5C7C457}"/>
            </a:ext>
          </a:extLst>
        </xdr:cNvPr>
        <xdr:cNvSpPr/>
      </xdr:nvSpPr>
      <xdr:spPr>
        <a:xfrm rot="10800000">
          <a:off x="46777830" y="3648634"/>
          <a:ext cx="573746" cy="15688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63</xdr:col>
      <xdr:colOff>717176</xdr:colOff>
      <xdr:row>18</xdr:row>
      <xdr:rowOff>19144</xdr:rowOff>
    </xdr:from>
    <xdr:to>
      <xdr:col>64</xdr:col>
      <xdr:colOff>457199</xdr:colOff>
      <xdr:row>19</xdr:row>
      <xdr:rowOff>53786</xdr:rowOff>
    </xdr:to>
    <xdr:sp macro="" textlink="">
      <xdr:nvSpPr>
        <xdr:cNvPr id="61" name="Flecha: doblada hacia arriba 60">
          <a:extLst>
            <a:ext uri="{FF2B5EF4-FFF2-40B4-BE49-F238E27FC236}">
              <a16:creationId xmlns:a16="http://schemas.microsoft.com/office/drawing/2014/main" id="{DA3276F6-4A21-4D51-BDAE-F0A722E402D0}"/>
            </a:ext>
          </a:extLst>
        </xdr:cNvPr>
        <xdr:cNvSpPr/>
      </xdr:nvSpPr>
      <xdr:spPr>
        <a:xfrm rot="10800000">
          <a:off x="48983152" y="3371944"/>
          <a:ext cx="528918" cy="22290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63</xdr:col>
      <xdr:colOff>654424</xdr:colOff>
      <xdr:row>17</xdr:row>
      <xdr:rowOff>0</xdr:rowOff>
    </xdr:from>
    <xdr:to>
      <xdr:col>64</xdr:col>
      <xdr:colOff>466166</xdr:colOff>
      <xdr:row>17</xdr:row>
      <xdr:rowOff>147917</xdr:rowOff>
    </xdr:to>
    <xdr:sp macro="" textlink="">
      <xdr:nvSpPr>
        <xdr:cNvPr id="62" name="Flecha: hacia la izquierda 61">
          <a:extLst>
            <a:ext uri="{FF2B5EF4-FFF2-40B4-BE49-F238E27FC236}">
              <a16:creationId xmlns:a16="http://schemas.microsoft.com/office/drawing/2014/main" id="{ED21F7F0-EB8A-41A2-865D-1D74AFF8BE66}"/>
            </a:ext>
          </a:extLst>
        </xdr:cNvPr>
        <xdr:cNvSpPr/>
      </xdr:nvSpPr>
      <xdr:spPr>
        <a:xfrm>
          <a:off x="48920400" y="3119718"/>
          <a:ext cx="600637" cy="1479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77</xdr:col>
      <xdr:colOff>358590</xdr:colOff>
      <xdr:row>6</xdr:row>
      <xdr:rowOff>155858</xdr:rowOff>
    </xdr:from>
    <xdr:to>
      <xdr:col>78</xdr:col>
      <xdr:colOff>33618</xdr:colOff>
      <xdr:row>9</xdr:row>
      <xdr:rowOff>134470</xdr:rowOff>
    </xdr:to>
    <xdr:sp macro="" textlink="">
      <xdr:nvSpPr>
        <xdr:cNvPr id="63" name="Flecha: doblada hacia arriba 62">
          <a:extLst>
            <a:ext uri="{FF2B5EF4-FFF2-40B4-BE49-F238E27FC236}">
              <a16:creationId xmlns:a16="http://schemas.microsoft.com/office/drawing/2014/main" id="{0259AA3C-847A-403B-9880-1EE54748141A}"/>
            </a:ext>
          </a:extLst>
        </xdr:cNvPr>
        <xdr:cNvSpPr/>
      </xdr:nvSpPr>
      <xdr:spPr>
        <a:xfrm rot="5400000">
          <a:off x="59216974" y="1378932"/>
          <a:ext cx="534424" cy="25773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77</xdr:col>
      <xdr:colOff>67237</xdr:colOff>
      <xdr:row>6</xdr:row>
      <xdr:rowOff>138951</xdr:rowOff>
    </xdr:from>
    <xdr:to>
      <xdr:col>77</xdr:col>
      <xdr:colOff>268943</xdr:colOff>
      <xdr:row>9</xdr:row>
      <xdr:rowOff>125504</xdr:rowOff>
    </xdr:to>
    <xdr:sp macro="" textlink="">
      <xdr:nvSpPr>
        <xdr:cNvPr id="64" name="Flecha: hacia la izquierda 63">
          <a:extLst>
            <a:ext uri="{FF2B5EF4-FFF2-40B4-BE49-F238E27FC236}">
              <a16:creationId xmlns:a16="http://schemas.microsoft.com/office/drawing/2014/main" id="{47E85236-3866-4D8F-A81F-656947EE9C78}"/>
            </a:ext>
          </a:extLst>
        </xdr:cNvPr>
        <xdr:cNvSpPr/>
      </xdr:nvSpPr>
      <xdr:spPr>
        <a:xfrm rot="16200000">
          <a:off x="58893636" y="1394010"/>
          <a:ext cx="542365" cy="20170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78</xdr:col>
      <xdr:colOff>183776</xdr:colOff>
      <xdr:row>12</xdr:row>
      <xdr:rowOff>62753</xdr:rowOff>
    </xdr:from>
    <xdr:to>
      <xdr:col>78</xdr:col>
      <xdr:colOff>448235</xdr:colOff>
      <xdr:row>16</xdr:row>
      <xdr:rowOff>71716</xdr:rowOff>
    </xdr:to>
    <xdr:sp macro="" textlink="">
      <xdr:nvSpPr>
        <xdr:cNvPr id="65" name="Flecha: hacia la izquierda 64">
          <a:extLst>
            <a:ext uri="{FF2B5EF4-FFF2-40B4-BE49-F238E27FC236}">
              <a16:creationId xmlns:a16="http://schemas.microsoft.com/office/drawing/2014/main" id="{8A97FFEA-13CD-4538-9604-EF523318DEB4}"/>
            </a:ext>
          </a:extLst>
        </xdr:cNvPr>
        <xdr:cNvSpPr/>
      </xdr:nvSpPr>
      <xdr:spPr>
        <a:xfrm rot="5400000">
          <a:off x="59514441" y="2498911"/>
          <a:ext cx="761999" cy="26445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77</xdr:col>
      <xdr:colOff>411352</xdr:colOff>
      <xdr:row>12</xdr:row>
      <xdr:rowOff>80683</xdr:rowOff>
    </xdr:from>
    <xdr:to>
      <xdr:col>78</xdr:col>
      <xdr:colOff>107581</xdr:colOff>
      <xdr:row>16</xdr:row>
      <xdr:rowOff>78443</xdr:rowOff>
    </xdr:to>
    <xdr:sp macro="" textlink="">
      <xdr:nvSpPr>
        <xdr:cNvPr id="66" name="Flecha: doblada hacia arriba 65">
          <a:extLst>
            <a:ext uri="{FF2B5EF4-FFF2-40B4-BE49-F238E27FC236}">
              <a16:creationId xmlns:a16="http://schemas.microsoft.com/office/drawing/2014/main" id="{F70E0955-4DBC-4561-A04B-3CBA30DE70D5}"/>
            </a:ext>
          </a:extLst>
        </xdr:cNvPr>
        <xdr:cNvSpPr/>
      </xdr:nvSpPr>
      <xdr:spPr>
        <a:xfrm rot="16200000">
          <a:off x="59172151" y="2504001"/>
          <a:ext cx="750796" cy="27893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78</xdr:col>
      <xdr:colOff>528917</xdr:colOff>
      <xdr:row>12</xdr:row>
      <xdr:rowOff>80682</xdr:rowOff>
    </xdr:from>
    <xdr:to>
      <xdr:col>79</xdr:col>
      <xdr:colOff>188259</xdr:colOff>
      <xdr:row>16</xdr:row>
      <xdr:rowOff>80682</xdr:rowOff>
    </xdr:to>
    <xdr:sp macro="" textlink="">
      <xdr:nvSpPr>
        <xdr:cNvPr id="67" name="Flecha: doblada hacia arriba 66">
          <a:extLst>
            <a:ext uri="{FF2B5EF4-FFF2-40B4-BE49-F238E27FC236}">
              <a16:creationId xmlns:a16="http://schemas.microsoft.com/office/drawing/2014/main" id="{C81B893F-8A7A-4D00-8D72-E208F4AC0830}"/>
            </a:ext>
          </a:extLst>
        </xdr:cNvPr>
        <xdr:cNvSpPr/>
      </xdr:nvSpPr>
      <xdr:spPr>
        <a:xfrm rot="16200000" flipV="1">
          <a:off x="59870788" y="2505634"/>
          <a:ext cx="753036" cy="27790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76</xdr:col>
      <xdr:colOff>71721</xdr:colOff>
      <xdr:row>10</xdr:row>
      <xdr:rowOff>170328</xdr:rowOff>
    </xdr:from>
    <xdr:to>
      <xdr:col>76</xdr:col>
      <xdr:colOff>690285</xdr:colOff>
      <xdr:row>12</xdr:row>
      <xdr:rowOff>53787</xdr:rowOff>
    </xdr:to>
    <xdr:sp macro="" textlink="">
      <xdr:nvSpPr>
        <xdr:cNvPr id="68" name="Flecha: hacia la izquierda 67">
          <a:extLst>
            <a:ext uri="{FF2B5EF4-FFF2-40B4-BE49-F238E27FC236}">
              <a16:creationId xmlns:a16="http://schemas.microsoft.com/office/drawing/2014/main" id="{31443632-D9F3-43B5-8B63-B1766BD4110E}"/>
            </a:ext>
          </a:extLst>
        </xdr:cNvPr>
        <xdr:cNvSpPr/>
      </xdr:nvSpPr>
      <xdr:spPr>
        <a:xfrm rot="10800000">
          <a:off x="58279556" y="1990163"/>
          <a:ext cx="618564" cy="25101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76</xdr:col>
      <xdr:colOff>107579</xdr:colOff>
      <xdr:row>9</xdr:row>
      <xdr:rowOff>44825</xdr:rowOff>
    </xdr:from>
    <xdr:to>
      <xdr:col>76</xdr:col>
      <xdr:colOff>680147</xdr:colOff>
      <xdr:row>10</xdr:row>
      <xdr:rowOff>120139</xdr:rowOff>
    </xdr:to>
    <xdr:sp macro="" textlink="">
      <xdr:nvSpPr>
        <xdr:cNvPr id="69" name="Flecha: doblada hacia arriba 68">
          <a:extLst>
            <a:ext uri="{FF2B5EF4-FFF2-40B4-BE49-F238E27FC236}">
              <a16:creationId xmlns:a16="http://schemas.microsoft.com/office/drawing/2014/main" id="{A26ECCA6-303D-49F6-AD93-39D3981387E2}"/>
            </a:ext>
          </a:extLst>
        </xdr:cNvPr>
        <xdr:cNvSpPr/>
      </xdr:nvSpPr>
      <xdr:spPr>
        <a:xfrm>
          <a:off x="58315414" y="1685366"/>
          <a:ext cx="572568" cy="254608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90</xdr:col>
      <xdr:colOff>134472</xdr:colOff>
      <xdr:row>9</xdr:row>
      <xdr:rowOff>134471</xdr:rowOff>
    </xdr:from>
    <xdr:to>
      <xdr:col>91</xdr:col>
      <xdr:colOff>62754</xdr:colOff>
      <xdr:row>11</xdr:row>
      <xdr:rowOff>35858</xdr:rowOff>
    </xdr:to>
    <xdr:sp macro="" textlink="">
      <xdr:nvSpPr>
        <xdr:cNvPr id="70" name="Flecha: doblada hacia arriba 69">
          <a:extLst>
            <a:ext uri="{FF2B5EF4-FFF2-40B4-BE49-F238E27FC236}">
              <a16:creationId xmlns:a16="http://schemas.microsoft.com/office/drawing/2014/main" id="{0FCF9E9A-AF51-4583-89D7-32C11506B8BF}"/>
            </a:ext>
          </a:extLst>
        </xdr:cNvPr>
        <xdr:cNvSpPr/>
      </xdr:nvSpPr>
      <xdr:spPr>
        <a:xfrm>
          <a:off x="69010307" y="1775012"/>
          <a:ext cx="717176" cy="26894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753035</xdr:colOff>
      <xdr:row>10</xdr:row>
      <xdr:rowOff>58034</xdr:rowOff>
    </xdr:from>
    <xdr:to>
      <xdr:col>98</xdr:col>
      <xdr:colOff>672352</xdr:colOff>
      <xdr:row>14</xdr:row>
      <xdr:rowOff>134470</xdr:rowOff>
    </xdr:to>
    <xdr:grpSp>
      <xdr:nvGrpSpPr>
        <xdr:cNvPr id="396" name="Grupo 395">
          <a:extLst>
            <a:ext uri="{FF2B5EF4-FFF2-40B4-BE49-F238E27FC236}">
              <a16:creationId xmlns:a16="http://schemas.microsoft.com/office/drawing/2014/main" id="{7DCF0E00-26CE-3104-D710-1F10A1C85B77}"/>
            </a:ext>
          </a:extLst>
        </xdr:cNvPr>
        <xdr:cNvGrpSpPr/>
      </xdr:nvGrpSpPr>
      <xdr:grpSpPr>
        <a:xfrm>
          <a:off x="74558178" y="1941263"/>
          <a:ext cx="713974" cy="838436"/>
          <a:chOff x="75151129" y="1877869"/>
          <a:chExt cx="708211" cy="811542"/>
        </a:xfrm>
      </xdr:grpSpPr>
      <xdr:sp macro="" textlink="">
        <xdr:nvSpPr>
          <xdr:cNvPr id="71" name="Flecha: doblada hacia arriba 70">
            <a:extLst>
              <a:ext uri="{FF2B5EF4-FFF2-40B4-BE49-F238E27FC236}">
                <a16:creationId xmlns:a16="http://schemas.microsoft.com/office/drawing/2014/main" id="{CF785EA4-1EAA-470B-8DBB-2ECE445D4369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2" name="Flecha: hacia la izquierda 71">
            <a:extLst>
              <a:ext uri="{FF2B5EF4-FFF2-40B4-BE49-F238E27FC236}">
                <a16:creationId xmlns:a16="http://schemas.microsoft.com/office/drawing/2014/main" id="{1525DD95-CD1A-4C52-9862-C109D14B76A5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3" name="Flecha: doblada hacia arriba 72">
            <a:extLst>
              <a:ext uri="{FF2B5EF4-FFF2-40B4-BE49-F238E27FC236}">
                <a16:creationId xmlns:a16="http://schemas.microsoft.com/office/drawing/2014/main" id="{035FE94F-C9E0-432A-B9F0-81E87FDDCE15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66</xdr:col>
      <xdr:colOff>457200</xdr:colOff>
      <xdr:row>40</xdr:row>
      <xdr:rowOff>4</xdr:rowOff>
    </xdr:from>
    <xdr:to>
      <xdr:col>67</xdr:col>
      <xdr:colOff>89647</xdr:colOff>
      <xdr:row>42</xdr:row>
      <xdr:rowOff>143435</xdr:rowOff>
    </xdr:to>
    <xdr:sp macro="" textlink="">
      <xdr:nvSpPr>
        <xdr:cNvPr id="91" name="Flecha: doblada hacia arriba 90">
          <a:extLst>
            <a:ext uri="{FF2B5EF4-FFF2-40B4-BE49-F238E27FC236}">
              <a16:creationId xmlns:a16="http://schemas.microsoft.com/office/drawing/2014/main" id="{87CFDC82-C1E2-4B0A-A912-B846213EA9CE}"/>
            </a:ext>
          </a:extLst>
        </xdr:cNvPr>
        <xdr:cNvSpPr/>
      </xdr:nvSpPr>
      <xdr:spPr>
        <a:xfrm rot="5400000" flipV="1">
          <a:off x="50973320" y="7664825"/>
          <a:ext cx="502020" cy="26894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143440</xdr:colOff>
      <xdr:row>39</xdr:row>
      <xdr:rowOff>174814</xdr:rowOff>
    </xdr:from>
    <xdr:to>
      <xdr:col>67</xdr:col>
      <xdr:colOff>354110</xdr:colOff>
      <xdr:row>42</xdr:row>
      <xdr:rowOff>161365</xdr:rowOff>
    </xdr:to>
    <xdr:sp macro="" textlink="">
      <xdr:nvSpPr>
        <xdr:cNvPr id="92" name="Flecha: hacia la izquierda 91">
          <a:extLst>
            <a:ext uri="{FF2B5EF4-FFF2-40B4-BE49-F238E27FC236}">
              <a16:creationId xmlns:a16="http://schemas.microsoft.com/office/drawing/2014/main" id="{746C20DF-1410-425C-8A83-8E6F80B57203}"/>
            </a:ext>
          </a:extLst>
        </xdr:cNvPr>
        <xdr:cNvSpPr/>
      </xdr:nvSpPr>
      <xdr:spPr>
        <a:xfrm rot="16200000">
          <a:off x="51255711" y="7700684"/>
          <a:ext cx="524434" cy="21067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625290</xdr:colOff>
      <xdr:row>43</xdr:row>
      <xdr:rowOff>44825</xdr:rowOff>
    </xdr:from>
    <xdr:to>
      <xdr:col>66</xdr:col>
      <xdr:colOff>412375</xdr:colOff>
      <xdr:row>44</xdr:row>
      <xdr:rowOff>132231</xdr:rowOff>
    </xdr:to>
    <xdr:sp macro="" textlink="">
      <xdr:nvSpPr>
        <xdr:cNvPr id="95" name="Flecha: doblada hacia arriba 94">
          <a:extLst>
            <a:ext uri="{FF2B5EF4-FFF2-40B4-BE49-F238E27FC236}">
              <a16:creationId xmlns:a16="http://schemas.microsoft.com/office/drawing/2014/main" id="{3F5593A1-1CA3-4C83-A327-772129EF1169}"/>
            </a:ext>
          </a:extLst>
        </xdr:cNvPr>
        <xdr:cNvSpPr/>
      </xdr:nvSpPr>
      <xdr:spPr>
        <a:xfrm>
          <a:off x="50469055" y="8130990"/>
          <a:ext cx="575979" cy="26670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634255</xdr:colOff>
      <xdr:row>45</xdr:row>
      <xdr:rowOff>26658</xdr:rowOff>
    </xdr:from>
    <xdr:to>
      <xdr:col>66</xdr:col>
      <xdr:colOff>430305</xdr:colOff>
      <xdr:row>46</xdr:row>
      <xdr:rowOff>107576</xdr:rowOff>
    </xdr:to>
    <xdr:sp macro="" textlink="">
      <xdr:nvSpPr>
        <xdr:cNvPr id="96" name="Flecha: doblada hacia arriba 95">
          <a:extLst>
            <a:ext uri="{FF2B5EF4-FFF2-40B4-BE49-F238E27FC236}">
              <a16:creationId xmlns:a16="http://schemas.microsoft.com/office/drawing/2014/main" id="{BA4B7E33-3014-45E4-AB82-C271B0903D85}"/>
            </a:ext>
          </a:extLst>
        </xdr:cNvPr>
        <xdr:cNvSpPr/>
      </xdr:nvSpPr>
      <xdr:spPr>
        <a:xfrm flipV="1">
          <a:off x="50478020" y="8471411"/>
          <a:ext cx="584944" cy="260212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284405</xdr:colOff>
      <xdr:row>12</xdr:row>
      <xdr:rowOff>33394</xdr:rowOff>
    </xdr:from>
    <xdr:to>
      <xdr:col>20</xdr:col>
      <xdr:colOff>475130</xdr:colOff>
      <xdr:row>15</xdr:row>
      <xdr:rowOff>0</xdr:rowOff>
    </xdr:to>
    <xdr:sp macro="" textlink="">
      <xdr:nvSpPr>
        <xdr:cNvPr id="100" name="Flecha: hacia la izquierda 99">
          <a:extLst>
            <a:ext uri="{FF2B5EF4-FFF2-40B4-BE49-F238E27FC236}">
              <a16:creationId xmlns:a16="http://schemas.microsoft.com/office/drawing/2014/main" id="{FB36AEB4-FBC9-422C-ABC0-F96DF46278C4}"/>
            </a:ext>
          </a:extLst>
        </xdr:cNvPr>
        <xdr:cNvSpPr/>
      </xdr:nvSpPr>
      <xdr:spPr>
        <a:xfrm rot="16200000">
          <a:off x="15891958" y="2391111"/>
          <a:ext cx="531383" cy="1907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555456</xdr:colOff>
      <xdr:row>12</xdr:row>
      <xdr:rowOff>42676</xdr:rowOff>
    </xdr:from>
    <xdr:to>
      <xdr:col>20</xdr:col>
      <xdr:colOff>762000</xdr:colOff>
      <xdr:row>14</xdr:row>
      <xdr:rowOff>116542</xdr:rowOff>
    </xdr:to>
    <xdr:sp macro="" textlink="">
      <xdr:nvSpPr>
        <xdr:cNvPr id="101" name="Flecha: doblada hacia arriba 100">
          <a:extLst>
            <a:ext uri="{FF2B5EF4-FFF2-40B4-BE49-F238E27FC236}">
              <a16:creationId xmlns:a16="http://schemas.microsoft.com/office/drawing/2014/main" id="{D491D0F7-FC95-4999-A7CB-95EC4F4301D7}"/>
            </a:ext>
          </a:extLst>
        </xdr:cNvPr>
        <xdr:cNvSpPr/>
      </xdr:nvSpPr>
      <xdr:spPr>
        <a:xfrm rot="5400000">
          <a:off x="16215900" y="2347502"/>
          <a:ext cx="441419" cy="2065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612060</xdr:colOff>
      <xdr:row>23</xdr:row>
      <xdr:rowOff>134470</xdr:rowOff>
    </xdr:from>
    <xdr:to>
      <xdr:col>22</xdr:col>
      <xdr:colOff>80680</xdr:colOff>
      <xdr:row>26</xdr:row>
      <xdr:rowOff>8964</xdr:rowOff>
    </xdr:to>
    <xdr:sp macro="" textlink="">
      <xdr:nvSpPr>
        <xdr:cNvPr id="102" name="Flecha: doblada hacia arriba 101">
          <a:extLst>
            <a:ext uri="{FF2B5EF4-FFF2-40B4-BE49-F238E27FC236}">
              <a16:creationId xmlns:a16="http://schemas.microsoft.com/office/drawing/2014/main" id="{08FA3093-C951-4369-A9F9-ADE8374DD1FF}"/>
            </a:ext>
          </a:extLst>
        </xdr:cNvPr>
        <xdr:cNvSpPr/>
      </xdr:nvSpPr>
      <xdr:spPr>
        <a:xfrm rot="16200000" flipV="1">
          <a:off x="17087958" y="4698736"/>
          <a:ext cx="439271" cy="25751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708213</xdr:colOff>
      <xdr:row>12</xdr:row>
      <xdr:rowOff>15783</xdr:rowOff>
    </xdr:from>
    <xdr:to>
      <xdr:col>20</xdr:col>
      <xdr:colOff>214799</xdr:colOff>
      <xdr:row>14</xdr:row>
      <xdr:rowOff>89650</xdr:rowOff>
    </xdr:to>
    <xdr:sp macro="" textlink="">
      <xdr:nvSpPr>
        <xdr:cNvPr id="103" name="Flecha: doblada hacia arriba 102">
          <a:extLst>
            <a:ext uri="{FF2B5EF4-FFF2-40B4-BE49-F238E27FC236}">
              <a16:creationId xmlns:a16="http://schemas.microsoft.com/office/drawing/2014/main" id="{DA1A96DB-9AD6-4198-8FBB-347DC18FC7FF}"/>
            </a:ext>
          </a:extLst>
        </xdr:cNvPr>
        <xdr:cNvSpPr/>
      </xdr:nvSpPr>
      <xdr:spPr>
        <a:xfrm rot="5400000" flipV="1">
          <a:off x="15624231" y="2276141"/>
          <a:ext cx="441420" cy="29548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55</xdr:col>
      <xdr:colOff>89646</xdr:colOff>
      <xdr:row>24</xdr:row>
      <xdr:rowOff>125508</xdr:rowOff>
    </xdr:from>
    <xdr:to>
      <xdr:col>55</xdr:col>
      <xdr:colOff>367551</xdr:colOff>
      <xdr:row>28</xdr:row>
      <xdr:rowOff>26894</xdr:rowOff>
    </xdr:to>
    <xdr:sp macro="" textlink="">
      <xdr:nvSpPr>
        <xdr:cNvPr id="104" name="Flecha: doblada hacia arriba 103">
          <a:extLst>
            <a:ext uri="{FF2B5EF4-FFF2-40B4-BE49-F238E27FC236}">
              <a16:creationId xmlns:a16="http://schemas.microsoft.com/office/drawing/2014/main" id="{D9BB9959-0A4F-49AA-81A2-A3D3278F0EFB}"/>
            </a:ext>
          </a:extLst>
        </xdr:cNvPr>
        <xdr:cNvSpPr/>
      </xdr:nvSpPr>
      <xdr:spPr>
        <a:xfrm rot="5400000">
          <a:off x="42403058" y="4975413"/>
          <a:ext cx="618563" cy="27790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54</xdr:col>
      <xdr:colOff>251016</xdr:colOff>
      <xdr:row>24</xdr:row>
      <xdr:rowOff>98611</xdr:rowOff>
    </xdr:from>
    <xdr:to>
      <xdr:col>54</xdr:col>
      <xdr:colOff>452715</xdr:colOff>
      <xdr:row>28</xdr:row>
      <xdr:rowOff>44822</xdr:rowOff>
    </xdr:to>
    <xdr:sp macro="" textlink="">
      <xdr:nvSpPr>
        <xdr:cNvPr id="105" name="Flecha: hacia la izquierda 104">
          <a:extLst>
            <a:ext uri="{FF2B5EF4-FFF2-40B4-BE49-F238E27FC236}">
              <a16:creationId xmlns:a16="http://schemas.microsoft.com/office/drawing/2014/main" id="{043CBE79-DFA0-4CB5-B26B-646AA0517FBB}"/>
            </a:ext>
          </a:extLst>
        </xdr:cNvPr>
        <xdr:cNvSpPr/>
      </xdr:nvSpPr>
      <xdr:spPr>
        <a:xfrm rot="16200000">
          <a:off x="41885348" y="5009031"/>
          <a:ext cx="663388" cy="2016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57</xdr:col>
      <xdr:colOff>331694</xdr:colOff>
      <xdr:row>22</xdr:row>
      <xdr:rowOff>14664</xdr:rowOff>
    </xdr:from>
    <xdr:to>
      <xdr:col>57</xdr:col>
      <xdr:colOff>574955</xdr:colOff>
      <xdr:row>24</xdr:row>
      <xdr:rowOff>17929</xdr:rowOff>
    </xdr:to>
    <xdr:sp macro="" textlink="">
      <xdr:nvSpPr>
        <xdr:cNvPr id="106" name="Flecha: doblada hacia arriba 105">
          <a:extLst>
            <a:ext uri="{FF2B5EF4-FFF2-40B4-BE49-F238E27FC236}">
              <a16:creationId xmlns:a16="http://schemas.microsoft.com/office/drawing/2014/main" id="{67FE8096-92ED-4552-8AB3-75F02765923A}"/>
            </a:ext>
          </a:extLst>
        </xdr:cNvPr>
        <xdr:cNvSpPr/>
      </xdr:nvSpPr>
      <xdr:spPr>
        <a:xfrm rot="16200000" flipV="1">
          <a:off x="43917069" y="4354607"/>
          <a:ext cx="442535" cy="24326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58</xdr:col>
      <xdr:colOff>122817</xdr:colOff>
      <xdr:row>16</xdr:row>
      <xdr:rowOff>73958</xdr:rowOff>
    </xdr:from>
    <xdr:to>
      <xdr:col>58</xdr:col>
      <xdr:colOff>735107</xdr:colOff>
      <xdr:row>17</xdr:row>
      <xdr:rowOff>89646</xdr:rowOff>
    </xdr:to>
    <xdr:sp macro="" textlink="">
      <xdr:nvSpPr>
        <xdr:cNvPr id="108" name="Flecha: hacia la izquierda 107">
          <a:extLst>
            <a:ext uri="{FF2B5EF4-FFF2-40B4-BE49-F238E27FC236}">
              <a16:creationId xmlns:a16="http://schemas.microsoft.com/office/drawing/2014/main" id="{C64B400E-4674-417B-A3A0-FDEE0D3F0944}"/>
            </a:ext>
          </a:extLst>
        </xdr:cNvPr>
        <xdr:cNvSpPr/>
      </xdr:nvSpPr>
      <xdr:spPr>
        <a:xfrm>
          <a:off x="44444323" y="3014382"/>
          <a:ext cx="612290" cy="19498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58</xdr:col>
      <xdr:colOff>149263</xdr:colOff>
      <xdr:row>17</xdr:row>
      <xdr:rowOff>143434</xdr:rowOff>
    </xdr:from>
    <xdr:to>
      <xdr:col>58</xdr:col>
      <xdr:colOff>708211</xdr:colOff>
      <xdr:row>19</xdr:row>
      <xdr:rowOff>20164</xdr:rowOff>
    </xdr:to>
    <xdr:sp macro="" textlink="">
      <xdr:nvSpPr>
        <xdr:cNvPr id="109" name="Flecha: doblada hacia arriba 108">
          <a:extLst>
            <a:ext uri="{FF2B5EF4-FFF2-40B4-BE49-F238E27FC236}">
              <a16:creationId xmlns:a16="http://schemas.microsoft.com/office/drawing/2014/main" id="{31854F18-DF89-4C40-8111-584D3E7C779B}"/>
            </a:ext>
          </a:extLst>
        </xdr:cNvPr>
        <xdr:cNvSpPr/>
      </xdr:nvSpPr>
      <xdr:spPr>
        <a:xfrm rot="10800000">
          <a:off x="44470769" y="3263152"/>
          <a:ext cx="558948" cy="29807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56</xdr:col>
      <xdr:colOff>103862</xdr:colOff>
      <xdr:row>22</xdr:row>
      <xdr:rowOff>20724</xdr:rowOff>
    </xdr:from>
    <xdr:to>
      <xdr:col>56</xdr:col>
      <xdr:colOff>358591</xdr:colOff>
      <xdr:row>23</xdr:row>
      <xdr:rowOff>206187</xdr:rowOff>
    </xdr:to>
    <xdr:sp macro="" textlink="">
      <xdr:nvSpPr>
        <xdr:cNvPr id="110" name="Flecha: doblada hacia arriba 109">
          <a:extLst>
            <a:ext uri="{FF2B5EF4-FFF2-40B4-BE49-F238E27FC236}">
              <a16:creationId xmlns:a16="http://schemas.microsoft.com/office/drawing/2014/main" id="{326967DB-2426-47E4-BB81-3E6E37996478}"/>
            </a:ext>
          </a:extLst>
        </xdr:cNvPr>
        <xdr:cNvSpPr/>
      </xdr:nvSpPr>
      <xdr:spPr>
        <a:xfrm rot="16200000">
          <a:off x="43115295" y="4342938"/>
          <a:ext cx="418545" cy="25472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56</xdr:col>
      <xdr:colOff>44825</xdr:colOff>
      <xdr:row>13</xdr:row>
      <xdr:rowOff>134470</xdr:rowOff>
    </xdr:from>
    <xdr:to>
      <xdr:col>56</xdr:col>
      <xdr:colOff>242050</xdr:colOff>
      <xdr:row>15</xdr:row>
      <xdr:rowOff>134473</xdr:rowOff>
    </xdr:to>
    <xdr:sp macro="" textlink="">
      <xdr:nvSpPr>
        <xdr:cNvPr id="111" name="Flecha: doblada hacia arriba 110">
          <a:extLst>
            <a:ext uri="{FF2B5EF4-FFF2-40B4-BE49-F238E27FC236}">
              <a16:creationId xmlns:a16="http://schemas.microsoft.com/office/drawing/2014/main" id="{E638DA0F-FBBB-4CD8-A58B-C88E22313AB2}"/>
            </a:ext>
          </a:extLst>
        </xdr:cNvPr>
        <xdr:cNvSpPr/>
      </xdr:nvSpPr>
      <xdr:spPr>
        <a:xfrm rot="5400000" flipV="1">
          <a:off x="43044036" y="2595282"/>
          <a:ext cx="385486" cy="19722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66</xdr:col>
      <xdr:colOff>564777</xdr:colOff>
      <xdr:row>18</xdr:row>
      <xdr:rowOff>8965</xdr:rowOff>
    </xdr:from>
    <xdr:to>
      <xdr:col>67</xdr:col>
      <xdr:colOff>457199</xdr:colOff>
      <xdr:row>19</xdr:row>
      <xdr:rowOff>112062</xdr:rowOff>
    </xdr:to>
    <xdr:sp macro="" textlink="">
      <xdr:nvSpPr>
        <xdr:cNvPr id="112" name="Flecha: doblada hacia arriba 111">
          <a:extLst>
            <a:ext uri="{FF2B5EF4-FFF2-40B4-BE49-F238E27FC236}">
              <a16:creationId xmlns:a16="http://schemas.microsoft.com/office/drawing/2014/main" id="{8F90E42B-E8EC-4224-9B90-9714DD1C9A6C}"/>
            </a:ext>
          </a:extLst>
        </xdr:cNvPr>
        <xdr:cNvSpPr/>
      </xdr:nvSpPr>
      <xdr:spPr>
        <a:xfrm>
          <a:off x="51197436" y="3361765"/>
          <a:ext cx="528916" cy="29135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66</xdr:col>
      <xdr:colOff>528919</xdr:colOff>
      <xdr:row>20</xdr:row>
      <xdr:rowOff>0</xdr:rowOff>
    </xdr:from>
    <xdr:to>
      <xdr:col>67</xdr:col>
      <xdr:colOff>502025</xdr:colOff>
      <xdr:row>20</xdr:row>
      <xdr:rowOff>206188</xdr:rowOff>
    </xdr:to>
    <xdr:sp macro="" textlink="">
      <xdr:nvSpPr>
        <xdr:cNvPr id="113" name="Flecha: hacia la izquierda 112">
          <a:extLst>
            <a:ext uri="{FF2B5EF4-FFF2-40B4-BE49-F238E27FC236}">
              <a16:creationId xmlns:a16="http://schemas.microsoft.com/office/drawing/2014/main" id="{B002CE65-6FDB-42BE-964F-325FC85EEB86}"/>
            </a:ext>
          </a:extLst>
        </xdr:cNvPr>
        <xdr:cNvSpPr/>
      </xdr:nvSpPr>
      <xdr:spPr>
        <a:xfrm rot="10800000">
          <a:off x="51161578" y="3774141"/>
          <a:ext cx="609600" cy="20618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493059</xdr:colOff>
      <xdr:row>16</xdr:row>
      <xdr:rowOff>26894</xdr:rowOff>
    </xdr:from>
    <xdr:to>
      <xdr:col>68</xdr:col>
      <xdr:colOff>385483</xdr:colOff>
      <xdr:row>17</xdr:row>
      <xdr:rowOff>125505</xdr:rowOff>
    </xdr:to>
    <xdr:sp macro="" textlink="">
      <xdr:nvSpPr>
        <xdr:cNvPr id="114" name="Flecha: doblada hacia arriba 113">
          <a:extLst>
            <a:ext uri="{FF2B5EF4-FFF2-40B4-BE49-F238E27FC236}">
              <a16:creationId xmlns:a16="http://schemas.microsoft.com/office/drawing/2014/main" id="{57258C71-C74A-4CE1-984D-3F9A7425869D}"/>
            </a:ext>
          </a:extLst>
        </xdr:cNvPr>
        <xdr:cNvSpPr/>
      </xdr:nvSpPr>
      <xdr:spPr>
        <a:xfrm rot="10800000" flipV="1">
          <a:off x="51762212" y="2967318"/>
          <a:ext cx="519953" cy="27790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72</xdr:col>
      <xdr:colOff>206188</xdr:colOff>
      <xdr:row>10</xdr:row>
      <xdr:rowOff>180639</xdr:rowOff>
    </xdr:from>
    <xdr:to>
      <xdr:col>73</xdr:col>
      <xdr:colOff>112059</xdr:colOff>
      <xdr:row>12</xdr:row>
      <xdr:rowOff>22411</xdr:rowOff>
    </xdr:to>
    <xdr:sp macro="" textlink="">
      <xdr:nvSpPr>
        <xdr:cNvPr id="115" name="Flecha: hacia la izquierda 114">
          <a:extLst>
            <a:ext uri="{FF2B5EF4-FFF2-40B4-BE49-F238E27FC236}">
              <a16:creationId xmlns:a16="http://schemas.microsoft.com/office/drawing/2014/main" id="{CEC75327-A4F1-45FF-AF81-3BB634B63799}"/>
            </a:ext>
          </a:extLst>
        </xdr:cNvPr>
        <xdr:cNvSpPr/>
      </xdr:nvSpPr>
      <xdr:spPr>
        <a:xfrm rot="10800000">
          <a:off x="55258447" y="2000474"/>
          <a:ext cx="694765" cy="2093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72</xdr:col>
      <xdr:colOff>242047</xdr:colOff>
      <xdr:row>12</xdr:row>
      <xdr:rowOff>125507</xdr:rowOff>
    </xdr:from>
    <xdr:to>
      <xdr:col>73</xdr:col>
      <xdr:colOff>96978</xdr:colOff>
      <xdr:row>14</xdr:row>
      <xdr:rowOff>62754</xdr:rowOff>
    </xdr:to>
    <xdr:sp macro="" textlink="">
      <xdr:nvSpPr>
        <xdr:cNvPr id="116" name="Flecha: doblada hacia arriba 115">
          <a:extLst>
            <a:ext uri="{FF2B5EF4-FFF2-40B4-BE49-F238E27FC236}">
              <a16:creationId xmlns:a16="http://schemas.microsoft.com/office/drawing/2014/main" id="{6ECBF5A9-42FE-4573-92DC-FFF54629B1D1}"/>
            </a:ext>
          </a:extLst>
        </xdr:cNvPr>
        <xdr:cNvSpPr/>
      </xdr:nvSpPr>
      <xdr:spPr>
        <a:xfrm flipV="1">
          <a:off x="55294306" y="2312895"/>
          <a:ext cx="643825" cy="30480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430306</xdr:colOff>
      <xdr:row>12</xdr:row>
      <xdr:rowOff>44825</xdr:rowOff>
    </xdr:from>
    <xdr:to>
      <xdr:col>73</xdr:col>
      <xdr:colOff>663388</xdr:colOff>
      <xdr:row>15</xdr:row>
      <xdr:rowOff>53789</xdr:rowOff>
    </xdr:to>
    <xdr:sp macro="" textlink="">
      <xdr:nvSpPr>
        <xdr:cNvPr id="117" name="Flecha: hacia la izquierda 116">
          <a:extLst>
            <a:ext uri="{FF2B5EF4-FFF2-40B4-BE49-F238E27FC236}">
              <a16:creationId xmlns:a16="http://schemas.microsoft.com/office/drawing/2014/main" id="{F97BC9BE-AC01-4969-A0ED-4C346B8C463C}"/>
            </a:ext>
          </a:extLst>
        </xdr:cNvPr>
        <xdr:cNvSpPr/>
      </xdr:nvSpPr>
      <xdr:spPr>
        <a:xfrm rot="5400000">
          <a:off x="56101129" y="2402543"/>
          <a:ext cx="573741" cy="23308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731173</xdr:colOff>
      <xdr:row>12</xdr:row>
      <xdr:rowOff>89491</xdr:rowOff>
    </xdr:from>
    <xdr:to>
      <xdr:col>74</xdr:col>
      <xdr:colOff>161154</xdr:colOff>
      <xdr:row>15</xdr:row>
      <xdr:rowOff>61330</xdr:rowOff>
    </xdr:to>
    <xdr:sp macro="" textlink="">
      <xdr:nvSpPr>
        <xdr:cNvPr id="118" name="Flecha: doblada hacia arriba 117">
          <a:extLst>
            <a:ext uri="{FF2B5EF4-FFF2-40B4-BE49-F238E27FC236}">
              <a16:creationId xmlns:a16="http://schemas.microsoft.com/office/drawing/2014/main" id="{25385268-AA9C-45A0-8FA7-8B37C2FC8186}"/>
            </a:ext>
          </a:extLst>
        </xdr:cNvPr>
        <xdr:cNvSpPr/>
      </xdr:nvSpPr>
      <xdr:spPr>
        <a:xfrm rot="16200000" flipV="1">
          <a:off x="56413456" y="2435749"/>
          <a:ext cx="536616" cy="21887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98</xdr:col>
      <xdr:colOff>685801</xdr:colOff>
      <xdr:row>50</xdr:row>
      <xdr:rowOff>76199</xdr:rowOff>
    </xdr:from>
    <xdr:to>
      <xdr:col>99</xdr:col>
      <xdr:colOff>143436</xdr:colOff>
      <xdr:row>53</xdr:row>
      <xdr:rowOff>1</xdr:rowOff>
    </xdr:to>
    <xdr:sp macro="" textlink="">
      <xdr:nvSpPr>
        <xdr:cNvPr id="132" name="Flecha: doblada hacia arriba 131">
          <a:extLst>
            <a:ext uri="{FF2B5EF4-FFF2-40B4-BE49-F238E27FC236}">
              <a16:creationId xmlns:a16="http://schemas.microsoft.com/office/drawing/2014/main" id="{DADC4894-A917-456E-94D5-D54AFB341C7A}"/>
            </a:ext>
          </a:extLst>
        </xdr:cNvPr>
        <xdr:cNvSpPr/>
      </xdr:nvSpPr>
      <xdr:spPr>
        <a:xfrm rot="5400000" flipV="1">
          <a:off x="75765212" y="9525000"/>
          <a:ext cx="461684" cy="24652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219638</xdr:colOff>
      <xdr:row>50</xdr:row>
      <xdr:rowOff>49305</xdr:rowOff>
    </xdr:from>
    <xdr:to>
      <xdr:col>99</xdr:col>
      <xdr:colOff>439274</xdr:colOff>
      <xdr:row>53</xdr:row>
      <xdr:rowOff>17928</xdr:rowOff>
    </xdr:to>
    <xdr:sp macro="" textlink="">
      <xdr:nvSpPr>
        <xdr:cNvPr id="133" name="Flecha: hacia la izquierda 132">
          <a:extLst>
            <a:ext uri="{FF2B5EF4-FFF2-40B4-BE49-F238E27FC236}">
              <a16:creationId xmlns:a16="http://schemas.microsoft.com/office/drawing/2014/main" id="{D1333D68-EC7D-42DC-88A8-EF3818DF9D16}"/>
            </a:ext>
          </a:extLst>
        </xdr:cNvPr>
        <xdr:cNvSpPr/>
      </xdr:nvSpPr>
      <xdr:spPr>
        <a:xfrm rot="16200000">
          <a:off x="76052085" y="9533964"/>
          <a:ext cx="506505" cy="21963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494403</xdr:colOff>
      <xdr:row>56</xdr:row>
      <xdr:rowOff>80682</xdr:rowOff>
    </xdr:from>
    <xdr:to>
      <xdr:col>100</xdr:col>
      <xdr:colOff>224119</xdr:colOff>
      <xdr:row>59</xdr:row>
      <xdr:rowOff>89646</xdr:rowOff>
    </xdr:to>
    <xdr:sp macro="" textlink="">
      <xdr:nvSpPr>
        <xdr:cNvPr id="134" name="Flecha: doblada hacia arriba 133">
          <a:extLst>
            <a:ext uri="{FF2B5EF4-FFF2-40B4-BE49-F238E27FC236}">
              <a16:creationId xmlns:a16="http://schemas.microsoft.com/office/drawing/2014/main" id="{9BE21789-2058-4D68-99AB-D6102335AEC3}"/>
            </a:ext>
          </a:extLst>
        </xdr:cNvPr>
        <xdr:cNvSpPr/>
      </xdr:nvSpPr>
      <xdr:spPr>
        <a:xfrm rot="16200000">
          <a:off x="76330661" y="10637294"/>
          <a:ext cx="546847" cy="26759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101</xdr:col>
      <xdr:colOff>255494</xdr:colOff>
      <xdr:row>53</xdr:row>
      <xdr:rowOff>161365</xdr:rowOff>
    </xdr:from>
    <xdr:to>
      <xdr:col>102</xdr:col>
      <xdr:colOff>152399</xdr:colOff>
      <xdr:row>55</xdr:row>
      <xdr:rowOff>40340</xdr:rowOff>
    </xdr:to>
    <xdr:sp macro="" textlink="">
      <xdr:nvSpPr>
        <xdr:cNvPr id="135" name="Flecha: hacia la izquierda 134">
          <a:extLst>
            <a:ext uri="{FF2B5EF4-FFF2-40B4-BE49-F238E27FC236}">
              <a16:creationId xmlns:a16="http://schemas.microsoft.com/office/drawing/2014/main" id="{36F48EE8-5DCF-49D6-B820-14A3DD63F918}"/>
            </a:ext>
          </a:extLst>
        </xdr:cNvPr>
        <xdr:cNvSpPr/>
      </xdr:nvSpPr>
      <xdr:spPr>
        <a:xfrm>
          <a:off x="77343000" y="10040471"/>
          <a:ext cx="685799" cy="23756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90</xdr:col>
      <xdr:colOff>546846</xdr:colOff>
      <xdr:row>55</xdr:row>
      <xdr:rowOff>152400</xdr:rowOff>
    </xdr:from>
    <xdr:to>
      <xdr:col>91</xdr:col>
      <xdr:colOff>448234</xdr:colOff>
      <xdr:row>57</xdr:row>
      <xdr:rowOff>134472</xdr:rowOff>
    </xdr:to>
    <xdr:sp macro="" textlink="">
      <xdr:nvSpPr>
        <xdr:cNvPr id="136" name="Flecha: doblada hacia arriba 135">
          <a:extLst>
            <a:ext uri="{FF2B5EF4-FFF2-40B4-BE49-F238E27FC236}">
              <a16:creationId xmlns:a16="http://schemas.microsoft.com/office/drawing/2014/main" id="{CC957DE0-16F9-4823-9CA5-532D2AEADE1A}"/>
            </a:ext>
          </a:extLst>
        </xdr:cNvPr>
        <xdr:cNvSpPr/>
      </xdr:nvSpPr>
      <xdr:spPr>
        <a:xfrm rot="10800000">
          <a:off x="69422681" y="10327341"/>
          <a:ext cx="690282" cy="34066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259976</xdr:colOff>
      <xdr:row>44</xdr:row>
      <xdr:rowOff>44826</xdr:rowOff>
    </xdr:from>
    <xdr:to>
      <xdr:col>62</xdr:col>
      <xdr:colOff>461457</xdr:colOff>
      <xdr:row>47</xdr:row>
      <xdr:rowOff>51773</xdr:rowOff>
    </xdr:to>
    <xdr:sp macro="" textlink="">
      <xdr:nvSpPr>
        <xdr:cNvPr id="137" name="Flecha: hacia la izquierda 136">
          <a:extLst>
            <a:ext uri="{FF2B5EF4-FFF2-40B4-BE49-F238E27FC236}">
              <a16:creationId xmlns:a16="http://schemas.microsoft.com/office/drawing/2014/main" id="{CA485650-361C-4940-B8FF-EF567C3794A3}"/>
            </a:ext>
          </a:extLst>
        </xdr:cNvPr>
        <xdr:cNvSpPr/>
      </xdr:nvSpPr>
      <xdr:spPr>
        <a:xfrm rot="5400000">
          <a:off x="47565384" y="8481959"/>
          <a:ext cx="544829" cy="20148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636494</xdr:colOff>
      <xdr:row>26</xdr:row>
      <xdr:rowOff>80684</xdr:rowOff>
    </xdr:from>
    <xdr:to>
      <xdr:col>8</xdr:col>
      <xdr:colOff>161365</xdr:colOff>
      <xdr:row>29</xdr:row>
      <xdr:rowOff>17932</xdr:rowOff>
    </xdr:to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C6166BA6-363D-4288-BFF8-EF9E5D351786}"/>
            </a:ext>
          </a:extLst>
        </xdr:cNvPr>
        <xdr:cNvSpPr txBox="1"/>
      </xdr:nvSpPr>
      <xdr:spPr>
        <a:xfrm>
          <a:off x="5391374" y="5163224"/>
          <a:ext cx="1109831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</a:t>
          </a:r>
          <a:r>
            <a:rPr lang="es-MX" sz="1100" baseline="0"/>
            <a:t>. Supermo Tribunal de Ario</a:t>
          </a:r>
          <a:endParaRPr lang="es-MX" sz="1100"/>
        </a:p>
      </xdr:txBody>
    </xdr:sp>
    <xdr:clientData/>
  </xdr:twoCellAnchor>
  <xdr:twoCellAnchor>
    <xdr:from>
      <xdr:col>13</xdr:col>
      <xdr:colOff>654422</xdr:colOff>
      <xdr:row>26</xdr:row>
      <xdr:rowOff>80684</xdr:rowOff>
    </xdr:from>
    <xdr:to>
      <xdr:col>15</xdr:col>
      <xdr:colOff>179293</xdr:colOff>
      <xdr:row>29</xdr:row>
      <xdr:rowOff>17932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C8C79133-05A3-4629-A1B2-8D3F4EB7D791}"/>
            </a:ext>
          </a:extLst>
        </xdr:cNvPr>
        <xdr:cNvSpPr txBox="1"/>
      </xdr:nvSpPr>
      <xdr:spPr>
        <a:xfrm>
          <a:off x="10956662" y="5163224"/>
          <a:ext cx="1109831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Manuela medina</a:t>
          </a:r>
        </a:p>
      </xdr:txBody>
    </xdr:sp>
    <xdr:clientData/>
  </xdr:twoCellAnchor>
  <xdr:twoCellAnchor>
    <xdr:from>
      <xdr:col>16</xdr:col>
      <xdr:colOff>627529</xdr:colOff>
      <xdr:row>26</xdr:row>
      <xdr:rowOff>80684</xdr:rowOff>
    </xdr:from>
    <xdr:to>
      <xdr:col>18</xdr:col>
      <xdr:colOff>152400</xdr:colOff>
      <xdr:row>29</xdr:row>
      <xdr:rowOff>17932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9F9E9B9F-1CB5-4CB2-9689-DB77C6679CED}"/>
            </a:ext>
          </a:extLst>
        </xdr:cNvPr>
        <xdr:cNvSpPr txBox="1"/>
      </xdr:nvSpPr>
      <xdr:spPr>
        <a:xfrm>
          <a:off x="13307209" y="5163224"/>
          <a:ext cx="1109831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San</a:t>
          </a:r>
          <a:r>
            <a:rPr lang="es-MX" sz="1100" baseline="0"/>
            <a:t> Juanito Itzicuaro</a:t>
          </a:r>
          <a:endParaRPr lang="es-MX" sz="1100"/>
        </a:p>
      </xdr:txBody>
    </xdr:sp>
    <xdr:clientData/>
  </xdr:twoCellAnchor>
  <xdr:twoCellAnchor>
    <xdr:from>
      <xdr:col>20</xdr:col>
      <xdr:colOff>179298</xdr:colOff>
      <xdr:row>29</xdr:row>
      <xdr:rowOff>170327</xdr:rowOff>
    </xdr:from>
    <xdr:to>
      <xdr:col>21</xdr:col>
      <xdr:colOff>735110</xdr:colOff>
      <xdr:row>32</xdr:row>
      <xdr:rowOff>116541</xdr:rowOff>
    </xdr:to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81B244E4-18C6-4AF3-9995-067D50B7DCB6}"/>
            </a:ext>
          </a:extLst>
        </xdr:cNvPr>
        <xdr:cNvSpPr txBox="1"/>
      </xdr:nvSpPr>
      <xdr:spPr>
        <a:xfrm>
          <a:off x="16028898" y="5801507"/>
          <a:ext cx="1348292" cy="494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Glorieta Periferico Salida Quiroga</a:t>
          </a:r>
        </a:p>
      </xdr:txBody>
    </xdr:sp>
    <xdr:clientData/>
  </xdr:twoCellAnchor>
  <xdr:twoCellAnchor>
    <xdr:from>
      <xdr:col>27</xdr:col>
      <xdr:colOff>609597</xdr:colOff>
      <xdr:row>26</xdr:row>
      <xdr:rowOff>80685</xdr:rowOff>
    </xdr:from>
    <xdr:to>
      <xdr:col>29</xdr:col>
      <xdr:colOff>161365</xdr:colOff>
      <xdr:row>29</xdr:row>
      <xdr:rowOff>17933</xdr:rowOff>
    </xdr:to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2E77ABDD-935A-44C9-8C49-C4ECF4B7D585}"/>
            </a:ext>
          </a:extLst>
        </xdr:cNvPr>
        <xdr:cNvSpPr txBox="1"/>
      </xdr:nvSpPr>
      <xdr:spPr>
        <a:xfrm>
          <a:off x="22006557" y="5163225"/>
          <a:ext cx="1136728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Pdte. Adolfo</a:t>
          </a:r>
          <a:r>
            <a:rPr lang="es-MX" sz="1100" baseline="0"/>
            <a:t> Lopez M.</a:t>
          </a:r>
          <a:endParaRPr lang="es-MX" sz="1100"/>
        </a:p>
      </xdr:txBody>
    </xdr:sp>
    <xdr:clientData/>
  </xdr:twoCellAnchor>
  <xdr:twoCellAnchor>
    <xdr:from>
      <xdr:col>32</xdr:col>
      <xdr:colOff>197226</xdr:colOff>
      <xdr:row>31</xdr:row>
      <xdr:rowOff>80680</xdr:rowOff>
    </xdr:from>
    <xdr:to>
      <xdr:col>34</xdr:col>
      <xdr:colOff>331697</xdr:colOff>
      <xdr:row>34</xdr:row>
      <xdr:rowOff>26893</xdr:rowOff>
    </xdr:to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3334C72A-E8CB-4F66-8DFD-71C3BF915577}"/>
            </a:ext>
          </a:extLst>
        </xdr:cNvPr>
        <xdr:cNvSpPr txBox="1"/>
      </xdr:nvSpPr>
      <xdr:spPr>
        <a:xfrm>
          <a:off x="25556586" y="6077620"/>
          <a:ext cx="1346051" cy="4948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José</a:t>
          </a:r>
          <a:r>
            <a:rPr lang="es-MX" sz="1100" baseline="0"/>
            <a:t> Maria Lino Patiño</a:t>
          </a:r>
          <a:endParaRPr lang="es-MX" sz="1100"/>
        </a:p>
      </xdr:txBody>
    </xdr:sp>
    <xdr:clientData/>
  </xdr:twoCellAnchor>
  <xdr:twoCellAnchor>
    <xdr:from>
      <xdr:col>40</xdr:col>
      <xdr:colOff>609593</xdr:colOff>
      <xdr:row>26</xdr:row>
      <xdr:rowOff>80684</xdr:rowOff>
    </xdr:from>
    <xdr:to>
      <xdr:col>42</xdr:col>
      <xdr:colOff>161361</xdr:colOff>
      <xdr:row>29</xdr:row>
      <xdr:rowOff>17932</xdr:rowOff>
    </xdr:to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8D64008F-01B1-41E3-B3EE-0214806BAB13}"/>
            </a:ext>
          </a:extLst>
        </xdr:cNvPr>
        <xdr:cNvSpPr txBox="1"/>
      </xdr:nvSpPr>
      <xdr:spPr>
        <a:xfrm>
          <a:off x="31562033" y="5163224"/>
          <a:ext cx="1136728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Puente de Calderón</a:t>
          </a:r>
        </a:p>
      </xdr:txBody>
    </xdr:sp>
    <xdr:clientData/>
  </xdr:twoCellAnchor>
  <xdr:twoCellAnchor>
    <xdr:from>
      <xdr:col>44</xdr:col>
      <xdr:colOff>582705</xdr:colOff>
      <xdr:row>26</xdr:row>
      <xdr:rowOff>80685</xdr:rowOff>
    </xdr:from>
    <xdr:to>
      <xdr:col>46</xdr:col>
      <xdr:colOff>134472</xdr:colOff>
      <xdr:row>29</xdr:row>
      <xdr:rowOff>17933</xdr:rowOff>
    </xdr:to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040D5186-344C-45B2-8E3C-5C77FC5E6271}"/>
            </a:ext>
          </a:extLst>
        </xdr:cNvPr>
        <xdr:cNvSpPr txBox="1"/>
      </xdr:nvSpPr>
      <xdr:spPr>
        <a:xfrm>
          <a:off x="34705065" y="5163225"/>
          <a:ext cx="1136727" cy="48588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Periodismo</a:t>
          </a:r>
        </a:p>
      </xdr:txBody>
    </xdr:sp>
    <xdr:clientData/>
  </xdr:twoCellAnchor>
  <xdr:twoCellAnchor>
    <xdr:from>
      <xdr:col>47</xdr:col>
      <xdr:colOff>502029</xdr:colOff>
      <xdr:row>26</xdr:row>
      <xdr:rowOff>64088</xdr:rowOff>
    </xdr:from>
    <xdr:to>
      <xdr:col>49</xdr:col>
      <xdr:colOff>268947</xdr:colOff>
      <xdr:row>29</xdr:row>
      <xdr:rowOff>17922</xdr:rowOff>
    </xdr:to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10465D57-C5A5-4F31-8D90-6A08976B2383}"/>
            </a:ext>
          </a:extLst>
        </xdr:cNvPr>
        <xdr:cNvSpPr txBox="1"/>
      </xdr:nvSpPr>
      <xdr:spPr>
        <a:xfrm>
          <a:off x="37001829" y="5146628"/>
          <a:ext cx="1351878" cy="50247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Jesús Solorzano Davalos</a:t>
          </a:r>
        </a:p>
      </xdr:txBody>
    </xdr:sp>
    <xdr:clientData/>
  </xdr:twoCellAnchor>
  <xdr:twoCellAnchor>
    <xdr:from>
      <xdr:col>50</xdr:col>
      <xdr:colOff>510998</xdr:colOff>
      <xdr:row>26</xdr:row>
      <xdr:rowOff>64087</xdr:rowOff>
    </xdr:from>
    <xdr:to>
      <xdr:col>52</xdr:col>
      <xdr:colOff>277916</xdr:colOff>
      <xdr:row>29</xdr:row>
      <xdr:rowOff>17921</xdr:rowOff>
    </xdr:to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B853B667-8219-48FD-8A97-D46FCE273513}"/>
            </a:ext>
          </a:extLst>
        </xdr:cNvPr>
        <xdr:cNvSpPr txBox="1"/>
      </xdr:nvSpPr>
      <xdr:spPr>
        <a:xfrm>
          <a:off x="39388238" y="5146627"/>
          <a:ext cx="1351878" cy="50247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Pedro de Fuentes</a:t>
          </a:r>
        </a:p>
      </xdr:txBody>
    </xdr:sp>
    <xdr:clientData/>
  </xdr:twoCellAnchor>
  <xdr:twoCellAnchor>
    <xdr:from>
      <xdr:col>69</xdr:col>
      <xdr:colOff>134475</xdr:colOff>
      <xdr:row>17</xdr:row>
      <xdr:rowOff>188250</xdr:rowOff>
    </xdr:from>
    <xdr:to>
      <xdr:col>70</xdr:col>
      <xdr:colOff>690286</xdr:colOff>
      <xdr:row>20</xdr:row>
      <xdr:rowOff>17923</xdr:rowOff>
    </xdr:to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6B6E2223-72DE-4245-B67B-719C27C1E068}"/>
            </a:ext>
          </a:extLst>
        </xdr:cNvPr>
        <xdr:cNvSpPr txBox="1"/>
      </xdr:nvSpPr>
      <xdr:spPr>
        <a:xfrm>
          <a:off x="53040135" y="3358170"/>
          <a:ext cx="1348291" cy="47737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Madero Oriente</a:t>
          </a:r>
        </a:p>
      </xdr:txBody>
    </xdr:sp>
    <xdr:clientData/>
  </xdr:twoCellAnchor>
  <xdr:twoCellAnchor>
    <xdr:from>
      <xdr:col>80</xdr:col>
      <xdr:colOff>475133</xdr:colOff>
      <xdr:row>3</xdr:row>
      <xdr:rowOff>98605</xdr:rowOff>
    </xdr:from>
    <xdr:to>
      <xdr:col>82</xdr:col>
      <xdr:colOff>242051</xdr:colOff>
      <xdr:row>6</xdr:row>
      <xdr:rowOff>35854</xdr:rowOff>
    </xdr:to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8A37D31F-3CAE-47F3-BA79-83FB2DC5AB4A}"/>
            </a:ext>
          </a:extLst>
        </xdr:cNvPr>
        <xdr:cNvSpPr txBox="1"/>
      </xdr:nvSpPr>
      <xdr:spPr>
        <a:xfrm>
          <a:off x="61717073" y="647245"/>
          <a:ext cx="1351878" cy="49350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Morelos Norte</a:t>
          </a:r>
        </a:p>
      </xdr:txBody>
    </xdr:sp>
    <xdr:clientData/>
  </xdr:twoCellAnchor>
  <xdr:twoCellAnchor>
    <xdr:from>
      <xdr:col>80</xdr:col>
      <xdr:colOff>475133</xdr:colOff>
      <xdr:row>15</xdr:row>
      <xdr:rowOff>80674</xdr:rowOff>
    </xdr:from>
    <xdr:to>
      <xdr:col>82</xdr:col>
      <xdr:colOff>242051</xdr:colOff>
      <xdr:row>17</xdr:row>
      <xdr:rowOff>197217</xdr:rowOff>
    </xdr:to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CCB7EDCA-2FFD-400F-96B8-B3606F25AEEC}"/>
            </a:ext>
          </a:extLst>
        </xdr:cNvPr>
        <xdr:cNvSpPr txBox="1"/>
      </xdr:nvSpPr>
      <xdr:spPr>
        <a:xfrm>
          <a:off x="61717073" y="2877214"/>
          <a:ext cx="1351878" cy="48992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Morelos Norte</a:t>
          </a:r>
        </a:p>
      </xdr:txBody>
    </xdr:sp>
    <xdr:clientData/>
  </xdr:twoCellAnchor>
  <xdr:twoCellAnchor>
    <xdr:from>
      <xdr:col>84</xdr:col>
      <xdr:colOff>510989</xdr:colOff>
      <xdr:row>3</xdr:row>
      <xdr:rowOff>98604</xdr:rowOff>
    </xdr:from>
    <xdr:to>
      <xdr:col>86</xdr:col>
      <xdr:colOff>277907</xdr:colOff>
      <xdr:row>6</xdr:row>
      <xdr:rowOff>35853</xdr:rowOff>
    </xdr:to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009EBE52-DD32-4665-944E-770AC4BC8448}"/>
            </a:ext>
          </a:extLst>
        </xdr:cNvPr>
        <xdr:cNvSpPr txBox="1"/>
      </xdr:nvSpPr>
      <xdr:spPr>
        <a:xfrm>
          <a:off x="64922849" y="647244"/>
          <a:ext cx="1351878" cy="49350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Alvaro</a:t>
          </a:r>
          <a:r>
            <a:rPr lang="es-MX" sz="1100" baseline="0"/>
            <a:t> Obregón</a:t>
          </a:r>
          <a:endParaRPr lang="es-MX" sz="1100"/>
        </a:p>
      </xdr:txBody>
    </xdr:sp>
    <xdr:clientData/>
  </xdr:twoCellAnchor>
  <xdr:twoCellAnchor>
    <xdr:from>
      <xdr:col>84</xdr:col>
      <xdr:colOff>510989</xdr:colOff>
      <xdr:row>15</xdr:row>
      <xdr:rowOff>116532</xdr:rowOff>
    </xdr:from>
    <xdr:to>
      <xdr:col>86</xdr:col>
      <xdr:colOff>277907</xdr:colOff>
      <xdr:row>17</xdr:row>
      <xdr:rowOff>233075</xdr:rowOff>
    </xdr:to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C4C2B9F1-8EF7-4A19-99FE-5D4F9076F803}"/>
            </a:ext>
          </a:extLst>
        </xdr:cNvPr>
        <xdr:cNvSpPr txBox="1"/>
      </xdr:nvSpPr>
      <xdr:spPr>
        <a:xfrm>
          <a:off x="64922849" y="2913072"/>
          <a:ext cx="1351878" cy="48230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Alvaro</a:t>
          </a:r>
          <a:r>
            <a:rPr lang="es-MX" sz="1100" baseline="0"/>
            <a:t> Obregón</a:t>
          </a:r>
          <a:endParaRPr lang="es-MX" sz="1100"/>
        </a:p>
      </xdr:txBody>
    </xdr:sp>
    <xdr:clientData/>
  </xdr:twoCellAnchor>
  <xdr:twoCellAnchor>
    <xdr:from>
      <xdr:col>87</xdr:col>
      <xdr:colOff>421342</xdr:colOff>
      <xdr:row>3</xdr:row>
      <xdr:rowOff>98604</xdr:rowOff>
    </xdr:from>
    <xdr:to>
      <xdr:col>89</xdr:col>
      <xdr:colOff>188260</xdr:colOff>
      <xdr:row>6</xdr:row>
      <xdr:rowOff>35853</xdr:rowOff>
    </xdr:to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8DBFFBA0-121F-4407-8386-F92E8BDB729C}"/>
            </a:ext>
          </a:extLst>
        </xdr:cNvPr>
        <xdr:cNvSpPr txBox="1"/>
      </xdr:nvSpPr>
      <xdr:spPr>
        <a:xfrm>
          <a:off x="67210642" y="647244"/>
          <a:ext cx="1351878" cy="49350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Dr. Miguel Silva</a:t>
          </a:r>
        </a:p>
      </xdr:txBody>
    </xdr:sp>
    <xdr:clientData/>
  </xdr:twoCellAnchor>
  <xdr:twoCellAnchor>
    <xdr:from>
      <xdr:col>87</xdr:col>
      <xdr:colOff>555813</xdr:colOff>
      <xdr:row>15</xdr:row>
      <xdr:rowOff>80674</xdr:rowOff>
    </xdr:from>
    <xdr:to>
      <xdr:col>89</xdr:col>
      <xdr:colOff>322731</xdr:colOff>
      <xdr:row>17</xdr:row>
      <xdr:rowOff>197217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C150604B-E4AB-4D36-842D-D7B66062541E}"/>
            </a:ext>
          </a:extLst>
        </xdr:cNvPr>
        <xdr:cNvSpPr txBox="1"/>
      </xdr:nvSpPr>
      <xdr:spPr>
        <a:xfrm>
          <a:off x="67345113" y="2877214"/>
          <a:ext cx="1351878" cy="48992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Dr. Miguel Silva</a:t>
          </a:r>
        </a:p>
      </xdr:txBody>
    </xdr:sp>
    <xdr:clientData/>
  </xdr:twoCellAnchor>
  <xdr:twoCellAnchor>
    <xdr:from>
      <xdr:col>94</xdr:col>
      <xdr:colOff>367553</xdr:colOff>
      <xdr:row>13</xdr:row>
      <xdr:rowOff>98604</xdr:rowOff>
    </xdr:from>
    <xdr:to>
      <xdr:col>96</xdr:col>
      <xdr:colOff>134471</xdr:colOff>
      <xdr:row>16</xdr:row>
      <xdr:rowOff>62751</xdr:rowOff>
    </xdr:to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33BE19F7-84CF-42D5-949C-69398272E6D1}"/>
            </a:ext>
          </a:extLst>
        </xdr:cNvPr>
        <xdr:cNvSpPr txBox="1"/>
      </xdr:nvSpPr>
      <xdr:spPr>
        <a:xfrm>
          <a:off x="72398965" y="2465286"/>
          <a:ext cx="1344706" cy="53788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Poniente</a:t>
          </a:r>
        </a:p>
      </xdr:txBody>
    </xdr:sp>
    <xdr:clientData/>
  </xdr:twoCellAnchor>
  <xdr:twoCellAnchor>
    <xdr:from>
      <xdr:col>101</xdr:col>
      <xdr:colOff>80683</xdr:colOff>
      <xdr:row>3</xdr:row>
      <xdr:rowOff>53780</xdr:rowOff>
    </xdr:from>
    <xdr:to>
      <xdr:col>102</xdr:col>
      <xdr:colOff>636495</xdr:colOff>
      <xdr:row>6</xdr:row>
      <xdr:rowOff>110835</xdr:rowOff>
    </xdr:to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4475A2B6-BD98-4DD8-8A42-F3ACC6AA7FB0}"/>
            </a:ext>
          </a:extLst>
        </xdr:cNvPr>
        <xdr:cNvSpPr txBox="1"/>
      </xdr:nvSpPr>
      <xdr:spPr>
        <a:xfrm>
          <a:off x="77484643" y="602420"/>
          <a:ext cx="1348292" cy="61331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Plan de Ayala</a:t>
          </a:r>
        </a:p>
      </xdr:txBody>
    </xdr:sp>
    <xdr:clientData/>
  </xdr:twoCellAnchor>
  <xdr:twoCellAnchor>
    <xdr:from>
      <xdr:col>101</xdr:col>
      <xdr:colOff>89648</xdr:colOff>
      <xdr:row>20</xdr:row>
      <xdr:rowOff>44816</xdr:rowOff>
    </xdr:from>
    <xdr:to>
      <xdr:col>102</xdr:col>
      <xdr:colOff>645460</xdr:colOff>
      <xdr:row>22</xdr:row>
      <xdr:rowOff>62747</xdr:rowOff>
    </xdr:to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90BBF2BF-33E1-4178-86CC-786232B7982D}"/>
            </a:ext>
          </a:extLst>
        </xdr:cNvPr>
        <xdr:cNvSpPr txBox="1"/>
      </xdr:nvSpPr>
      <xdr:spPr>
        <a:xfrm>
          <a:off x="77177154" y="3818957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Tata Vasco</a:t>
          </a:r>
        </a:p>
      </xdr:txBody>
    </xdr:sp>
    <xdr:clientData/>
  </xdr:twoCellAnchor>
  <xdr:twoCellAnchor>
    <xdr:from>
      <xdr:col>108</xdr:col>
      <xdr:colOff>116541</xdr:colOff>
      <xdr:row>22</xdr:row>
      <xdr:rowOff>107568</xdr:rowOff>
    </xdr:from>
    <xdr:to>
      <xdr:col>110</xdr:col>
      <xdr:colOff>143435</xdr:colOff>
      <xdr:row>26</xdr:row>
      <xdr:rowOff>96982</xdr:rowOff>
    </xdr:to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C375398D-42FB-4726-BEED-3E9D02F1FE39}"/>
            </a:ext>
          </a:extLst>
        </xdr:cNvPr>
        <xdr:cNvSpPr txBox="1"/>
      </xdr:nvSpPr>
      <xdr:spPr>
        <a:xfrm>
          <a:off x="83052621" y="4390008"/>
          <a:ext cx="1345154" cy="78951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</a:t>
          </a:r>
          <a:r>
            <a:rPr lang="es-MX" sz="1400" baseline="0"/>
            <a:t> Periferico Salida Charo</a:t>
          </a:r>
          <a:endParaRPr lang="es-MX" sz="1400"/>
        </a:p>
      </xdr:txBody>
    </xdr:sp>
    <xdr:clientData/>
  </xdr:twoCellAnchor>
  <xdr:twoCellAnchor>
    <xdr:from>
      <xdr:col>113</xdr:col>
      <xdr:colOff>457201</xdr:colOff>
      <xdr:row>0</xdr:row>
      <xdr:rowOff>152392</xdr:rowOff>
    </xdr:from>
    <xdr:to>
      <xdr:col>115</xdr:col>
      <xdr:colOff>224119</xdr:colOff>
      <xdr:row>3</xdr:row>
      <xdr:rowOff>152400</xdr:rowOff>
    </xdr:to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FEEB9D4D-AC44-47E0-986F-6000B83F9228}"/>
            </a:ext>
          </a:extLst>
        </xdr:cNvPr>
        <xdr:cNvSpPr txBox="1"/>
      </xdr:nvSpPr>
      <xdr:spPr>
        <a:xfrm>
          <a:off x="87088981" y="152392"/>
          <a:ext cx="1351878" cy="54864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</a:t>
          </a:r>
          <a:r>
            <a:rPr lang="es-MX" sz="1400" baseline="0"/>
            <a:t> Nicolas Ballesteros</a:t>
          </a:r>
          <a:endParaRPr lang="es-MX" sz="1400"/>
        </a:p>
      </xdr:txBody>
    </xdr:sp>
    <xdr:clientData/>
  </xdr:twoCellAnchor>
  <xdr:twoCellAnchor>
    <xdr:from>
      <xdr:col>113</xdr:col>
      <xdr:colOff>510989</xdr:colOff>
      <xdr:row>18</xdr:row>
      <xdr:rowOff>134463</xdr:rowOff>
    </xdr:from>
    <xdr:to>
      <xdr:col>115</xdr:col>
      <xdr:colOff>277907</xdr:colOff>
      <xdr:row>21</xdr:row>
      <xdr:rowOff>17924</xdr:rowOff>
    </xdr:to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00F9F865-2A7F-49A5-9B62-E3DC1C46301B}"/>
            </a:ext>
          </a:extLst>
        </xdr:cNvPr>
        <xdr:cNvSpPr txBox="1"/>
      </xdr:nvSpPr>
      <xdr:spPr>
        <a:xfrm>
          <a:off x="87142769" y="3532983"/>
          <a:ext cx="1351878" cy="53116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Marcos Moriana</a:t>
          </a:r>
        </a:p>
      </xdr:txBody>
    </xdr:sp>
    <xdr:clientData/>
  </xdr:twoCellAnchor>
  <xdr:twoCellAnchor>
    <xdr:from>
      <xdr:col>122</xdr:col>
      <xdr:colOff>618565</xdr:colOff>
      <xdr:row>9</xdr:row>
      <xdr:rowOff>107578</xdr:rowOff>
    </xdr:from>
    <xdr:to>
      <xdr:col>124</xdr:col>
      <xdr:colOff>665019</xdr:colOff>
      <xdr:row>11</xdr:row>
      <xdr:rowOff>152401</xdr:rowOff>
    </xdr:to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59F84C41-5EBE-4EA2-A620-1612FED4433A}"/>
            </a:ext>
          </a:extLst>
        </xdr:cNvPr>
        <xdr:cNvSpPr txBox="1"/>
      </xdr:nvSpPr>
      <xdr:spPr>
        <a:xfrm>
          <a:off x="94382665" y="1776358"/>
          <a:ext cx="1631414" cy="41820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400"/>
            <a:t>Ciudad Salud</a:t>
          </a:r>
        </a:p>
      </xdr:txBody>
    </xdr:sp>
    <xdr:clientData/>
  </xdr:twoCellAnchor>
  <xdr:twoCellAnchor>
    <xdr:from>
      <xdr:col>98</xdr:col>
      <xdr:colOff>681321</xdr:colOff>
      <xdr:row>62</xdr:row>
      <xdr:rowOff>170320</xdr:rowOff>
    </xdr:from>
    <xdr:to>
      <xdr:col>101</xdr:col>
      <xdr:colOff>125509</xdr:colOff>
      <xdr:row>66</xdr:row>
      <xdr:rowOff>167069</xdr:rowOff>
    </xdr:to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BC82A451-8626-4546-9855-978DF9FCE8FF}"/>
            </a:ext>
          </a:extLst>
        </xdr:cNvPr>
        <xdr:cNvSpPr txBox="1"/>
      </xdr:nvSpPr>
      <xdr:spPr>
        <a:xfrm>
          <a:off x="75868309" y="11663073"/>
          <a:ext cx="1344706" cy="71392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Ventura Puente</a:t>
          </a:r>
        </a:p>
      </xdr:txBody>
    </xdr:sp>
    <xdr:clientData/>
  </xdr:twoCellAnchor>
  <xdr:twoCellAnchor>
    <xdr:from>
      <xdr:col>72</xdr:col>
      <xdr:colOff>510988</xdr:colOff>
      <xdr:row>49</xdr:row>
      <xdr:rowOff>161365</xdr:rowOff>
    </xdr:from>
    <xdr:to>
      <xdr:col>74</xdr:col>
      <xdr:colOff>277906</xdr:colOff>
      <xdr:row>52</xdr:row>
      <xdr:rowOff>107578</xdr:rowOff>
    </xdr:to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A14E16CB-703F-4AE8-9755-F41109C6C2D7}"/>
            </a:ext>
          </a:extLst>
        </xdr:cNvPr>
        <xdr:cNvSpPr txBox="1"/>
      </xdr:nvSpPr>
      <xdr:spPr>
        <a:xfrm>
          <a:off x="55794088" y="9450145"/>
          <a:ext cx="1351878" cy="4948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Andres Quintana Roo</a:t>
          </a:r>
        </a:p>
      </xdr:txBody>
    </xdr:sp>
    <xdr:clientData/>
  </xdr:twoCellAnchor>
  <xdr:twoCellAnchor>
    <xdr:from>
      <xdr:col>66</xdr:col>
      <xdr:colOff>233083</xdr:colOff>
      <xdr:row>51</xdr:row>
      <xdr:rowOff>125506</xdr:rowOff>
    </xdr:from>
    <xdr:to>
      <xdr:col>68</xdr:col>
      <xdr:colOff>313766</xdr:colOff>
      <xdr:row>54</xdr:row>
      <xdr:rowOff>71720</xdr:rowOff>
    </xdr:to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7D6C57AF-43C5-45A8-B574-CE36EC56E317}"/>
            </a:ext>
          </a:extLst>
        </xdr:cNvPr>
        <xdr:cNvSpPr txBox="1"/>
      </xdr:nvSpPr>
      <xdr:spPr>
        <a:xfrm>
          <a:off x="50865742" y="9583271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Cuautla</a:t>
          </a:r>
        </a:p>
      </xdr:txBody>
    </xdr:sp>
    <xdr:clientData/>
  </xdr:twoCellAnchor>
  <xdr:twoCellAnchor>
    <xdr:from>
      <xdr:col>6</xdr:col>
      <xdr:colOff>546846</xdr:colOff>
      <xdr:row>6</xdr:row>
      <xdr:rowOff>28526</xdr:rowOff>
    </xdr:from>
    <xdr:to>
      <xdr:col>8</xdr:col>
      <xdr:colOff>313764</xdr:colOff>
      <xdr:row>11</xdr:row>
      <xdr:rowOff>57866</xdr:rowOff>
    </xdr:to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85403FC7-DC9D-4592-B283-912D323E5ECA}"/>
            </a:ext>
          </a:extLst>
        </xdr:cNvPr>
        <xdr:cNvSpPr txBox="1"/>
      </xdr:nvSpPr>
      <xdr:spPr>
        <a:xfrm>
          <a:off x="5280211" y="1113255"/>
          <a:ext cx="1344706" cy="95270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General Sotenes Rocha</a:t>
          </a:r>
          <a:endParaRPr lang="es-MX" sz="1400"/>
        </a:p>
      </xdr:txBody>
    </xdr:sp>
    <xdr:clientData/>
  </xdr:twoCellAnchor>
  <xdr:twoCellAnchor>
    <xdr:from>
      <xdr:col>0</xdr:col>
      <xdr:colOff>62753</xdr:colOff>
      <xdr:row>17</xdr:row>
      <xdr:rowOff>129584</xdr:rowOff>
    </xdr:from>
    <xdr:to>
      <xdr:col>1</xdr:col>
      <xdr:colOff>376518</xdr:colOff>
      <xdr:row>20</xdr:row>
      <xdr:rowOff>57868</xdr:rowOff>
    </xdr:to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FC0C00A5-6A86-44D7-8C39-1C30FF92F628}"/>
            </a:ext>
          </a:extLst>
        </xdr:cNvPr>
        <xdr:cNvSpPr txBox="1"/>
      </xdr:nvSpPr>
      <xdr:spPr>
        <a:xfrm>
          <a:off x="62753" y="3249302"/>
          <a:ext cx="1102659" cy="58270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</a:t>
          </a:r>
        </a:p>
        <a:p>
          <a:pPr algn="ctr"/>
          <a:r>
            <a:rPr lang="es-MX" sz="1400"/>
            <a:t>Oriente</a:t>
          </a:r>
        </a:p>
      </xdr:txBody>
    </xdr:sp>
    <xdr:clientData/>
  </xdr:twoCellAnchor>
  <xdr:twoCellAnchor>
    <xdr:from>
      <xdr:col>3</xdr:col>
      <xdr:colOff>627530</xdr:colOff>
      <xdr:row>26</xdr:row>
      <xdr:rowOff>30972</xdr:rowOff>
    </xdr:from>
    <xdr:to>
      <xdr:col>5</xdr:col>
      <xdr:colOff>152400</xdr:colOff>
      <xdr:row>28</xdr:row>
      <xdr:rowOff>148329</xdr:rowOff>
    </xdr:to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07D66FB4-CAC8-4E86-BBF3-AC1780A0ECF2}"/>
            </a:ext>
          </a:extLst>
        </xdr:cNvPr>
        <xdr:cNvSpPr txBox="1"/>
      </xdr:nvSpPr>
      <xdr:spPr>
        <a:xfrm>
          <a:off x="2994212" y="5006384"/>
          <a:ext cx="1102659" cy="47594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Cointzio</a:t>
          </a:r>
        </a:p>
      </xdr:txBody>
    </xdr:sp>
    <xdr:clientData/>
  </xdr:twoCellAnchor>
  <xdr:twoCellAnchor>
    <xdr:from>
      <xdr:col>6</xdr:col>
      <xdr:colOff>636494</xdr:colOff>
      <xdr:row>26</xdr:row>
      <xdr:rowOff>66829</xdr:rowOff>
    </xdr:from>
    <xdr:to>
      <xdr:col>8</xdr:col>
      <xdr:colOff>161365</xdr:colOff>
      <xdr:row>32</xdr:row>
      <xdr:rowOff>13855</xdr:rowOff>
    </xdr:to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DF777A4A-6BD4-494A-AC00-B22932CCEF74}"/>
            </a:ext>
          </a:extLst>
        </xdr:cNvPr>
        <xdr:cNvSpPr txBox="1"/>
      </xdr:nvSpPr>
      <xdr:spPr>
        <a:xfrm>
          <a:off x="5391374" y="5149369"/>
          <a:ext cx="1109831" cy="104430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</a:t>
          </a:r>
          <a:r>
            <a:rPr lang="es-MX" sz="1400" baseline="0"/>
            <a:t>. Supermo Tribunal de Ario</a:t>
          </a:r>
          <a:endParaRPr lang="es-MX" sz="1400"/>
        </a:p>
      </xdr:txBody>
    </xdr:sp>
    <xdr:clientData/>
  </xdr:twoCellAnchor>
  <xdr:twoCellAnchor>
    <xdr:from>
      <xdr:col>13</xdr:col>
      <xdr:colOff>654422</xdr:colOff>
      <xdr:row>26</xdr:row>
      <xdr:rowOff>66829</xdr:rowOff>
    </xdr:from>
    <xdr:to>
      <xdr:col>15</xdr:col>
      <xdr:colOff>179293</xdr:colOff>
      <xdr:row>30</xdr:row>
      <xdr:rowOff>110836</xdr:rowOff>
    </xdr:to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472C5475-EC32-40DA-8EDB-D6BB6509C0CF}"/>
            </a:ext>
          </a:extLst>
        </xdr:cNvPr>
        <xdr:cNvSpPr txBox="1"/>
      </xdr:nvSpPr>
      <xdr:spPr>
        <a:xfrm>
          <a:off x="10956662" y="5149369"/>
          <a:ext cx="1109831" cy="77552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Manuela medina</a:t>
          </a:r>
        </a:p>
      </xdr:txBody>
    </xdr:sp>
    <xdr:clientData/>
  </xdr:twoCellAnchor>
  <xdr:twoCellAnchor>
    <xdr:from>
      <xdr:col>10</xdr:col>
      <xdr:colOff>493061</xdr:colOff>
      <xdr:row>7</xdr:row>
      <xdr:rowOff>111654</xdr:rowOff>
    </xdr:from>
    <xdr:to>
      <xdr:col>12</xdr:col>
      <xdr:colOff>259979</xdr:colOff>
      <xdr:row>11</xdr:row>
      <xdr:rowOff>57867</xdr:rowOff>
    </xdr:to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324A52A7-83A9-4792-BABE-C0BCC8363C14}"/>
            </a:ext>
          </a:extLst>
        </xdr:cNvPr>
        <xdr:cNvSpPr txBox="1"/>
      </xdr:nvSpPr>
      <xdr:spPr>
        <a:xfrm>
          <a:off x="8382002" y="1375678"/>
          <a:ext cx="1344706" cy="69028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Lidefonso Portugal</a:t>
          </a:r>
          <a:endParaRPr lang="es-MX" sz="1400"/>
        </a:p>
      </xdr:txBody>
    </xdr:sp>
    <xdr:clientData/>
  </xdr:twoCellAnchor>
  <xdr:twoCellAnchor>
    <xdr:from>
      <xdr:col>13</xdr:col>
      <xdr:colOff>484096</xdr:colOff>
      <xdr:row>7</xdr:row>
      <xdr:rowOff>97799</xdr:rowOff>
    </xdr:from>
    <xdr:to>
      <xdr:col>15</xdr:col>
      <xdr:colOff>251014</xdr:colOff>
      <xdr:row>11</xdr:row>
      <xdr:rowOff>57867</xdr:rowOff>
    </xdr:to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1FFEABCA-7707-4920-8E9F-FE709A533E69}"/>
            </a:ext>
          </a:extLst>
        </xdr:cNvPr>
        <xdr:cNvSpPr txBox="1"/>
      </xdr:nvSpPr>
      <xdr:spPr>
        <a:xfrm>
          <a:off x="10739720" y="1361823"/>
          <a:ext cx="1344706" cy="70413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Loma Dorada</a:t>
          </a:r>
          <a:endParaRPr lang="es-MX" sz="1400"/>
        </a:p>
      </xdr:txBody>
    </xdr:sp>
    <xdr:clientData/>
  </xdr:twoCellAnchor>
  <xdr:twoCellAnchor>
    <xdr:from>
      <xdr:col>16</xdr:col>
      <xdr:colOff>493062</xdr:colOff>
      <xdr:row>7</xdr:row>
      <xdr:rowOff>92095</xdr:rowOff>
    </xdr:from>
    <xdr:to>
      <xdr:col>18</xdr:col>
      <xdr:colOff>259980</xdr:colOff>
      <xdr:row>11</xdr:row>
      <xdr:rowOff>93725</xdr:rowOff>
    </xdr:to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17771469-DC42-472E-B6C9-F42EBC463BC6}"/>
            </a:ext>
          </a:extLst>
        </xdr:cNvPr>
        <xdr:cNvSpPr txBox="1"/>
      </xdr:nvSpPr>
      <xdr:spPr>
        <a:xfrm>
          <a:off x="13115368" y="1356119"/>
          <a:ext cx="1344706" cy="7457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Lago de Zirahuen</a:t>
          </a:r>
          <a:endParaRPr lang="es-MX" sz="1400"/>
        </a:p>
      </xdr:txBody>
    </xdr:sp>
    <xdr:clientData/>
  </xdr:twoCellAnchor>
  <xdr:twoCellAnchor>
    <xdr:from>
      <xdr:col>16</xdr:col>
      <xdr:colOff>627529</xdr:colOff>
      <xdr:row>26</xdr:row>
      <xdr:rowOff>66829</xdr:rowOff>
    </xdr:from>
    <xdr:to>
      <xdr:col>18</xdr:col>
      <xdr:colOff>152400</xdr:colOff>
      <xdr:row>30</xdr:row>
      <xdr:rowOff>166255</xdr:rowOff>
    </xdr:to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4CB057F7-1D4A-4A1E-9F4A-ADC65F2F36CF}"/>
            </a:ext>
          </a:extLst>
        </xdr:cNvPr>
        <xdr:cNvSpPr txBox="1"/>
      </xdr:nvSpPr>
      <xdr:spPr>
        <a:xfrm>
          <a:off x="13307209" y="5149369"/>
          <a:ext cx="1109831" cy="83094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San</a:t>
          </a:r>
          <a:r>
            <a:rPr lang="es-MX" sz="1400" baseline="0"/>
            <a:t> Juanito Itzicuaro</a:t>
          </a:r>
          <a:endParaRPr lang="es-MX" sz="1400"/>
        </a:p>
      </xdr:txBody>
    </xdr:sp>
    <xdr:clientData/>
  </xdr:twoCellAnchor>
  <xdr:twoCellAnchor>
    <xdr:from>
      <xdr:col>20</xdr:col>
      <xdr:colOff>197227</xdr:colOff>
      <xdr:row>2</xdr:row>
      <xdr:rowOff>147514</xdr:rowOff>
    </xdr:from>
    <xdr:to>
      <xdr:col>21</xdr:col>
      <xdr:colOff>753039</xdr:colOff>
      <xdr:row>7</xdr:row>
      <xdr:rowOff>102689</xdr:rowOff>
    </xdr:to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55AF9384-8FFF-4552-B7AB-C268DE3DEFF9}"/>
            </a:ext>
          </a:extLst>
        </xdr:cNvPr>
        <xdr:cNvSpPr txBox="1"/>
      </xdr:nvSpPr>
      <xdr:spPr>
        <a:xfrm>
          <a:off x="15975109" y="506102"/>
          <a:ext cx="1344706" cy="86061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 Periferico Salida Quiroga</a:t>
          </a:r>
        </a:p>
      </xdr:txBody>
    </xdr:sp>
    <xdr:clientData/>
  </xdr:twoCellAnchor>
  <xdr:twoCellAnchor>
    <xdr:from>
      <xdr:col>20</xdr:col>
      <xdr:colOff>179298</xdr:colOff>
      <xdr:row>29</xdr:row>
      <xdr:rowOff>156472</xdr:rowOff>
    </xdr:from>
    <xdr:to>
      <xdr:col>21</xdr:col>
      <xdr:colOff>735110</xdr:colOff>
      <xdr:row>34</xdr:row>
      <xdr:rowOff>124691</xdr:rowOff>
    </xdr:to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D9FED584-5889-4AA1-B6A4-8A006134209A}"/>
            </a:ext>
          </a:extLst>
        </xdr:cNvPr>
        <xdr:cNvSpPr txBox="1"/>
      </xdr:nvSpPr>
      <xdr:spPr>
        <a:xfrm>
          <a:off x="16028898" y="5787652"/>
          <a:ext cx="1348292" cy="88261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 Periferico Salida Quiroga</a:t>
          </a:r>
        </a:p>
      </xdr:txBody>
    </xdr:sp>
    <xdr:clientData/>
  </xdr:twoCellAnchor>
  <xdr:twoCellAnchor>
    <xdr:from>
      <xdr:col>24</xdr:col>
      <xdr:colOff>466168</xdr:colOff>
      <xdr:row>7</xdr:row>
      <xdr:rowOff>129581</xdr:rowOff>
    </xdr:from>
    <xdr:to>
      <xdr:col>26</xdr:col>
      <xdr:colOff>233086</xdr:colOff>
      <xdr:row>11</xdr:row>
      <xdr:rowOff>75791</xdr:rowOff>
    </xdr:to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98B575E6-3236-462F-A55F-19EC73B5A431}"/>
            </a:ext>
          </a:extLst>
        </xdr:cNvPr>
        <xdr:cNvSpPr txBox="1"/>
      </xdr:nvSpPr>
      <xdr:spPr>
        <a:xfrm>
          <a:off x="19399627" y="1393605"/>
          <a:ext cx="1344706" cy="69028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Martires</a:t>
          </a:r>
          <a:r>
            <a:rPr lang="es-MX" sz="1400" baseline="0"/>
            <a:t> de la Plaza</a:t>
          </a:r>
          <a:endParaRPr lang="es-MX" sz="1400"/>
        </a:p>
      </xdr:txBody>
    </xdr:sp>
    <xdr:clientData/>
  </xdr:twoCellAnchor>
  <xdr:twoCellAnchor>
    <xdr:from>
      <xdr:col>27</xdr:col>
      <xdr:colOff>609597</xdr:colOff>
      <xdr:row>26</xdr:row>
      <xdr:rowOff>66830</xdr:rowOff>
    </xdr:from>
    <xdr:to>
      <xdr:col>29</xdr:col>
      <xdr:colOff>161365</xdr:colOff>
      <xdr:row>30</xdr:row>
      <xdr:rowOff>166255</xdr:rowOff>
    </xdr:to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746968CE-49D4-45A4-A2A4-4FFF78259A0B}"/>
            </a:ext>
          </a:extLst>
        </xdr:cNvPr>
        <xdr:cNvSpPr txBox="1"/>
      </xdr:nvSpPr>
      <xdr:spPr>
        <a:xfrm>
          <a:off x="22006557" y="5149370"/>
          <a:ext cx="1136728" cy="83094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Pdte. Adolfo</a:t>
          </a:r>
          <a:r>
            <a:rPr lang="es-MX" sz="1400" baseline="0"/>
            <a:t> Lopez M.</a:t>
          </a:r>
          <a:endParaRPr lang="es-MX" sz="1400"/>
        </a:p>
      </xdr:txBody>
    </xdr:sp>
    <xdr:clientData/>
  </xdr:twoCellAnchor>
  <xdr:twoCellAnchor>
    <xdr:from>
      <xdr:col>31</xdr:col>
      <xdr:colOff>744075</xdr:colOff>
      <xdr:row>4</xdr:row>
      <xdr:rowOff>13856</xdr:rowOff>
    </xdr:from>
    <xdr:to>
      <xdr:col>34</xdr:col>
      <xdr:colOff>89652</xdr:colOff>
      <xdr:row>7</xdr:row>
      <xdr:rowOff>57862</xdr:rowOff>
    </xdr:to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DFBC3373-6056-4160-AC32-7725368436F0}"/>
            </a:ext>
          </a:extLst>
        </xdr:cNvPr>
        <xdr:cNvSpPr txBox="1"/>
      </xdr:nvSpPr>
      <xdr:spPr>
        <a:xfrm>
          <a:off x="25199793" y="731032"/>
          <a:ext cx="1344706" cy="59085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Escuadrón</a:t>
          </a:r>
          <a:r>
            <a:rPr lang="es-MX" sz="1400" baseline="0"/>
            <a:t> 201</a:t>
          </a:r>
          <a:endParaRPr lang="es-MX" sz="1400"/>
        </a:p>
      </xdr:txBody>
    </xdr:sp>
    <xdr:clientData/>
  </xdr:twoCellAnchor>
  <xdr:twoCellAnchor>
    <xdr:from>
      <xdr:col>32</xdr:col>
      <xdr:colOff>197226</xdr:colOff>
      <xdr:row>31</xdr:row>
      <xdr:rowOff>66825</xdr:rowOff>
    </xdr:from>
    <xdr:to>
      <xdr:col>34</xdr:col>
      <xdr:colOff>331697</xdr:colOff>
      <xdr:row>35</xdr:row>
      <xdr:rowOff>110836</xdr:rowOff>
    </xdr:to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6DA9B6C2-F064-4078-8AB2-4716BE92D524}"/>
            </a:ext>
          </a:extLst>
        </xdr:cNvPr>
        <xdr:cNvSpPr txBox="1"/>
      </xdr:nvSpPr>
      <xdr:spPr>
        <a:xfrm>
          <a:off x="25556586" y="6063765"/>
          <a:ext cx="1346051" cy="77553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José</a:t>
          </a:r>
          <a:r>
            <a:rPr lang="es-MX" sz="1400" baseline="0"/>
            <a:t> Maria Lino Patiño</a:t>
          </a:r>
          <a:endParaRPr lang="es-MX" sz="1400"/>
        </a:p>
      </xdr:txBody>
    </xdr:sp>
    <xdr:clientData/>
  </xdr:twoCellAnchor>
  <xdr:twoCellAnchor>
    <xdr:from>
      <xdr:col>36</xdr:col>
      <xdr:colOff>735106</xdr:colOff>
      <xdr:row>8</xdr:row>
      <xdr:rowOff>156468</xdr:rowOff>
    </xdr:from>
    <xdr:to>
      <xdr:col>39</xdr:col>
      <xdr:colOff>80682</xdr:colOff>
      <xdr:row>11</xdr:row>
      <xdr:rowOff>84752</xdr:rowOff>
    </xdr:to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62A87BB2-0FD8-40D4-B1D8-02CA9CC6296C}"/>
            </a:ext>
          </a:extLst>
        </xdr:cNvPr>
        <xdr:cNvSpPr txBox="1"/>
      </xdr:nvSpPr>
      <xdr:spPr>
        <a:xfrm>
          <a:off x="28767741" y="1608750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Pedregal</a:t>
          </a:r>
        </a:p>
      </xdr:txBody>
    </xdr:sp>
    <xdr:clientData/>
  </xdr:twoCellAnchor>
  <xdr:twoCellAnchor>
    <xdr:from>
      <xdr:col>40</xdr:col>
      <xdr:colOff>609593</xdr:colOff>
      <xdr:row>26</xdr:row>
      <xdr:rowOff>66829</xdr:rowOff>
    </xdr:from>
    <xdr:to>
      <xdr:col>42</xdr:col>
      <xdr:colOff>161361</xdr:colOff>
      <xdr:row>30</xdr:row>
      <xdr:rowOff>41564</xdr:rowOff>
    </xdr:to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0E4E7026-0FCE-4AEB-8E8D-A31BE944AF2B}"/>
            </a:ext>
          </a:extLst>
        </xdr:cNvPr>
        <xdr:cNvSpPr txBox="1"/>
      </xdr:nvSpPr>
      <xdr:spPr>
        <a:xfrm>
          <a:off x="31562033" y="5149369"/>
          <a:ext cx="1136728" cy="70625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Puente de Calderón</a:t>
          </a:r>
        </a:p>
      </xdr:txBody>
    </xdr:sp>
    <xdr:clientData/>
  </xdr:twoCellAnchor>
  <xdr:twoCellAnchor>
    <xdr:from>
      <xdr:col>42</xdr:col>
      <xdr:colOff>550916</xdr:colOff>
      <xdr:row>26</xdr:row>
      <xdr:rowOff>75794</xdr:rowOff>
    </xdr:from>
    <xdr:to>
      <xdr:col>44</xdr:col>
      <xdr:colOff>102684</xdr:colOff>
      <xdr:row>31</xdr:row>
      <xdr:rowOff>9779</xdr:rowOff>
    </xdr:to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64ADF0F4-C0C2-429D-A60A-BD4EFFA25435}"/>
            </a:ext>
          </a:extLst>
        </xdr:cNvPr>
        <xdr:cNvSpPr txBox="1"/>
      </xdr:nvSpPr>
      <xdr:spPr>
        <a:xfrm>
          <a:off x="32949363" y="5051206"/>
          <a:ext cx="1129556" cy="83045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Alejandro Robles</a:t>
          </a:r>
        </a:p>
      </xdr:txBody>
    </xdr:sp>
    <xdr:clientData/>
  </xdr:twoCellAnchor>
  <xdr:twoCellAnchor>
    <xdr:from>
      <xdr:col>40</xdr:col>
      <xdr:colOff>475129</xdr:colOff>
      <xdr:row>7</xdr:row>
      <xdr:rowOff>178484</xdr:rowOff>
    </xdr:from>
    <xdr:to>
      <xdr:col>42</xdr:col>
      <xdr:colOff>242047</xdr:colOff>
      <xdr:row>11</xdr:row>
      <xdr:rowOff>138546</xdr:rowOff>
    </xdr:to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BA2AAD27-48D0-4923-82A0-96C8B92D284E}"/>
            </a:ext>
          </a:extLst>
        </xdr:cNvPr>
        <xdr:cNvSpPr txBox="1"/>
      </xdr:nvSpPr>
      <xdr:spPr>
        <a:xfrm>
          <a:off x="31295788" y="1442508"/>
          <a:ext cx="1344706" cy="70413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Puente</a:t>
          </a:r>
          <a:r>
            <a:rPr lang="es-MX" sz="1400" baseline="0"/>
            <a:t> de Calderón</a:t>
          </a:r>
          <a:endParaRPr lang="es-MX" sz="1400"/>
        </a:p>
      </xdr:txBody>
    </xdr:sp>
    <xdr:clientData/>
  </xdr:twoCellAnchor>
  <xdr:twoCellAnchor>
    <xdr:from>
      <xdr:col>42</xdr:col>
      <xdr:colOff>510988</xdr:colOff>
      <xdr:row>8</xdr:row>
      <xdr:rowOff>53793</xdr:rowOff>
    </xdr:from>
    <xdr:to>
      <xdr:col>44</xdr:col>
      <xdr:colOff>277906</xdr:colOff>
      <xdr:row>11</xdr:row>
      <xdr:rowOff>138544</xdr:rowOff>
    </xdr:to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D0B6DBF3-D950-4ED2-9394-A9BD84F4B737}"/>
            </a:ext>
          </a:extLst>
        </xdr:cNvPr>
        <xdr:cNvSpPr txBox="1"/>
      </xdr:nvSpPr>
      <xdr:spPr>
        <a:xfrm>
          <a:off x="32909435" y="1506075"/>
          <a:ext cx="1344706" cy="64056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Alejandro Robles</a:t>
          </a:r>
        </a:p>
      </xdr:txBody>
    </xdr:sp>
    <xdr:clientData/>
  </xdr:twoCellAnchor>
  <xdr:twoCellAnchor>
    <xdr:from>
      <xdr:col>44</xdr:col>
      <xdr:colOff>582705</xdr:colOff>
      <xdr:row>26</xdr:row>
      <xdr:rowOff>66830</xdr:rowOff>
    </xdr:from>
    <xdr:to>
      <xdr:col>46</xdr:col>
      <xdr:colOff>134472</xdr:colOff>
      <xdr:row>30</xdr:row>
      <xdr:rowOff>110836</xdr:rowOff>
    </xdr:to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00A6B529-2673-42C2-A8A9-7D70A26197C6}"/>
            </a:ext>
          </a:extLst>
        </xdr:cNvPr>
        <xdr:cNvSpPr txBox="1"/>
      </xdr:nvSpPr>
      <xdr:spPr>
        <a:xfrm>
          <a:off x="34705065" y="5149370"/>
          <a:ext cx="1136727" cy="77552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Periodismo</a:t>
          </a:r>
        </a:p>
      </xdr:txBody>
    </xdr:sp>
    <xdr:clientData/>
  </xdr:twoCellAnchor>
  <xdr:twoCellAnchor>
    <xdr:from>
      <xdr:col>47</xdr:col>
      <xdr:colOff>484097</xdr:colOff>
      <xdr:row>8</xdr:row>
      <xdr:rowOff>95356</xdr:rowOff>
    </xdr:from>
    <xdr:to>
      <xdr:col>49</xdr:col>
      <xdr:colOff>251015</xdr:colOff>
      <xdr:row>11</xdr:row>
      <xdr:rowOff>138545</xdr:rowOff>
    </xdr:to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573BF8FF-29DC-47F0-A605-64C211B8C6E4}"/>
            </a:ext>
          </a:extLst>
        </xdr:cNvPr>
        <xdr:cNvSpPr txBox="1"/>
      </xdr:nvSpPr>
      <xdr:spPr>
        <a:xfrm>
          <a:off x="36827015" y="1547638"/>
          <a:ext cx="1344706" cy="59900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Manuela Medina</a:t>
          </a:r>
        </a:p>
      </xdr:txBody>
    </xdr:sp>
    <xdr:clientData/>
  </xdr:twoCellAnchor>
  <xdr:twoCellAnchor>
    <xdr:from>
      <xdr:col>50</xdr:col>
      <xdr:colOff>457204</xdr:colOff>
      <xdr:row>7</xdr:row>
      <xdr:rowOff>136920</xdr:rowOff>
    </xdr:from>
    <xdr:to>
      <xdr:col>52</xdr:col>
      <xdr:colOff>224122</xdr:colOff>
      <xdr:row>11</xdr:row>
      <xdr:rowOff>138543</xdr:rowOff>
    </xdr:to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BADC68B4-5310-4F9A-8E60-405485B7733F}"/>
            </a:ext>
          </a:extLst>
        </xdr:cNvPr>
        <xdr:cNvSpPr txBox="1"/>
      </xdr:nvSpPr>
      <xdr:spPr>
        <a:xfrm>
          <a:off x="39166804" y="1400944"/>
          <a:ext cx="1344706" cy="74569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María Rodriguez</a:t>
          </a:r>
          <a:r>
            <a:rPr lang="es-MX" sz="1400" baseline="0"/>
            <a:t> del Toro</a:t>
          </a:r>
          <a:endParaRPr lang="es-MX" sz="1400"/>
        </a:p>
      </xdr:txBody>
    </xdr:sp>
    <xdr:clientData/>
  </xdr:twoCellAnchor>
  <xdr:twoCellAnchor>
    <xdr:from>
      <xdr:col>47</xdr:col>
      <xdr:colOff>502029</xdr:colOff>
      <xdr:row>26</xdr:row>
      <xdr:rowOff>50233</xdr:rowOff>
    </xdr:from>
    <xdr:to>
      <xdr:col>49</xdr:col>
      <xdr:colOff>268947</xdr:colOff>
      <xdr:row>30</xdr:row>
      <xdr:rowOff>110836</xdr:rowOff>
    </xdr:to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BC50A492-A7AA-4040-A711-3654279249DA}"/>
            </a:ext>
          </a:extLst>
        </xdr:cNvPr>
        <xdr:cNvSpPr txBox="1"/>
      </xdr:nvSpPr>
      <xdr:spPr>
        <a:xfrm>
          <a:off x="37001829" y="5132773"/>
          <a:ext cx="1351878" cy="79212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Jesús Solorzano Davalos</a:t>
          </a:r>
        </a:p>
      </xdr:txBody>
    </xdr:sp>
    <xdr:clientData/>
  </xdr:twoCellAnchor>
  <xdr:twoCellAnchor>
    <xdr:from>
      <xdr:col>50</xdr:col>
      <xdr:colOff>510998</xdr:colOff>
      <xdr:row>26</xdr:row>
      <xdr:rowOff>50232</xdr:rowOff>
    </xdr:from>
    <xdr:to>
      <xdr:col>52</xdr:col>
      <xdr:colOff>277916</xdr:colOff>
      <xdr:row>29</xdr:row>
      <xdr:rowOff>138545</xdr:rowOff>
    </xdr:to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754FFD83-A1B9-40E7-94F2-291E920DCC05}"/>
            </a:ext>
          </a:extLst>
        </xdr:cNvPr>
        <xdr:cNvSpPr txBox="1"/>
      </xdr:nvSpPr>
      <xdr:spPr>
        <a:xfrm>
          <a:off x="39388238" y="5132772"/>
          <a:ext cx="1351878" cy="63695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Pedro de Fuentes</a:t>
          </a:r>
        </a:p>
      </xdr:txBody>
    </xdr:sp>
    <xdr:clientData/>
  </xdr:twoCellAnchor>
  <xdr:twoCellAnchor>
    <xdr:from>
      <xdr:col>55</xdr:col>
      <xdr:colOff>519957</xdr:colOff>
      <xdr:row>17</xdr:row>
      <xdr:rowOff>174394</xdr:rowOff>
    </xdr:from>
    <xdr:to>
      <xdr:col>58</xdr:col>
      <xdr:colOff>26898</xdr:colOff>
      <xdr:row>20</xdr:row>
      <xdr:rowOff>189073</xdr:rowOff>
    </xdr:to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1C6794EC-36F3-4F3B-8528-1B3A49B78E27}"/>
            </a:ext>
          </a:extLst>
        </xdr:cNvPr>
        <xdr:cNvSpPr txBox="1"/>
      </xdr:nvSpPr>
      <xdr:spPr>
        <a:xfrm>
          <a:off x="43003698" y="3294112"/>
          <a:ext cx="1344706" cy="66910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Monumeto a Lazaro Cardenas</a:t>
          </a:r>
        </a:p>
      </xdr:txBody>
    </xdr:sp>
    <xdr:clientData/>
  </xdr:twoCellAnchor>
  <xdr:twoCellAnchor>
    <xdr:from>
      <xdr:col>55</xdr:col>
      <xdr:colOff>493063</xdr:colOff>
      <xdr:row>8</xdr:row>
      <xdr:rowOff>4071</xdr:rowOff>
    </xdr:from>
    <xdr:to>
      <xdr:col>58</xdr:col>
      <xdr:colOff>4</xdr:colOff>
      <xdr:row>10</xdr:row>
      <xdr:rowOff>120614</xdr:rowOff>
    </xdr:to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22FBA49A-BD9A-44E6-A4BB-0797C957A9A5}"/>
            </a:ext>
          </a:extLst>
        </xdr:cNvPr>
        <xdr:cNvSpPr txBox="1"/>
      </xdr:nvSpPr>
      <xdr:spPr>
        <a:xfrm>
          <a:off x="42976804" y="1456353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Nocupetaro</a:t>
          </a:r>
        </a:p>
      </xdr:txBody>
    </xdr:sp>
    <xdr:clientData/>
  </xdr:twoCellAnchor>
  <xdr:twoCellAnchor>
    <xdr:from>
      <xdr:col>61</xdr:col>
      <xdr:colOff>484104</xdr:colOff>
      <xdr:row>48</xdr:row>
      <xdr:rowOff>77128</xdr:rowOff>
    </xdr:from>
    <xdr:to>
      <xdr:col>63</xdr:col>
      <xdr:colOff>251022</xdr:colOff>
      <xdr:row>52</xdr:row>
      <xdr:rowOff>8151</xdr:rowOff>
    </xdr:to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44338B86-8237-4E5A-929C-C6EFA927391E}"/>
            </a:ext>
          </a:extLst>
        </xdr:cNvPr>
        <xdr:cNvSpPr txBox="1"/>
      </xdr:nvSpPr>
      <xdr:spPr>
        <a:xfrm>
          <a:off x="47172292" y="9059763"/>
          <a:ext cx="1344706" cy="64820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Mariano Michelena</a:t>
          </a:r>
        </a:p>
      </xdr:txBody>
    </xdr:sp>
    <xdr:clientData/>
  </xdr:twoCellAnchor>
  <xdr:twoCellAnchor>
    <xdr:from>
      <xdr:col>69</xdr:col>
      <xdr:colOff>134475</xdr:colOff>
      <xdr:row>17</xdr:row>
      <xdr:rowOff>174394</xdr:rowOff>
    </xdr:from>
    <xdr:to>
      <xdr:col>70</xdr:col>
      <xdr:colOff>690286</xdr:colOff>
      <xdr:row>20</xdr:row>
      <xdr:rowOff>138544</xdr:rowOff>
    </xdr:to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A3B779EC-1A5F-42E7-9663-159DE4C3A753}"/>
            </a:ext>
          </a:extLst>
        </xdr:cNvPr>
        <xdr:cNvSpPr txBox="1"/>
      </xdr:nvSpPr>
      <xdr:spPr>
        <a:xfrm>
          <a:off x="53040135" y="3344314"/>
          <a:ext cx="1348291" cy="61185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Oriente</a:t>
          </a:r>
        </a:p>
      </xdr:txBody>
    </xdr:sp>
    <xdr:clientData/>
  </xdr:twoCellAnchor>
  <xdr:twoCellAnchor>
    <xdr:from>
      <xdr:col>64</xdr:col>
      <xdr:colOff>152404</xdr:colOff>
      <xdr:row>9</xdr:row>
      <xdr:rowOff>10597</xdr:rowOff>
    </xdr:from>
    <xdr:to>
      <xdr:col>65</xdr:col>
      <xdr:colOff>708216</xdr:colOff>
      <xdr:row>12</xdr:row>
      <xdr:rowOff>66824</xdr:rowOff>
    </xdr:to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id="{9011A7CE-7203-4260-98FD-8BA9568B4FF1}"/>
            </a:ext>
          </a:extLst>
        </xdr:cNvPr>
        <xdr:cNvSpPr txBox="1"/>
      </xdr:nvSpPr>
      <xdr:spPr>
        <a:xfrm>
          <a:off x="49207275" y="1651138"/>
          <a:ext cx="1344706" cy="60307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Santiago Tapia</a:t>
          </a:r>
        </a:p>
      </xdr:txBody>
    </xdr:sp>
    <xdr:clientData/>
  </xdr:twoCellAnchor>
  <xdr:twoCellAnchor>
    <xdr:from>
      <xdr:col>65</xdr:col>
      <xdr:colOff>708216</xdr:colOff>
      <xdr:row>4</xdr:row>
      <xdr:rowOff>171962</xdr:rowOff>
    </xdr:from>
    <xdr:to>
      <xdr:col>68</xdr:col>
      <xdr:colOff>5</xdr:colOff>
      <xdr:row>8</xdr:row>
      <xdr:rowOff>39930</xdr:rowOff>
    </xdr:to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id="{771E9861-A200-4C81-86D2-91509EB28C42}"/>
            </a:ext>
          </a:extLst>
        </xdr:cNvPr>
        <xdr:cNvSpPr txBox="1"/>
      </xdr:nvSpPr>
      <xdr:spPr>
        <a:xfrm>
          <a:off x="50551981" y="889138"/>
          <a:ext cx="1344706" cy="60307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Francisco Zarco</a:t>
          </a:r>
        </a:p>
      </xdr:txBody>
    </xdr:sp>
    <xdr:clientData/>
  </xdr:twoCellAnchor>
  <xdr:twoCellAnchor>
    <xdr:from>
      <xdr:col>72</xdr:col>
      <xdr:colOff>493063</xdr:colOff>
      <xdr:row>2</xdr:row>
      <xdr:rowOff>137729</xdr:rowOff>
    </xdr:from>
    <xdr:to>
      <xdr:col>74</xdr:col>
      <xdr:colOff>259981</xdr:colOff>
      <xdr:row>6</xdr:row>
      <xdr:rowOff>75785</xdr:rowOff>
    </xdr:to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53119AD5-23F0-4D97-8846-973818DABABE}"/>
            </a:ext>
          </a:extLst>
        </xdr:cNvPr>
        <xdr:cNvSpPr txBox="1"/>
      </xdr:nvSpPr>
      <xdr:spPr>
        <a:xfrm>
          <a:off x="55545322" y="496317"/>
          <a:ext cx="1344706" cy="66419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Vicente Riva Palacios</a:t>
          </a:r>
        </a:p>
      </xdr:txBody>
    </xdr:sp>
    <xdr:clientData/>
  </xdr:twoCellAnchor>
  <xdr:twoCellAnchor>
    <xdr:from>
      <xdr:col>72</xdr:col>
      <xdr:colOff>502027</xdr:colOff>
      <xdr:row>17</xdr:row>
      <xdr:rowOff>120609</xdr:rowOff>
    </xdr:from>
    <xdr:to>
      <xdr:col>74</xdr:col>
      <xdr:colOff>268945</xdr:colOff>
      <xdr:row>20</xdr:row>
      <xdr:rowOff>48893</xdr:rowOff>
    </xdr:to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7CDF2C7C-E27A-4A1D-BA62-D24892A85F52}"/>
            </a:ext>
          </a:extLst>
        </xdr:cNvPr>
        <xdr:cNvSpPr txBox="1"/>
      </xdr:nvSpPr>
      <xdr:spPr>
        <a:xfrm>
          <a:off x="55554286" y="3240327"/>
          <a:ext cx="1344706" cy="58270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Vicente Riva Palacios</a:t>
          </a:r>
        </a:p>
      </xdr:txBody>
    </xdr:sp>
    <xdr:clientData/>
  </xdr:twoCellAnchor>
  <xdr:twoCellAnchor>
    <xdr:from>
      <xdr:col>76</xdr:col>
      <xdr:colOff>502027</xdr:colOff>
      <xdr:row>0</xdr:row>
      <xdr:rowOff>93715</xdr:rowOff>
    </xdr:from>
    <xdr:to>
      <xdr:col>79</xdr:col>
      <xdr:colOff>193147</xdr:colOff>
      <xdr:row>4</xdr:row>
      <xdr:rowOff>87203</xdr:rowOff>
    </xdr:to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F0099B23-766D-41AD-ACA0-A63212DA147F}"/>
            </a:ext>
          </a:extLst>
        </xdr:cNvPr>
        <xdr:cNvSpPr txBox="1"/>
      </xdr:nvSpPr>
      <xdr:spPr>
        <a:xfrm>
          <a:off x="58709862" y="93715"/>
          <a:ext cx="1681285" cy="7106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Guadalupe</a:t>
          </a:r>
          <a:r>
            <a:rPr lang="es-MX" sz="1400" baseline="0"/>
            <a:t> Victoria</a:t>
          </a:r>
          <a:endParaRPr lang="es-MX" sz="1400"/>
        </a:p>
      </xdr:txBody>
    </xdr:sp>
    <xdr:clientData/>
  </xdr:twoCellAnchor>
  <xdr:twoCellAnchor>
    <xdr:from>
      <xdr:col>80</xdr:col>
      <xdr:colOff>475133</xdr:colOff>
      <xdr:row>3</xdr:row>
      <xdr:rowOff>84750</xdr:rowOff>
    </xdr:from>
    <xdr:to>
      <xdr:col>82</xdr:col>
      <xdr:colOff>242051</xdr:colOff>
      <xdr:row>7</xdr:row>
      <xdr:rowOff>69273</xdr:rowOff>
    </xdr:to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id="{3D5C8526-F85B-4FFC-89A5-4A3BA18287CE}"/>
            </a:ext>
          </a:extLst>
        </xdr:cNvPr>
        <xdr:cNvSpPr txBox="1"/>
      </xdr:nvSpPr>
      <xdr:spPr>
        <a:xfrm>
          <a:off x="61717073" y="633390"/>
          <a:ext cx="1351878" cy="72366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Morelos Norte</a:t>
          </a:r>
        </a:p>
      </xdr:txBody>
    </xdr:sp>
    <xdr:clientData/>
  </xdr:twoCellAnchor>
  <xdr:twoCellAnchor>
    <xdr:from>
      <xdr:col>80</xdr:col>
      <xdr:colOff>475133</xdr:colOff>
      <xdr:row>15</xdr:row>
      <xdr:rowOff>66819</xdr:rowOff>
    </xdr:from>
    <xdr:to>
      <xdr:col>82</xdr:col>
      <xdr:colOff>242051</xdr:colOff>
      <xdr:row>18</xdr:row>
      <xdr:rowOff>41563</xdr:rowOff>
    </xdr:to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93C5E961-3C53-469B-A51D-98DC5A82CDE3}"/>
            </a:ext>
          </a:extLst>
        </xdr:cNvPr>
        <xdr:cNvSpPr txBox="1"/>
      </xdr:nvSpPr>
      <xdr:spPr>
        <a:xfrm>
          <a:off x="61717073" y="2863359"/>
          <a:ext cx="1351878" cy="57672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Morelos Norte</a:t>
          </a:r>
        </a:p>
      </xdr:txBody>
    </xdr:sp>
    <xdr:clientData/>
  </xdr:twoCellAnchor>
  <xdr:twoCellAnchor>
    <xdr:from>
      <xdr:col>84</xdr:col>
      <xdr:colOff>510989</xdr:colOff>
      <xdr:row>3</xdr:row>
      <xdr:rowOff>84749</xdr:rowOff>
    </xdr:from>
    <xdr:to>
      <xdr:col>86</xdr:col>
      <xdr:colOff>277907</xdr:colOff>
      <xdr:row>6</xdr:row>
      <xdr:rowOff>124691</xdr:rowOff>
    </xdr:to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id="{156BA44F-938A-4328-82F9-09C2EB56EB6F}"/>
            </a:ext>
          </a:extLst>
        </xdr:cNvPr>
        <xdr:cNvSpPr txBox="1"/>
      </xdr:nvSpPr>
      <xdr:spPr>
        <a:xfrm>
          <a:off x="64922849" y="633389"/>
          <a:ext cx="1351878" cy="59620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Alvaro</a:t>
          </a:r>
          <a:r>
            <a:rPr lang="es-MX" sz="1400" baseline="0"/>
            <a:t> Obregón</a:t>
          </a:r>
          <a:endParaRPr lang="es-MX" sz="1400"/>
        </a:p>
      </xdr:txBody>
    </xdr:sp>
    <xdr:clientData/>
  </xdr:twoCellAnchor>
  <xdr:twoCellAnchor>
    <xdr:from>
      <xdr:col>84</xdr:col>
      <xdr:colOff>510989</xdr:colOff>
      <xdr:row>15</xdr:row>
      <xdr:rowOff>102677</xdr:rowOff>
    </xdr:from>
    <xdr:to>
      <xdr:col>86</xdr:col>
      <xdr:colOff>277907</xdr:colOff>
      <xdr:row>18</xdr:row>
      <xdr:rowOff>124691</xdr:rowOff>
    </xdr:to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id="{92728A40-84C0-4207-A98E-84A252185660}"/>
            </a:ext>
          </a:extLst>
        </xdr:cNvPr>
        <xdr:cNvSpPr txBox="1"/>
      </xdr:nvSpPr>
      <xdr:spPr>
        <a:xfrm>
          <a:off x="64922849" y="2899217"/>
          <a:ext cx="1351878" cy="62399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Alvaro</a:t>
          </a:r>
          <a:r>
            <a:rPr lang="es-MX" sz="1400" baseline="0"/>
            <a:t> Obregón</a:t>
          </a:r>
          <a:endParaRPr lang="es-MX" sz="1400"/>
        </a:p>
      </xdr:txBody>
    </xdr:sp>
    <xdr:clientData/>
  </xdr:twoCellAnchor>
  <xdr:twoCellAnchor>
    <xdr:from>
      <xdr:col>87</xdr:col>
      <xdr:colOff>421342</xdr:colOff>
      <xdr:row>3</xdr:row>
      <xdr:rowOff>84749</xdr:rowOff>
    </xdr:from>
    <xdr:to>
      <xdr:col>89</xdr:col>
      <xdr:colOff>188260</xdr:colOff>
      <xdr:row>6</xdr:row>
      <xdr:rowOff>152400</xdr:rowOff>
    </xdr:to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id="{6FF78BBC-B006-4DF5-82B8-DAA4A2DC571E}"/>
            </a:ext>
          </a:extLst>
        </xdr:cNvPr>
        <xdr:cNvSpPr txBox="1"/>
      </xdr:nvSpPr>
      <xdr:spPr>
        <a:xfrm>
          <a:off x="67210642" y="633389"/>
          <a:ext cx="1351878" cy="62391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Dr. Miguel Silva</a:t>
          </a:r>
        </a:p>
      </xdr:txBody>
    </xdr:sp>
    <xdr:clientData/>
  </xdr:twoCellAnchor>
  <xdr:twoCellAnchor>
    <xdr:from>
      <xdr:col>87</xdr:col>
      <xdr:colOff>555813</xdr:colOff>
      <xdr:row>15</xdr:row>
      <xdr:rowOff>66819</xdr:rowOff>
    </xdr:from>
    <xdr:to>
      <xdr:col>89</xdr:col>
      <xdr:colOff>322731</xdr:colOff>
      <xdr:row>18</xdr:row>
      <xdr:rowOff>96981</xdr:rowOff>
    </xdr:to>
    <xdr:sp macro="" textlink="">
      <xdr:nvSpPr>
        <xdr:cNvPr id="239" name="CuadroTexto 238">
          <a:extLst>
            <a:ext uri="{FF2B5EF4-FFF2-40B4-BE49-F238E27FC236}">
              <a16:creationId xmlns:a16="http://schemas.microsoft.com/office/drawing/2014/main" id="{176D87CC-7A42-4850-A00A-C22F0D645EA7}"/>
            </a:ext>
          </a:extLst>
        </xdr:cNvPr>
        <xdr:cNvSpPr txBox="1"/>
      </xdr:nvSpPr>
      <xdr:spPr>
        <a:xfrm>
          <a:off x="67345113" y="2863359"/>
          <a:ext cx="1351878" cy="63214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Dr. Miguel Silva</a:t>
          </a:r>
        </a:p>
      </xdr:txBody>
    </xdr:sp>
    <xdr:clientData/>
  </xdr:twoCellAnchor>
  <xdr:twoCellAnchor>
    <xdr:from>
      <xdr:col>94</xdr:col>
      <xdr:colOff>340659</xdr:colOff>
      <xdr:row>5</xdr:row>
      <xdr:rowOff>98613</xdr:rowOff>
    </xdr:from>
    <xdr:to>
      <xdr:col>96</xdr:col>
      <xdr:colOff>107577</xdr:colOff>
      <xdr:row>8</xdr:row>
      <xdr:rowOff>111646</xdr:rowOff>
    </xdr:to>
    <xdr:sp macro="" textlink="">
      <xdr:nvSpPr>
        <xdr:cNvPr id="240" name="CuadroTexto 239">
          <a:extLst>
            <a:ext uri="{FF2B5EF4-FFF2-40B4-BE49-F238E27FC236}">
              <a16:creationId xmlns:a16="http://schemas.microsoft.com/office/drawing/2014/main" id="{DA908202-6BB6-436A-8E70-B83D0AA8CF0E}"/>
            </a:ext>
          </a:extLst>
        </xdr:cNvPr>
        <xdr:cNvSpPr txBox="1"/>
      </xdr:nvSpPr>
      <xdr:spPr>
        <a:xfrm>
          <a:off x="72372071" y="1004048"/>
          <a:ext cx="1344706" cy="55988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Poniente</a:t>
          </a:r>
        </a:p>
      </xdr:txBody>
    </xdr:sp>
    <xdr:clientData/>
  </xdr:twoCellAnchor>
  <xdr:twoCellAnchor>
    <xdr:from>
      <xdr:col>103</xdr:col>
      <xdr:colOff>152400</xdr:colOff>
      <xdr:row>30</xdr:row>
      <xdr:rowOff>138536</xdr:rowOff>
    </xdr:from>
    <xdr:to>
      <xdr:col>107</xdr:col>
      <xdr:colOff>239486</xdr:colOff>
      <xdr:row>33</xdr:row>
      <xdr:rowOff>84749</xdr:rowOff>
    </xdr:to>
    <xdr:sp macro="" textlink="">
      <xdr:nvSpPr>
        <xdr:cNvPr id="241" name="CuadroTexto 240">
          <a:extLst>
            <a:ext uri="{FF2B5EF4-FFF2-40B4-BE49-F238E27FC236}">
              <a16:creationId xmlns:a16="http://schemas.microsoft.com/office/drawing/2014/main" id="{6CE330D8-7BD0-4AF9-AC55-612C11F4EFB2}"/>
            </a:ext>
          </a:extLst>
        </xdr:cNvPr>
        <xdr:cNvSpPr txBox="1"/>
      </xdr:nvSpPr>
      <xdr:spPr>
        <a:xfrm>
          <a:off x="78246514" y="5973279"/>
          <a:ext cx="1349829" cy="50138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Acueducto</a:t>
          </a:r>
        </a:p>
      </xdr:txBody>
    </xdr:sp>
    <xdr:clientData/>
  </xdr:twoCellAnchor>
  <xdr:twoCellAnchor>
    <xdr:from>
      <xdr:col>95</xdr:col>
      <xdr:colOff>779931</xdr:colOff>
      <xdr:row>48</xdr:row>
      <xdr:rowOff>32599</xdr:rowOff>
    </xdr:from>
    <xdr:to>
      <xdr:col>97</xdr:col>
      <xdr:colOff>546849</xdr:colOff>
      <xdr:row>52</xdr:row>
      <xdr:rowOff>66821</xdr:rowOff>
    </xdr:to>
    <xdr:sp macro="" textlink="">
      <xdr:nvSpPr>
        <xdr:cNvPr id="242" name="CuadroTexto 241">
          <a:extLst>
            <a:ext uri="{FF2B5EF4-FFF2-40B4-BE49-F238E27FC236}">
              <a16:creationId xmlns:a16="http://schemas.microsoft.com/office/drawing/2014/main" id="{56293BA4-0D45-4760-9AAE-DE8BB388F77E}"/>
            </a:ext>
          </a:extLst>
        </xdr:cNvPr>
        <xdr:cNvSpPr txBox="1"/>
      </xdr:nvSpPr>
      <xdr:spPr>
        <a:xfrm>
          <a:off x="73600237" y="8952481"/>
          <a:ext cx="1344706" cy="75139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Rafael Carrillo</a:t>
          </a:r>
        </a:p>
      </xdr:txBody>
    </xdr:sp>
    <xdr:clientData/>
  </xdr:twoCellAnchor>
  <xdr:twoCellAnchor>
    <xdr:from>
      <xdr:col>102</xdr:col>
      <xdr:colOff>322730</xdr:colOff>
      <xdr:row>53</xdr:row>
      <xdr:rowOff>93713</xdr:rowOff>
    </xdr:from>
    <xdr:to>
      <xdr:col>104</xdr:col>
      <xdr:colOff>89648</xdr:colOff>
      <xdr:row>57</xdr:row>
      <xdr:rowOff>69272</xdr:rowOff>
    </xdr:to>
    <xdr:sp macro="" textlink="">
      <xdr:nvSpPr>
        <xdr:cNvPr id="243" name="CuadroTexto 242">
          <a:extLst>
            <a:ext uri="{FF2B5EF4-FFF2-40B4-BE49-F238E27FC236}">
              <a16:creationId xmlns:a16="http://schemas.microsoft.com/office/drawing/2014/main" id="{629619DF-8809-42C1-9F7D-46299F5C74F7}"/>
            </a:ext>
          </a:extLst>
        </xdr:cNvPr>
        <xdr:cNvSpPr txBox="1"/>
      </xdr:nvSpPr>
      <xdr:spPr>
        <a:xfrm>
          <a:off x="78199130" y="9972819"/>
          <a:ext cx="1344706" cy="69273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Mariano Monterde</a:t>
          </a:r>
        </a:p>
      </xdr:txBody>
    </xdr:sp>
    <xdr:clientData/>
  </xdr:twoCellAnchor>
  <xdr:twoCellAnchor>
    <xdr:from>
      <xdr:col>91</xdr:col>
      <xdr:colOff>125508</xdr:colOff>
      <xdr:row>42</xdr:row>
      <xdr:rowOff>22006</xdr:rowOff>
    </xdr:from>
    <xdr:to>
      <xdr:col>92</xdr:col>
      <xdr:colOff>681319</xdr:colOff>
      <xdr:row>45</xdr:row>
      <xdr:rowOff>102680</xdr:rowOff>
    </xdr:to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D12A4342-9DEC-42D0-8901-E1CF6A119F8B}"/>
            </a:ext>
          </a:extLst>
        </xdr:cNvPr>
        <xdr:cNvSpPr txBox="1"/>
      </xdr:nvSpPr>
      <xdr:spPr>
        <a:xfrm>
          <a:off x="69790237" y="7866124"/>
          <a:ext cx="1344706" cy="61855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Antonio Alzate</a:t>
          </a:r>
        </a:p>
      </xdr:txBody>
    </xdr:sp>
    <xdr:clientData/>
  </xdr:twoCellAnchor>
  <xdr:twoCellAnchor>
    <xdr:from>
      <xdr:col>86</xdr:col>
      <xdr:colOff>493060</xdr:colOff>
      <xdr:row>34</xdr:row>
      <xdr:rowOff>131210</xdr:rowOff>
    </xdr:from>
    <xdr:to>
      <xdr:col>88</xdr:col>
      <xdr:colOff>259978</xdr:colOff>
      <xdr:row>38</xdr:row>
      <xdr:rowOff>4068</xdr:rowOff>
    </xdr:to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id="{0483EA51-E7D3-4240-B8CF-3B33AA4A6D39}"/>
            </a:ext>
          </a:extLst>
        </xdr:cNvPr>
        <xdr:cNvSpPr txBox="1"/>
      </xdr:nvSpPr>
      <xdr:spPr>
        <a:xfrm>
          <a:off x="66213319" y="6603728"/>
          <a:ext cx="1344706" cy="59003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Isidro</a:t>
          </a:r>
          <a:r>
            <a:rPr lang="es-MX" sz="1400" baseline="0"/>
            <a:t> Huarte</a:t>
          </a:r>
          <a:endParaRPr lang="es-MX" sz="1400"/>
        </a:p>
      </xdr:txBody>
    </xdr:sp>
    <xdr:clientData/>
  </xdr:twoCellAnchor>
  <xdr:twoCellAnchor>
    <xdr:from>
      <xdr:col>86</xdr:col>
      <xdr:colOff>528919</xdr:colOff>
      <xdr:row>50</xdr:row>
      <xdr:rowOff>129573</xdr:rowOff>
    </xdr:from>
    <xdr:to>
      <xdr:col>88</xdr:col>
      <xdr:colOff>295837</xdr:colOff>
      <xdr:row>54</xdr:row>
      <xdr:rowOff>118173</xdr:rowOff>
    </xdr:to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id="{04FBEF6B-9959-4685-9FCC-19135D7C3E65}"/>
            </a:ext>
          </a:extLst>
        </xdr:cNvPr>
        <xdr:cNvSpPr txBox="1"/>
      </xdr:nvSpPr>
      <xdr:spPr>
        <a:xfrm>
          <a:off x="66249178" y="9470797"/>
          <a:ext cx="1344706" cy="70577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Isidro</a:t>
          </a:r>
          <a:r>
            <a:rPr lang="es-MX" sz="1400" baseline="0"/>
            <a:t> Huarte</a:t>
          </a:r>
          <a:endParaRPr lang="es-MX" sz="1400"/>
        </a:p>
      </xdr:txBody>
    </xdr:sp>
    <xdr:clientData/>
  </xdr:twoCellAnchor>
  <xdr:twoCellAnchor>
    <xdr:from>
      <xdr:col>72</xdr:col>
      <xdr:colOff>502023</xdr:colOff>
      <xdr:row>33</xdr:row>
      <xdr:rowOff>148325</xdr:rowOff>
    </xdr:from>
    <xdr:to>
      <xdr:col>74</xdr:col>
      <xdr:colOff>268941</xdr:colOff>
      <xdr:row>38</xdr:row>
      <xdr:rowOff>48900</xdr:rowOff>
    </xdr:to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id="{C14D97D9-49CC-49A4-9CCE-C6399B76C846}"/>
            </a:ext>
          </a:extLst>
        </xdr:cNvPr>
        <xdr:cNvSpPr txBox="1"/>
      </xdr:nvSpPr>
      <xdr:spPr>
        <a:xfrm>
          <a:off x="55554282" y="6378796"/>
          <a:ext cx="1344706" cy="79704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Andres Quintana Roo</a:t>
          </a:r>
        </a:p>
      </xdr:txBody>
    </xdr:sp>
    <xdr:clientData/>
  </xdr:twoCellAnchor>
  <xdr:twoCellAnchor>
    <xdr:from>
      <xdr:col>72</xdr:col>
      <xdr:colOff>510988</xdr:colOff>
      <xdr:row>49</xdr:row>
      <xdr:rowOff>147510</xdr:rowOff>
    </xdr:from>
    <xdr:to>
      <xdr:col>74</xdr:col>
      <xdr:colOff>277906</xdr:colOff>
      <xdr:row>53</xdr:row>
      <xdr:rowOff>152400</xdr:rowOff>
    </xdr:to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id="{2D408BAB-41F6-4CD1-B363-90FDACD90A43}"/>
            </a:ext>
          </a:extLst>
        </xdr:cNvPr>
        <xdr:cNvSpPr txBox="1"/>
      </xdr:nvSpPr>
      <xdr:spPr>
        <a:xfrm>
          <a:off x="55794088" y="9436290"/>
          <a:ext cx="1351878" cy="73641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Andres Quintana Roo</a:t>
          </a:r>
        </a:p>
      </xdr:txBody>
    </xdr:sp>
    <xdr:clientData/>
  </xdr:twoCellAnchor>
  <xdr:twoCellAnchor>
    <xdr:from>
      <xdr:col>69</xdr:col>
      <xdr:colOff>412378</xdr:colOff>
      <xdr:row>36</xdr:row>
      <xdr:rowOff>128765</xdr:rowOff>
    </xdr:from>
    <xdr:to>
      <xdr:col>71</xdr:col>
      <xdr:colOff>179295</xdr:colOff>
      <xdr:row>40</xdr:row>
      <xdr:rowOff>147512</xdr:rowOff>
    </xdr:to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id="{5698379B-3931-4B68-9389-EE1B99B3EA35}"/>
            </a:ext>
          </a:extLst>
        </xdr:cNvPr>
        <xdr:cNvSpPr txBox="1"/>
      </xdr:nvSpPr>
      <xdr:spPr>
        <a:xfrm>
          <a:off x="53097954" y="6959871"/>
          <a:ext cx="1344706" cy="73592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Corrregidora</a:t>
          </a:r>
        </a:p>
      </xdr:txBody>
    </xdr:sp>
    <xdr:clientData/>
  </xdr:twoCellAnchor>
  <xdr:twoCellAnchor>
    <xdr:from>
      <xdr:col>66</xdr:col>
      <xdr:colOff>206190</xdr:colOff>
      <xdr:row>33</xdr:row>
      <xdr:rowOff>48898</xdr:rowOff>
    </xdr:from>
    <xdr:to>
      <xdr:col>68</xdr:col>
      <xdr:colOff>286873</xdr:colOff>
      <xdr:row>35</xdr:row>
      <xdr:rowOff>174406</xdr:rowOff>
    </xdr:to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id="{765B4CF7-CFD5-415D-AC50-1CF0BF882644}"/>
            </a:ext>
          </a:extLst>
        </xdr:cNvPr>
        <xdr:cNvSpPr txBox="1"/>
      </xdr:nvSpPr>
      <xdr:spPr>
        <a:xfrm>
          <a:off x="50838849" y="6279369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Cuautla</a:t>
          </a:r>
        </a:p>
      </xdr:txBody>
    </xdr:sp>
    <xdr:clientData/>
  </xdr:twoCellAnchor>
  <xdr:twoCellAnchor>
    <xdr:from>
      <xdr:col>21</xdr:col>
      <xdr:colOff>484094</xdr:colOff>
      <xdr:row>26</xdr:row>
      <xdr:rowOff>35859</xdr:rowOff>
    </xdr:from>
    <xdr:to>
      <xdr:col>22</xdr:col>
      <xdr:colOff>188258</xdr:colOff>
      <xdr:row>27</xdr:row>
      <xdr:rowOff>89647</xdr:rowOff>
    </xdr:to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961E06F9-3019-63FA-F535-C9349787835F}"/>
            </a:ext>
          </a:extLst>
        </xdr:cNvPr>
        <xdr:cNvSpPr txBox="1"/>
      </xdr:nvSpPr>
      <xdr:spPr>
        <a:xfrm>
          <a:off x="17050870" y="507402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58</a:t>
          </a:r>
        </a:p>
        <a:p>
          <a:pPr algn="ctr"/>
          <a:endParaRPr lang="es-MX" sz="1200"/>
        </a:p>
      </xdr:txBody>
    </xdr:sp>
    <xdr:clientData/>
  </xdr:twoCellAnchor>
  <xdr:twoCellAnchor>
    <xdr:from>
      <xdr:col>20</xdr:col>
      <xdr:colOff>564777</xdr:colOff>
      <xdr:row>26</xdr:row>
      <xdr:rowOff>26894</xdr:rowOff>
    </xdr:from>
    <xdr:to>
      <xdr:col>21</xdr:col>
      <xdr:colOff>268942</xdr:colOff>
      <xdr:row>27</xdr:row>
      <xdr:rowOff>80682</xdr:rowOff>
    </xdr:to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66B1C239-5C14-4634-8BF9-28D60B9BA9CF}"/>
            </a:ext>
          </a:extLst>
        </xdr:cNvPr>
        <xdr:cNvSpPr txBox="1"/>
      </xdr:nvSpPr>
      <xdr:spPr>
        <a:xfrm>
          <a:off x="16342659" y="5065059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534</a:t>
          </a:r>
        </a:p>
        <a:p>
          <a:pPr algn="ctr"/>
          <a:endParaRPr lang="es-MX" sz="1200"/>
        </a:p>
      </xdr:txBody>
    </xdr:sp>
    <xdr:clientData/>
  </xdr:twoCellAnchor>
  <xdr:twoCellAnchor>
    <xdr:from>
      <xdr:col>21</xdr:col>
      <xdr:colOff>134471</xdr:colOff>
      <xdr:row>27</xdr:row>
      <xdr:rowOff>134470</xdr:rowOff>
    </xdr:from>
    <xdr:to>
      <xdr:col>21</xdr:col>
      <xdr:colOff>627530</xdr:colOff>
      <xdr:row>29</xdr:row>
      <xdr:rowOff>8964</xdr:rowOff>
    </xdr:to>
    <xdr:sp macro="" textlink="">
      <xdr:nvSpPr>
        <xdr:cNvPr id="253" name="CuadroTexto 252">
          <a:extLst>
            <a:ext uri="{FF2B5EF4-FFF2-40B4-BE49-F238E27FC236}">
              <a16:creationId xmlns:a16="http://schemas.microsoft.com/office/drawing/2014/main" id="{84228871-4B85-4450-A75C-83EBC57EBA00}"/>
            </a:ext>
          </a:extLst>
        </xdr:cNvPr>
        <xdr:cNvSpPr txBox="1"/>
      </xdr:nvSpPr>
      <xdr:spPr>
        <a:xfrm>
          <a:off x="16701247" y="5351929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1271</a:t>
          </a:r>
        </a:p>
        <a:p>
          <a:pPr algn="ctr"/>
          <a:endParaRPr lang="es-MX" sz="1200"/>
        </a:p>
      </xdr:txBody>
    </xdr:sp>
    <xdr:clientData/>
  </xdr:twoCellAnchor>
  <xdr:twoCellAnchor>
    <xdr:from>
      <xdr:col>3</xdr:col>
      <xdr:colOff>62753</xdr:colOff>
      <xdr:row>17</xdr:row>
      <xdr:rowOff>35859</xdr:rowOff>
    </xdr:from>
    <xdr:to>
      <xdr:col>3</xdr:col>
      <xdr:colOff>555812</xdr:colOff>
      <xdr:row>18</xdr:row>
      <xdr:rowOff>35859</xdr:rowOff>
    </xdr:to>
    <xdr:sp macro="" textlink="">
      <xdr:nvSpPr>
        <xdr:cNvPr id="254" name="CuadroTexto 253">
          <a:extLst>
            <a:ext uri="{FF2B5EF4-FFF2-40B4-BE49-F238E27FC236}">
              <a16:creationId xmlns:a16="http://schemas.microsoft.com/office/drawing/2014/main" id="{96E3319C-C8E3-44CC-BFA2-6B8B156CCB60}"/>
            </a:ext>
          </a:extLst>
        </xdr:cNvPr>
        <xdr:cNvSpPr txBox="1"/>
      </xdr:nvSpPr>
      <xdr:spPr>
        <a:xfrm>
          <a:off x="2429435" y="315557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1614</a:t>
          </a:r>
        </a:p>
        <a:p>
          <a:pPr algn="ctr"/>
          <a:endParaRPr lang="es-MX" sz="1200"/>
        </a:p>
      </xdr:txBody>
    </xdr:sp>
    <xdr:clientData/>
  </xdr:twoCellAnchor>
  <xdr:twoCellAnchor>
    <xdr:from>
      <xdr:col>3</xdr:col>
      <xdr:colOff>53790</xdr:colOff>
      <xdr:row>19</xdr:row>
      <xdr:rowOff>71718</xdr:rowOff>
    </xdr:from>
    <xdr:to>
      <xdr:col>3</xdr:col>
      <xdr:colOff>546849</xdr:colOff>
      <xdr:row>20</xdr:row>
      <xdr:rowOff>71717</xdr:rowOff>
    </xdr:to>
    <xdr:sp macro="" textlink="">
      <xdr:nvSpPr>
        <xdr:cNvPr id="255" name="CuadroTexto 254">
          <a:extLst>
            <a:ext uri="{FF2B5EF4-FFF2-40B4-BE49-F238E27FC236}">
              <a16:creationId xmlns:a16="http://schemas.microsoft.com/office/drawing/2014/main" id="{BDA03D91-686D-41AA-8D44-E66E5AFACE9A}"/>
            </a:ext>
          </a:extLst>
        </xdr:cNvPr>
        <xdr:cNvSpPr txBox="1"/>
      </xdr:nvSpPr>
      <xdr:spPr>
        <a:xfrm>
          <a:off x="2420472" y="3612777"/>
          <a:ext cx="493059" cy="23308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1467</a:t>
          </a:r>
        </a:p>
        <a:p>
          <a:pPr algn="ctr"/>
          <a:endParaRPr lang="es-MX" sz="1200"/>
        </a:p>
      </xdr:txBody>
    </xdr:sp>
    <xdr:clientData/>
  </xdr:twoCellAnchor>
  <xdr:twoCellAnchor>
    <xdr:from>
      <xdr:col>18</xdr:col>
      <xdr:colOff>672353</xdr:colOff>
      <xdr:row>21</xdr:row>
      <xdr:rowOff>0</xdr:rowOff>
    </xdr:from>
    <xdr:to>
      <xdr:col>19</xdr:col>
      <xdr:colOff>376518</xdr:colOff>
      <xdr:row>22</xdr:row>
      <xdr:rowOff>0</xdr:rowOff>
    </xdr:to>
    <xdr:sp macro="" textlink="">
      <xdr:nvSpPr>
        <xdr:cNvPr id="256" name="CuadroTexto 255">
          <a:extLst>
            <a:ext uri="{FF2B5EF4-FFF2-40B4-BE49-F238E27FC236}">
              <a16:creationId xmlns:a16="http://schemas.microsoft.com/office/drawing/2014/main" id="{CFF71A25-2A75-45AD-98CF-D39A5561B90B}"/>
            </a:ext>
          </a:extLst>
        </xdr:cNvPr>
        <xdr:cNvSpPr txBox="1"/>
      </xdr:nvSpPr>
      <xdr:spPr>
        <a:xfrm>
          <a:off x="14872447" y="400722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331</a:t>
          </a:r>
        </a:p>
        <a:p>
          <a:pPr algn="ctr"/>
          <a:endParaRPr lang="es-MX" sz="1200"/>
        </a:p>
      </xdr:txBody>
    </xdr:sp>
    <xdr:clientData/>
  </xdr:twoCellAnchor>
  <xdr:twoCellAnchor>
    <xdr:from>
      <xdr:col>18</xdr:col>
      <xdr:colOff>672354</xdr:colOff>
      <xdr:row>22</xdr:row>
      <xdr:rowOff>26894</xdr:rowOff>
    </xdr:from>
    <xdr:to>
      <xdr:col>19</xdr:col>
      <xdr:colOff>376519</xdr:colOff>
      <xdr:row>23</xdr:row>
      <xdr:rowOff>26894</xdr:rowOff>
    </xdr:to>
    <xdr:sp macro="" textlink="">
      <xdr:nvSpPr>
        <xdr:cNvPr id="257" name="CuadroTexto 256">
          <a:extLst>
            <a:ext uri="{FF2B5EF4-FFF2-40B4-BE49-F238E27FC236}">
              <a16:creationId xmlns:a16="http://schemas.microsoft.com/office/drawing/2014/main" id="{8F81E514-3FE7-4A99-854C-90E2FBD83421}"/>
            </a:ext>
          </a:extLst>
        </xdr:cNvPr>
        <xdr:cNvSpPr txBox="1"/>
      </xdr:nvSpPr>
      <xdr:spPr>
        <a:xfrm>
          <a:off x="14872448" y="426720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365</a:t>
          </a:r>
        </a:p>
        <a:p>
          <a:pPr algn="ctr"/>
          <a:endParaRPr lang="es-MX" sz="1200"/>
        </a:p>
      </xdr:txBody>
    </xdr:sp>
    <xdr:clientData/>
  </xdr:twoCellAnchor>
  <xdr:twoCellAnchor>
    <xdr:from>
      <xdr:col>15</xdr:col>
      <xdr:colOff>208431</xdr:colOff>
      <xdr:row>19</xdr:row>
      <xdr:rowOff>132791</xdr:rowOff>
    </xdr:from>
    <xdr:to>
      <xdr:col>15</xdr:col>
      <xdr:colOff>703171</xdr:colOff>
      <xdr:row>20</xdr:row>
      <xdr:rowOff>132791</xdr:rowOff>
    </xdr:to>
    <xdr:sp macro="" textlink="">
      <xdr:nvSpPr>
        <xdr:cNvPr id="258" name="CuadroTexto 257">
          <a:extLst>
            <a:ext uri="{FF2B5EF4-FFF2-40B4-BE49-F238E27FC236}">
              <a16:creationId xmlns:a16="http://schemas.microsoft.com/office/drawing/2014/main" id="{31D636D2-CA25-44AC-BD69-490C166024DE}"/>
            </a:ext>
          </a:extLst>
        </xdr:cNvPr>
        <xdr:cNvSpPr txBox="1"/>
      </xdr:nvSpPr>
      <xdr:spPr>
        <a:xfrm>
          <a:off x="12067056" y="3704666"/>
          <a:ext cx="494740" cy="2286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1467</a:t>
          </a:r>
        </a:p>
        <a:p>
          <a:pPr algn="ctr"/>
          <a:endParaRPr lang="es-MX" sz="1200"/>
        </a:p>
      </xdr:txBody>
    </xdr:sp>
    <xdr:clientData/>
  </xdr:twoCellAnchor>
  <xdr:twoCellAnchor>
    <xdr:from>
      <xdr:col>15</xdr:col>
      <xdr:colOff>189380</xdr:colOff>
      <xdr:row>17</xdr:row>
      <xdr:rowOff>66115</xdr:rowOff>
    </xdr:from>
    <xdr:to>
      <xdr:col>15</xdr:col>
      <xdr:colOff>684120</xdr:colOff>
      <xdr:row>18</xdr:row>
      <xdr:rowOff>66115</xdr:rowOff>
    </xdr:to>
    <xdr:sp macro="" textlink="">
      <xdr:nvSpPr>
        <xdr:cNvPr id="259" name="CuadroTexto 258">
          <a:extLst>
            <a:ext uri="{FF2B5EF4-FFF2-40B4-BE49-F238E27FC236}">
              <a16:creationId xmlns:a16="http://schemas.microsoft.com/office/drawing/2014/main" id="{34B74EC3-FB83-463B-864B-C780F94FFBA7}"/>
            </a:ext>
          </a:extLst>
        </xdr:cNvPr>
        <xdr:cNvSpPr txBox="1"/>
      </xdr:nvSpPr>
      <xdr:spPr>
        <a:xfrm>
          <a:off x="12048005" y="3218890"/>
          <a:ext cx="494740" cy="2286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1714</a:t>
          </a:r>
        </a:p>
        <a:p>
          <a:pPr algn="ctr"/>
          <a:endParaRPr lang="es-MX" sz="1200"/>
        </a:p>
      </xdr:txBody>
    </xdr:sp>
    <xdr:clientData/>
  </xdr:twoCellAnchor>
  <xdr:twoCellAnchor>
    <xdr:from>
      <xdr:col>19</xdr:col>
      <xdr:colOff>546847</xdr:colOff>
      <xdr:row>10</xdr:row>
      <xdr:rowOff>98613</xdr:rowOff>
    </xdr:from>
    <xdr:to>
      <xdr:col>20</xdr:col>
      <xdr:colOff>251012</xdr:colOff>
      <xdr:row>11</xdr:row>
      <xdr:rowOff>143436</xdr:rowOff>
    </xdr:to>
    <xdr:sp macro="" textlink="">
      <xdr:nvSpPr>
        <xdr:cNvPr id="260" name="CuadroTexto 259">
          <a:extLst>
            <a:ext uri="{FF2B5EF4-FFF2-40B4-BE49-F238E27FC236}">
              <a16:creationId xmlns:a16="http://schemas.microsoft.com/office/drawing/2014/main" id="{DC282E2D-93F7-4BC4-81D2-49CFDA6C54B2}"/>
            </a:ext>
          </a:extLst>
        </xdr:cNvPr>
        <xdr:cNvSpPr txBox="1"/>
      </xdr:nvSpPr>
      <xdr:spPr>
        <a:xfrm>
          <a:off x="15535835" y="191844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79</a:t>
          </a:r>
        </a:p>
        <a:p>
          <a:pPr algn="ctr"/>
          <a:endParaRPr lang="es-MX" sz="1200"/>
        </a:p>
      </xdr:txBody>
    </xdr:sp>
    <xdr:clientData/>
  </xdr:twoCellAnchor>
  <xdr:twoCellAnchor>
    <xdr:from>
      <xdr:col>20</xdr:col>
      <xdr:colOff>107576</xdr:colOff>
      <xdr:row>9</xdr:row>
      <xdr:rowOff>17931</xdr:rowOff>
    </xdr:from>
    <xdr:to>
      <xdr:col>20</xdr:col>
      <xdr:colOff>600635</xdr:colOff>
      <xdr:row>10</xdr:row>
      <xdr:rowOff>71719</xdr:rowOff>
    </xdr:to>
    <xdr:sp macro="" textlink="">
      <xdr:nvSpPr>
        <xdr:cNvPr id="261" name="CuadroTexto 260">
          <a:extLst>
            <a:ext uri="{FF2B5EF4-FFF2-40B4-BE49-F238E27FC236}">
              <a16:creationId xmlns:a16="http://schemas.microsoft.com/office/drawing/2014/main" id="{74F14445-DB24-46DD-9030-CE36CD101B19}"/>
            </a:ext>
          </a:extLst>
        </xdr:cNvPr>
        <xdr:cNvSpPr txBox="1"/>
      </xdr:nvSpPr>
      <xdr:spPr>
        <a:xfrm>
          <a:off x="15885458" y="165847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725</a:t>
          </a:r>
        </a:p>
        <a:p>
          <a:pPr algn="ctr"/>
          <a:endParaRPr lang="es-MX" sz="1200"/>
        </a:p>
      </xdr:txBody>
    </xdr:sp>
    <xdr:clientData/>
  </xdr:twoCellAnchor>
  <xdr:twoCellAnchor>
    <xdr:from>
      <xdr:col>20</xdr:col>
      <xdr:colOff>475129</xdr:colOff>
      <xdr:row>10</xdr:row>
      <xdr:rowOff>107578</xdr:rowOff>
    </xdr:from>
    <xdr:to>
      <xdr:col>21</xdr:col>
      <xdr:colOff>179294</xdr:colOff>
      <xdr:row>11</xdr:row>
      <xdr:rowOff>152401</xdr:rowOff>
    </xdr:to>
    <xdr:sp macro="" textlink="">
      <xdr:nvSpPr>
        <xdr:cNvPr id="262" name="CuadroTexto 261">
          <a:extLst>
            <a:ext uri="{FF2B5EF4-FFF2-40B4-BE49-F238E27FC236}">
              <a16:creationId xmlns:a16="http://schemas.microsoft.com/office/drawing/2014/main" id="{E5AF2340-7AC7-4D7D-93E9-320BBE9179C8}"/>
            </a:ext>
          </a:extLst>
        </xdr:cNvPr>
        <xdr:cNvSpPr txBox="1"/>
      </xdr:nvSpPr>
      <xdr:spPr>
        <a:xfrm>
          <a:off x="16253011" y="192741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293</a:t>
          </a:r>
        </a:p>
        <a:p>
          <a:pPr algn="ctr"/>
          <a:endParaRPr lang="es-MX" sz="1200"/>
        </a:p>
      </xdr:txBody>
    </xdr:sp>
    <xdr:clientData/>
  </xdr:twoCellAnchor>
  <xdr:twoCellAnchor>
    <xdr:from>
      <xdr:col>22</xdr:col>
      <xdr:colOff>-1</xdr:colOff>
      <xdr:row>14</xdr:row>
      <xdr:rowOff>116542</xdr:rowOff>
    </xdr:from>
    <xdr:to>
      <xdr:col>22</xdr:col>
      <xdr:colOff>493058</xdr:colOff>
      <xdr:row>15</xdr:row>
      <xdr:rowOff>152400</xdr:rowOff>
    </xdr:to>
    <xdr:sp macro="" textlink="">
      <xdr:nvSpPr>
        <xdr:cNvPr id="263" name="CuadroTexto 262">
          <a:extLst>
            <a:ext uri="{FF2B5EF4-FFF2-40B4-BE49-F238E27FC236}">
              <a16:creationId xmlns:a16="http://schemas.microsoft.com/office/drawing/2014/main" id="{4F950886-380D-4FC7-B972-6C569DD5751B}"/>
            </a:ext>
          </a:extLst>
        </xdr:cNvPr>
        <xdr:cNvSpPr txBox="1"/>
      </xdr:nvSpPr>
      <xdr:spPr>
        <a:xfrm>
          <a:off x="17355670" y="267148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195</a:t>
          </a:r>
        </a:p>
        <a:p>
          <a:pPr algn="ctr"/>
          <a:endParaRPr lang="es-MX" sz="1200"/>
        </a:p>
      </xdr:txBody>
    </xdr:sp>
    <xdr:clientData/>
  </xdr:twoCellAnchor>
  <xdr:twoCellAnchor>
    <xdr:from>
      <xdr:col>22</xdr:col>
      <xdr:colOff>-1</xdr:colOff>
      <xdr:row>15</xdr:row>
      <xdr:rowOff>179295</xdr:rowOff>
    </xdr:from>
    <xdr:to>
      <xdr:col>22</xdr:col>
      <xdr:colOff>493058</xdr:colOff>
      <xdr:row>17</xdr:row>
      <xdr:rowOff>44824</xdr:rowOff>
    </xdr:to>
    <xdr:sp macro="" textlink="">
      <xdr:nvSpPr>
        <xdr:cNvPr id="264" name="CuadroTexto 263">
          <a:extLst>
            <a:ext uri="{FF2B5EF4-FFF2-40B4-BE49-F238E27FC236}">
              <a16:creationId xmlns:a16="http://schemas.microsoft.com/office/drawing/2014/main" id="{2371731E-7214-4DA5-83A0-A97F3F4204AC}"/>
            </a:ext>
          </a:extLst>
        </xdr:cNvPr>
        <xdr:cNvSpPr txBox="1"/>
      </xdr:nvSpPr>
      <xdr:spPr>
        <a:xfrm>
          <a:off x="17355670" y="293146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486</a:t>
          </a:r>
        </a:p>
        <a:p>
          <a:pPr algn="ctr"/>
          <a:endParaRPr lang="es-MX" sz="1200"/>
        </a:p>
      </xdr:txBody>
    </xdr:sp>
    <xdr:clientData/>
  </xdr:twoCellAnchor>
  <xdr:twoCellAnchor>
    <xdr:from>
      <xdr:col>27</xdr:col>
      <xdr:colOff>304799</xdr:colOff>
      <xdr:row>18</xdr:row>
      <xdr:rowOff>179296</xdr:rowOff>
    </xdr:from>
    <xdr:to>
      <xdr:col>28</xdr:col>
      <xdr:colOff>8964</xdr:colOff>
      <xdr:row>19</xdr:row>
      <xdr:rowOff>224119</xdr:rowOff>
    </xdr:to>
    <xdr:sp macro="" textlink="">
      <xdr:nvSpPr>
        <xdr:cNvPr id="265" name="CuadroTexto 264">
          <a:extLst>
            <a:ext uri="{FF2B5EF4-FFF2-40B4-BE49-F238E27FC236}">
              <a16:creationId xmlns:a16="http://schemas.microsoft.com/office/drawing/2014/main" id="{9DCB5E8D-CAC5-4075-A157-207228CDDA64}"/>
            </a:ext>
          </a:extLst>
        </xdr:cNvPr>
        <xdr:cNvSpPr txBox="1"/>
      </xdr:nvSpPr>
      <xdr:spPr>
        <a:xfrm>
          <a:off x="21604940" y="353209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1784</a:t>
          </a:r>
        </a:p>
        <a:p>
          <a:pPr algn="ctr"/>
          <a:endParaRPr lang="es-MX" sz="1100"/>
        </a:p>
      </xdr:txBody>
    </xdr:sp>
    <xdr:clientData/>
  </xdr:twoCellAnchor>
  <xdr:twoCellAnchor>
    <xdr:from>
      <xdr:col>27</xdr:col>
      <xdr:colOff>304799</xdr:colOff>
      <xdr:row>17</xdr:row>
      <xdr:rowOff>2</xdr:rowOff>
    </xdr:from>
    <xdr:to>
      <xdr:col>28</xdr:col>
      <xdr:colOff>8964</xdr:colOff>
      <xdr:row>18</xdr:row>
      <xdr:rowOff>2</xdr:rowOff>
    </xdr:to>
    <xdr:sp macro="" textlink="">
      <xdr:nvSpPr>
        <xdr:cNvPr id="266" name="CuadroTexto 265">
          <a:extLst>
            <a:ext uri="{FF2B5EF4-FFF2-40B4-BE49-F238E27FC236}">
              <a16:creationId xmlns:a16="http://schemas.microsoft.com/office/drawing/2014/main" id="{29981BD3-F309-4A14-89AD-BE95F8C492E5}"/>
            </a:ext>
          </a:extLst>
        </xdr:cNvPr>
        <xdr:cNvSpPr txBox="1"/>
      </xdr:nvSpPr>
      <xdr:spPr>
        <a:xfrm>
          <a:off x="21604940" y="311972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1536</a:t>
          </a:r>
        </a:p>
        <a:p>
          <a:pPr algn="ctr"/>
          <a:endParaRPr lang="es-MX" sz="1100"/>
        </a:p>
      </xdr:txBody>
    </xdr:sp>
    <xdr:clientData/>
  </xdr:twoCellAnchor>
  <xdr:twoCellAnchor>
    <xdr:from>
      <xdr:col>29</xdr:col>
      <xdr:colOff>313764</xdr:colOff>
      <xdr:row>19</xdr:row>
      <xdr:rowOff>26895</xdr:rowOff>
    </xdr:from>
    <xdr:to>
      <xdr:col>30</xdr:col>
      <xdr:colOff>17928</xdr:colOff>
      <xdr:row>20</xdr:row>
      <xdr:rowOff>26895</xdr:rowOff>
    </xdr:to>
    <xdr:sp macro="" textlink="">
      <xdr:nvSpPr>
        <xdr:cNvPr id="267" name="CuadroTexto 266">
          <a:extLst>
            <a:ext uri="{FF2B5EF4-FFF2-40B4-BE49-F238E27FC236}">
              <a16:creationId xmlns:a16="http://schemas.microsoft.com/office/drawing/2014/main" id="{1F0B5AFA-960C-42D5-B686-DF1C229186F0}"/>
            </a:ext>
          </a:extLst>
        </xdr:cNvPr>
        <xdr:cNvSpPr txBox="1"/>
      </xdr:nvSpPr>
      <xdr:spPr>
        <a:xfrm>
          <a:off x="23191693" y="356795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1648</a:t>
          </a:r>
        </a:p>
        <a:p>
          <a:pPr algn="ctr"/>
          <a:endParaRPr lang="es-MX" sz="1100"/>
        </a:p>
      </xdr:txBody>
    </xdr:sp>
    <xdr:clientData/>
  </xdr:twoCellAnchor>
  <xdr:twoCellAnchor>
    <xdr:from>
      <xdr:col>29</xdr:col>
      <xdr:colOff>313765</xdr:colOff>
      <xdr:row>16</xdr:row>
      <xdr:rowOff>170332</xdr:rowOff>
    </xdr:from>
    <xdr:to>
      <xdr:col>30</xdr:col>
      <xdr:colOff>17929</xdr:colOff>
      <xdr:row>17</xdr:row>
      <xdr:rowOff>224120</xdr:rowOff>
    </xdr:to>
    <xdr:sp macro="" textlink="">
      <xdr:nvSpPr>
        <xdr:cNvPr id="268" name="CuadroTexto 267">
          <a:extLst>
            <a:ext uri="{FF2B5EF4-FFF2-40B4-BE49-F238E27FC236}">
              <a16:creationId xmlns:a16="http://schemas.microsoft.com/office/drawing/2014/main" id="{63E4180D-B4CA-4FFB-8D57-6984D9B9B811}"/>
            </a:ext>
          </a:extLst>
        </xdr:cNvPr>
        <xdr:cNvSpPr txBox="1"/>
      </xdr:nvSpPr>
      <xdr:spPr>
        <a:xfrm>
          <a:off x="23191694" y="311075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1421</a:t>
          </a:r>
        </a:p>
        <a:p>
          <a:pPr algn="ctr"/>
          <a:endParaRPr lang="es-MX" sz="1100"/>
        </a:p>
      </xdr:txBody>
    </xdr:sp>
    <xdr:clientData/>
  </xdr:twoCellAnchor>
  <xdr:twoCellAnchor>
    <xdr:from>
      <xdr:col>30</xdr:col>
      <xdr:colOff>394446</xdr:colOff>
      <xdr:row>17</xdr:row>
      <xdr:rowOff>161366</xdr:rowOff>
    </xdr:from>
    <xdr:to>
      <xdr:col>31</xdr:col>
      <xdr:colOff>98611</xdr:colOff>
      <xdr:row>18</xdr:row>
      <xdr:rowOff>161366</xdr:rowOff>
    </xdr:to>
    <xdr:sp macro="" textlink="">
      <xdr:nvSpPr>
        <xdr:cNvPr id="269" name="CuadroTexto 268">
          <a:extLst>
            <a:ext uri="{FF2B5EF4-FFF2-40B4-BE49-F238E27FC236}">
              <a16:creationId xmlns:a16="http://schemas.microsoft.com/office/drawing/2014/main" id="{C973A16A-EE32-4FFE-A409-B2932EF8FB7C}"/>
            </a:ext>
          </a:extLst>
        </xdr:cNvPr>
        <xdr:cNvSpPr txBox="1"/>
      </xdr:nvSpPr>
      <xdr:spPr>
        <a:xfrm>
          <a:off x="24061270" y="328108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394</a:t>
          </a:r>
        </a:p>
        <a:p>
          <a:pPr algn="ctr"/>
          <a:endParaRPr lang="es-MX" sz="1100"/>
        </a:p>
      </xdr:txBody>
    </xdr:sp>
    <xdr:clientData/>
  </xdr:twoCellAnchor>
  <xdr:twoCellAnchor>
    <xdr:from>
      <xdr:col>30</xdr:col>
      <xdr:colOff>394447</xdr:colOff>
      <xdr:row>18</xdr:row>
      <xdr:rowOff>179296</xdr:rowOff>
    </xdr:from>
    <xdr:to>
      <xdr:col>31</xdr:col>
      <xdr:colOff>98612</xdr:colOff>
      <xdr:row>19</xdr:row>
      <xdr:rowOff>224119</xdr:rowOff>
    </xdr:to>
    <xdr:sp macro="" textlink="">
      <xdr:nvSpPr>
        <xdr:cNvPr id="270" name="CuadroTexto 269">
          <a:extLst>
            <a:ext uri="{FF2B5EF4-FFF2-40B4-BE49-F238E27FC236}">
              <a16:creationId xmlns:a16="http://schemas.microsoft.com/office/drawing/2014/main" id="{F1508D3B-5295-4237-99DB-6766A4E0C874}"/>
            </a:ext>
          </a:extLst>
        </xdr:cNvPr>
        <xdr:cNvSpPr txBox="1"/>
      </xdr:nvSpPr>
      <xdr:spPr>
        <a:xfrm>
          <a:off x="24061271" y="353209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1205</a:t>
          </a:r>
        </a:p>
        <a:p>
          <a:pPr algn="ctr"/>
          <a:endParaRPr lang="es-MX" sz="1100"/>
        </a:p>
      </xdr:txBody>
    </xdr:sp>
    <xdr:clientData/>
  </xdr:twoCellAnchor>
  <xdr:twoCellAnchor>
    <xdr:from>
      <xdr:col>30</xdr:col>
      <xdr:colOff>394446</xdr:colOff>
      <xdr:row>20</xdr:row>
      <xdr:rowOff>17931</xdr:rowOff>
    </xdr:from>
    <xdr:to>
      <xdr:col>31</xdr:col>
      <xdr:colOff>98611</xdr:colOff>
      <xdr:row>21</xdr:row>
      <xdr:rowOff>62753</xdr:rowOff>
    </xdr:to>
    <xdr:sp macro="" textlink="">
      <xdr:nvSpPr>
        <xdr:cNvPr id="271" name="CuadroTexto 270">
          <a:extLst>
            <a:ext uri="{FF2B5EF4-FFF2-40B4-BE49-F238E27FC236}">
              <a16:creationId xmlns:a16="http://schemas.microsoft.com/office/drawing/2014/main" id="{B206DDC1-B952-44C7-B550-B7A23680B583}"/>
            </a:ext>
          </a:extLst>
        </xdr:cNvPr>
        <xdr:cNvSpPr txBox="1"/>
      </xdr:nvSpPr>
      <xdr:spPr>
        <a:xfrm>
          <a:off x="24061270" y="3792072"/>
          <a:ext cx="493059" cy="224116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49</a:t>
          </a:r>
        </a:p>
        <a:p>
          <a:pPr algn="ctr"/>
          <a:endParaRPr lang="es-MX" sz="1100"/>
        </a:p>
      </xdr:txBody>
    </xdr:sp>
    <xdr:clientData/>
  </xdr:twoCellAnchor>
  <xdr:twoCellAnchor>
    <xdr:from>
      <xdr:col>31</xdr:col>
      <xdr:colOff>466163</xdr:colOff>
      <xdr:row>9</xdr:row>
      <xdr:rowOff>152402</xdr:rowOff>
    </xdr:from>
    <xdr:to>
      <xdr:col>32</xdr:col>
      <xdr:colOff>170328</xdr:colOff>
      <xdr:row>11</xdr:row>
      <xdr:rowOff>17931</xdr:rowOff>
    </xdr:to>
    <xdr:sp macro="" textlink="">
      <xdr:nvSpPr>
        <xdr:cNvPr id="272" name="CuadroTexto 271">
          <a:extLst>
            <a:ext uri="{FF2B5EF4-FFF2-40B4-BE49-F238E27FC236}">
              <a16:creationId xmlns:a16="http://schemas.microsoft.com/office/drawing/2014/main" id="{7978595A-7346-40EF-B381-A61C42BB9425}"/>
            </a:ext>
          </a:extLst>
        </xdr:cNvPr>
        <xdr:cNvSpPr txBox="1"/>
      </xdr:nvSpPr>
      <xdr:spPr>
        <a:xfrm>
          <a:off x="24921881" y="179294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359</a:t>
          </a:r>
        </a:p>
        <a:p>
          <a:pPr algn="ctr"/>
          <a:endParaRPr lang="es-MX" sz="1100"/>
        </a:p>
      </xdr:txBody>
    </xdr:sp>
    <xdr:clientData/>
  </xdr:twoCellAnchor>
  <xdr:twoCellAnchor>
    <xdr:from>
      <xdr:col>31</xdr:col>
      <xdr:colOff>779928</xdr:colOff>
      <xdr:row>8</xdr:row>
      <xdr:rowOff>89649</xdr:rowOff>
    </xdr:from>
    <xdr:to>
      <xdr:col>32</xdr:col>
      <xdr:colOff>484093</xdr:colOff>
      <xdr:row>9</xdr:row>
      <xdr:rowOff>134472</xdr:rowOff>
    </xdr:to>
    <xdr:sp macro="" textlink="">
      <xdr:nvSpPr>
        <xdr:cNvPr id="273" name="CuadroTexto 272">
          <a:extLst>
            <a:ext uri="{FF2B5EF4-FFF2-40B4-BE49-F238E27FC236}">
              <a16:creationId xmlns:a16="http://schemas.microsoft.com/office/drawing/2014/main" id="{9285209C-9ABA-49E0-8EEF-78FBAC60F392}"/>
            </a:ext>
          </a:extLst>
        </xdr:cNvPr>
        <xdr:cNvSpPr txBox="1"/>
      </xdr:nvSpPr>
      <xdr:spPr>
        <a:xfrm>
          <a:off x="25235646" y="154193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130</a:t>
          </a:r>
        </a:p>
        <a:p>
          <a:pPr algn="ctr"/>
          <a:endParaRPr lang="es-MX" sz="1100"/>
        </a:p>
      </xdr:txBody>
    </xdr:sp>
    <xdr:clientData/>
  </xdr:twoCellAnchor>
  <xdr:twoCellAnchor>
    <xdr:from>
      <xdr:col>32</xdr:col>
      <xdr:colOff>376516</xdr:colOff>
      <xdr:row>9</xdr:row>
      <xdr:rowOff>170331</xdr:rowOff>
    </xdr:from>
    <xdr:to>
      <xdr:col>33</xdr:col>
      <xdr:colOff>286869</xdr:colOff>
      <xdr:row>11</xdr:row>
      <xdr:rowOff>35860</xdr:rowOff>
    </xdr:to>
    <xdr:sp macro="" textlink="">
      <xdr:nvSpPr>
        <xdr:cNvPr id="274" name="CuadroTexto 273">
          <a:extLst>
            <a:ext uri="{FF2B5EF4-FFF2-40B4-BE49-F238E27FC236}">
              <a16:creationId xmlns:a16="http://schemas.microsoft.com/office/drawing/2014/main" id="{A612060B-994A-4E11-902F-6BAA85BE5719}"/>
            </a:ext>
          </a:extLst>
        </xdr:cNvPr>
        <xdr:cNvSpPr txBox="1"/>
      </xdr:nvSpPr>
      <xdr:spPr>
        <a:xfrm>
          <a:off x="25621128" y="181087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285</a:t>
          </a:r>
        </a:p>
        <a:p>
          <a:pPr algn="ctr"/>
          <a:endParaRPr lang="es-MX" sz="1100"/>
        </a:p>
      </xdr:txBody>
    </xdr:sp>
    <xdr:clientData/>
  </xdr:twoCellAnchor>
  <xdr:twoCellAnchor>
    <xdr:from>
      <xdr:col>32</xdr:col>
      <xdr:colOff>286869</xdr:colOff>
      <xdr:row>26</xdr:row>
      <xdr:rowOff>107577</xdr:rowOff>
    </xdr:from>
    <xdr:to>
      <xdr:col>33</xdr:col>
      <xdr:colOff>197222</xdr:colOff>
      <xdr:row>27</xdr:row>
      <xdr:rowOff>161365</xdr:rowOff>
    </xdr:to>
    <xdr:sp macro="" textlink="">
      <xdr:nvSpPr>
        <xdr:cNvPr id="275" name="CuadroTexto 274">
          <a:extLst>
            <a:ext uri="{FF2B5EF4-FFF2-40B4-BE49-F238E27FC236}">
              <a16:creationId xmlns:a16="http://schemas.microsoft.com/office/drawing/2014/main" id="{3B5C994D-77CC-4E77-8250-D2CC24B04016}"/>
            </a:ext>
          </a:extLst>
        </xdr:cNvPr>
        <xdr:cNvSpPr txBox="1"/>
      </xdr:nvSpPr>
      <xdr:spPr>
        <a:xfrm>
          <a:off x="25531481" y="514574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45</a:t>
          </a:r>
        </a:p>
        <a:p>
          <a:pPr algn="ctr"/>
          <a:endParaRPr lang="es-MX" sz="1100"/>
        </a:p>
      </xdr:txBody>
    </xdr:sp>
    <xdr:clientData/>
  </xdr:twoCellAnchor>
  <xdr:twoCellAnchor>
    <xdr:from>
      <xdr:col>33</xdr:col>
      <xdr:colOff>98610</xdr:colOff>
      <xdr:row>28</xdr:row>
      <xdr:rowOff>8963</xdr:rowOff>
    </xdr:from>
    <xdr:to>
      <xdr:col>33</xdr:col>
      <xdr:colOff>591669</xdr:colOff>
      <xdr:row>29</xdr:row>
      <xdr:rowOff>35858</xdr:rowOff>
    </xdr:to>
    <xdr:sp macro="" textlink="">
      <xdr:nvSpPr>
        <xdr:cNvPr id="276" name="CuadroTexto 275">
          <a:extLst>
            <a:ext uri="{FF2B5EF4-FFF2-40B4-BE49-F238E27FC236}">
              <a16:creationId xmlns:a16="http://schemas.microsoft.com/office/drawing/2014/main" id="{235B8BFB-A2CD-4A1C-A7A5-F5BDD7D19FCD}"/>
            </a:ext>
          </a:extLst>
        </xdr:cNvPr>
        <xdr:cNvSpPr txBox="1"/>
      </xdr:nvSpPr>
      <xdr:spPr>
        <a:xfrm>
          <a:off x="25925928" y="5405716"/>
          <a:ext cx="493059" cy="20618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127</a:t>
          </a:r>
        </a:p>
        <a:p>
          <a:pPr algn="ctr"/>
          <a:endParaRPr lang="es-MX" sz="1100"/>
        </a:p>
      </xdr:txBody>
    </xdr:sp>
    <xdr:clientData/>
  </xdr:twoCellAnchor>
  <xdr:twoCellAnchor>
    <xdr:from>
      <xdr:col>33</xdr:col>
      <xdr:colOff>403410</xdr:colOff>
      <xdr:row>26</xdr:row>
      <xdr:rowOff>98610</xdr:rowOff>
    </xdr:from>
    <xdr:to>
      <xdr:col>34</xdr:col>
      <xdr:colOff>268940</xdr:colOff>
      <xdr:row>27</xdr:row>
      <xdr:rowOff>152398</xdr:rowOff>
    </xdr:to>
    <xdr:sp macro="" textlink="">
      <xdr:nvSpPr>
        <xdr:cNvPr id="277" name="CuadroTexto 276">
          <a:extLst>
            <a:ext uri="{FF2B5EF4-FFF2-40B4-BE49-F238E27FC236}">
              <a16:creationId xmlns:a16="http://schemas.microsoft.com/office/drawing/2014/main" id="{5099F7BC-315C-4C4D-9C3C-E5BBABC3CD35}"/>
            </a:ext>
          </a:extLst>
        </xdr:cNvPr>
        <xdr:cNvSpPr txBox="1"/>
      </xdr:nvSpPr>
      <xdr:spPr>
        <a:xfrm>
          <a:off x="26230728" y="513677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56</a:t>
          </a:r>
        </a:p>
        <a:p>
          <a:pPr algn="ctr"/>
          <a:endParaRPr lang="es-MX" sz="1100"/>
        </a:p>
      </xdr:txBody>
    </xdr:sp>
    <xdr:clientData/>
  </xdr:twoCellAnchor>
  <xdr:twoCellAnchor>
    <xdr:from>
      <xdr:col>31</xdr:col>
      <xdr:colOff>292571</xdr:colOff>
      <xdr:row>21</xdr:row>
      <xdr:rowOff>13451</xdr:rowOff>
    </xdr:from>
    <xdr:to>
      <xdr:col>31</xdr:col>
      <xdr:colOff>735104</xdr:colOff>
      <xdr:row>22</xdr:row>
      <xdr:rowOff>104313</xdr:rowOff>
    </xdr:to>
    <xdr:sp macro="" textlink="">
      <xdr:nvSpPr>
        <xdr:cNvPr id="278" name="Flecha: doblada hacia arriba 277">
          <a:extLst>
            <a:ext uri="{FF2B5EF4-FFF2-40B4-BE49-F238E27FC236}">
              <a16:creationId xmlns:a16="http://schemas.microsoft.com/office/drawing/2014/main" id="{4049CAE8-3A97-4CC6-983E-545784E542D1}"/>
            </a:ext>
          </a:extLst>
        </xdr:cNvPr>
        <xdr:cNvSpPr/>
      </xdr:nvSpPr>
      <xdr:spPr>
        <a:xfrm flipV="1">
          <a:off x="24748289" y="4020675"/>
          <a:ext cx="442533" cy="3239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35</xdr:col>
      <xdr:colOff>53787</xdr:colOff>
      <xdr:row>15</xdr:row>
      <xdr:rowOff>8966</xdr:rowOff>
    </xdr:from>
    <xdr:to>
      <xdr:col>35</xdr:col>
      <xdr:colOff>546846</xdr:colOff>
      <xdr:row>16</xdr:row>
      <xdr:rowOff>53789</xdr:rowOff>
    </xdr:to>
    <xdr:sp macro="" textlink="">
      <xdr:nvSpPr>
        <xdr:cNvPr id="279" name="CuadroTexto 278">
          <a:extLst>
            <a:ext uri="{FF2B5EF4-FFF2-40B4-BE49-F238E27FC236}">
              <a16:creationId xmlns:a16="http://schemas.microsoft.com/office/drawing/2014/main" id="{E377E67D-653D-42EC-9754-D0481F6C67F9}"/>
            </a:ext>
          </a:extLst>
        </xdr:cNvPr>
        <xdr:cNvSpPr txBox="1"/>
      </xdr:nvSpPr>
      <xdr:spPr>
        <a:xfrm>
          <a:off x="27297528" y="276113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132</a:t>
          </a:r>
        </a:p>
        <a:p>
          <a:pPr algn="ctr"/>
          <a:endParaRPr lang="es-MX" sz="1100"/>
        </a:p>
      </xdr:txBody>
    </xdr:sp>
    <xdr:clientData/>
  </xdr:twoCellAnchor>
  <xdr:twoCellAnchor>
    <xdr:from>
      <xdr:col>35</xdr:col>
      <xdr:colOff>44822</xdr:colOff>
      <xdr:row>16</xdr:row>
      <xdr:rowOff>98613</xdr:rowOff>
    </xdr:from>
    <xdr:to>
      <xdr:col>35</xdr:col>
      <xdr:colOff>537881</xdr:colOff>
      <xdr:row>17</xdr:row>
      <xdr:rowOff>152401</xdr:rowOff>
    </xdr:to>
    <xdr:sp macro="" textlink="">
      <xdr:nvSpPr>
        <xdr:cNvPr id="280" name="CuadroTexto 279">
          <a:extLst>
            <a:ext uri="{FF2B5EF4-FFF2-40B4-BE49-F238E27FC236}">
              <a16:creationId xmlns:a16="http://schemas.microsoft.com/office/drawing/2014/main" id="{343EE41B-8421-4908-9B5E-4C6F02566505}"/>
            </a:ext>
          </a:extLst>
        </xdr:cNvPr>
        <xdr:cNvSpPr txBox="1"/>
      </xdr:nvSpPr>
      <xdr:spPr>
        <a:xfrm>
          <a:off x="27288563" y="303903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1017</a:t>
          </a:r>
        </a:p>
        <a:p>
          <a:pPr algn="ctr"/>
          <a:endParaRPr lang="es-MX" sz="1100"/>
        </a:p>
      </xdr:txBody>
    </xdr:sp>
    <xdr:clientData/>
  </xdr:twoCellAnchor>
  <xdr:twoCellAnchor>
    <xdr:from>
      <xdr:col>35</xdr:col>
      <xdr:colOff>44822</xdr:colOff>
      <xdr:row>17</xdr:row>
      <xdr:rowOff>188260</xdr:rowOff>
    </xdr:from>
    <xdr:to>
      <xdr:col>35</xdr:col>
      <xdr:colOff>537881</xdr:colOff>
      <xdr:row>19</xdr:row>
      <xdr:rowOff>1</xdr:rowOff>
    </xdr:to>
    <xdr:sp macro="" textlink="">
      <xdr:nvSpPr>
        <xdr:cNvPr id="281" name="CuadroTexto 280">
          <a:extLst>
            <a:ext uri="{FF2B5EF4-FFF2-40B4-BE49-F238E27FC236}">
              <a16:creationId xmlns:a16="http://schemas.microsoft.com/office/drawing/2014/main" id="{D8493521-CC65-403B-AE19-3F55CF49E45E}"/>
            </a:ext>
          </a:extLst>
        </xdr:cNvPr>
        <xdr:cNvSpPr txBox="1"/>
      </xdr:nvSpPr>
      <xdr:spPr>
        <a:xfrm>
          <a:off x="27288563" y="330797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125</a:t>
          </a:r>
        </a:p>
        <a:p>
          <a:pPr algn="ctr"/>
          <a:endParaRPr lang="es-MX" sz="1100"/>
        </a:p>
      </xdr:txBody>
    </xdr:sp>
    <xdr:clientData/>
  </xdr:twoCellAnchor>
  <xdr:twoCellAnchor>
    <xdr:from>
      <xdr:col>47</xdr:col>
      <xdr:colOff>313763</xdr:colOff>
      <xdr:row>19</xdr:row>
      <xdr:rowOff>8966</xdr:rowOff>
    </xdr:from>
    <xdr:to>
      <xdr:col>48</xdr:col>
      <xdr:colOff>17928</xdr:colOff>
      <xdr:row>20</xdr:row>
      <xdr:rowOff>8966</xdr:rowOff>
    </xdr:to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C85AB912-F502-4690-A63D-8AF36F510494}"/>
            </a:ext>
          </a:extLst>
        </xdr:cNvPr>
        <xdr:cNvSpPr txBox="1"/>
      </xdr:nvSpPr>
      <xdr:spPr>
        <a:xfrm>
          <a:off x="36656681" y="355002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1412</a:t>
          </a:r>
        </a:p>
        <a:p>
          <a:pPr algn="ctr"/>
          <a:endParaRPr lang="es-MX" sz="1100"/>
        </a:p>
      </xdr:txBody>
    </xdr:sp>
    <xdr:clientData/>
  </xdr:twoCellAnchor>
  <xdr:twoCellAnchor>
    <xdr:from>
      <xdr:col>47</xdr:col>
      <xdr:colOff>313763</xdr:colOff>
      <xdr:row>17</xdr:row>
      <xdr:rowOff>3</xdr:rowOff>
    </xdr:from>
    <xdr:to>
      <xdr:col>48</xdr:col>
      <xdr:colOff>17928</xdr:colOff>
      <xdr:row>18</xdr:row>
      <xdr:rowOff>3</xdr:rowOff>
    </xdr:to>
    <xdr:sp macro="" textlink="">
      <xdr:nvSpPr>
        <xdr:cNvPr id="283" name="CuadroTexto 282">
          <a:extLst>
            <a:ext uri="{FF2B5EF4-FFF2-40B4-BE49-F238E27FC236}">
              <a16:creationId xmlns:a16="http://schemas.microsoft.com/office/drawing/2014/main" id="{B15BBE6E-946A-4DFA-B2AF-F392B8BAB0CC}"/>
            </a:ext>
          </a:extLst>
        </xdr:cNvPr>
        <xdr:cNvSpPr txBox="1"/>
      </xdr:nvSpPr>
      <xdr:spPr>
        <a:xfrm>
          <a:off x="36656681" y="311972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1538</a:t>
          </a:r>
        </a:p>
        <a:p>
          <a:pPr algn="ctr"/>
          <a:endParaRPr lang="es-MX" sz="1100"/>
        </a:p>
      </xdr:txBody>
    </xdr:sp>
    <xdr:clientData/>
  </xdr:twoCellAnchor>
  <xdr:twoCellAnchor>
    <xdr:from>
      <xdr:col>54</xdr:col>
      <xdr:colOff>8964</xdr:colOff>
      <xdr:row>19</xdr:row>
      <xdr:rowOff>98614</xdr:rowOff>
    </xdr:from>
    <xdr:to>
      <xdr:col>54</xdr:col>
      <xdr:colOff>502023</xdr:colOff>
      <xdr:row>20</xdr:row>
      <xdr:rowOff>98614</xdr:rowOff>
    </xdr:to>
    <xdr:sp macro="" textlink="">
      <xdr:nvSpPr>
        <xdr:cNvPr id="284" name="CuadroTexto 283">
          <a:extLst>
            <a:ext uri="{FF2B5EF4-FFF2-40B4-BE49-F238E27FC236}">
              <a16:creationId xmlns:a16="http://schemas.microsoft.com/office/drawing/2014/main" id="{D0820A9A-A870-4CDA-8777-5F2154AB762B}"/>
            </a:ext>
          </a:extLst>
        </xdr:cNvPr>
        <xdr:cNvSpPr txBox="1"/>
      </xdr:nvSpPr>
      <xdr:spPr>
        <a:xfrm>
          <a:off x="41874140" y="363967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1412</a:t>
          </a:r>
        </a:p>
        <a:p>
          <a:pPr algn="ctr"/>
          <a:endParaRPr lang="es-MX" sz="1100"/>
        </a:p>
      </xdr:txBody>
    </xdr:sp>
    <xdr:clientData/>
  </xdr:twoCellAnchor>
  <xdr:twoCellAnchor>
    <xdr:from>
      <xdr:col>54</xdr:col>
      <xdr:colOff>71716</xdr:colOff>
      <xdr:row>23</xdr:row>
      <xdr:rowOff>3</xdr:rowOff>
    </xdr:from>
    <xdr:to>
      <xdr:col>54</xdr:col>
      <xdr:colOff>564775</xdr:colOff>
      <xdr:row>24</xdr:row>
      <xdr:rowOff>26897</xdr:rowOff>
    </xdr:to>
    <xdr:sp macro="" textlink="">
      <xdr:nvSpPr>
        <xdr:cNvPr id="285" name="CuadroTexto 284">
          <a:extLst>
            <a:ext uri="{FF2B5EF4-FFF2-40B4-BE49-F238E27FC236}">
              <a16:creationId xmlns:a16="http://schemas.microsoft.com/office/drawing/2014/main" id="{909A7369-BB32-47D9-B5C0-5A89949429FD}"/>
            </a:ext>
          </a:extLst>
        </xdr:cNvPr>
        <xdr:cNvSpPr txBox="1"/>
      </xdr:nvSpPr>
      <xdr:spPr>
        <a:xfrm>
          <a:off x="41936892" y="447339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1130</a:t>
          </a:r>
        </a:p>
        <a:p>
          <a:pPr algn="ctr"/>
          <a:endParaRPr lang="es-MX" sz="1100"/>
        </a:p>
      </xdr:txBody>
    </xdr:sp>
    <xdr:clientData/>
  </xdr:twoCellAnchor>
  <xdr:twoCellAnchor>
    <xdr:from>
      <xdr:col>54</xdr:col>
      <xdr:colOff>609599</xdr:colOff>
      <xdr:row>23</xdr:row>
      <xdr:rowOff>8968</xdr:rowOff>
    </xdr:from>
    <xdr:to>
      <xdr:col>55</xdr:col>
      <xdr:colOff>484093</xdr:colOff>
      <xdr:row>24</xdr:row>
      <xdr:rowOff>35862</xdr:rowOff>
    </xdr:to>
    <xdr:sp macro="" textlink="">
      <xdr:nvSpPr>
        <xdr:cNvPr id="286" name="CuadroTexto 285">
          <a:extLst>
            <a:ext uri="{FF2B5EF4-FFF2-40B4-BE49-F238E27FC236}">
              <a16:creationId xmlns:a16="http://schemas.microsoft.com/office/drawing/2014/main" id="{68B33E31-99ED-4EE1-B2CF-C51A6C5A8AEA}"/>
            </a:ext>
          </a:extLst>
        </xdr:cNvPr>
        <xdr:cNvSpPr txBox="1"/>
      </xdr:nvSpPr>
      <xdr:spPr>
        <a:xfrm>
          <a:off x="42474775" y="448235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603</a:t>
          </a:r>
        </a:p>
        <a:p>
          <a:pPr algn="ctr"/>
          <a:endParaRPr lang="es-MX" sz="1100"/>
        </a:p>
      </xdr:txBody>
    </xdr:sp>
    <xdr:clientData/>
  </xdr:twoCellAnchor>
  <xdr:twoCellAnchor>
    <xdr:from>
      <xdr:col>55</xdr:col>
      <xdr:colOff>519952</xdr:colOff>
      <xdr:row>12</xdr:row>
      <xdr:rowOff>8967</xdr:rowOff>
    </xdr:from>
    <xdr:to>
      <xdr:col>56</xdr:col>
      <xdr:colOff>403411</xdr:colOff>
      <xdr:row>13</xdr:row>
      <xdr:rowOff>62755</xdr:rowOff>
    </xdr:to>
    <xdr:sp macro="" textlink="">
      <xdr:nvSpPr>
        <xdr:cNvPr id="287" name="CuadroTexto 286">
          <a:extLst>
            <a:ext uri="{FF2B5EF4-FFF2-40B4-BE49-F238E27FC236}">
              <a16:creationId xmlns:a16="http://schemas.microsoft.com/office/drawing/2014/main" id="{8C7F49FB-3889-4072-84CC-A0CACA68CF04}"/>
            </a:ext>
          </a:extLst>
        </xdr:cNvPr>
        <xdr:cNvSpPr txBox="1"/>
      </xdr:nvSpPr>
      <xdr:spPr>
        <a:xfrm>
          <a:off x="43003693" y="219635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360</a:t>
          </a:r>
        </a:p>
        <a:p>
          <a:pPr algn="ctr"/>
          <a:endParaRPr lang="es-MX" sz="1100"/>
        </a:p>
      </xdr:txBody>
    </xdr:sp>
    <xdr:clientData/>
  </xdr:twoCellAnchor>
  <xdr:twoCellAnchor>
    <xdr:from>
      <xdr:col>56</xdr:col>
      <xdr:colOff>421340</xdr:colOff>
      <xdr:row>12</xdr:row>
      <xdr:rowOff>8967</xdr:rowOff>
    </xdr:from>
    <xdr:to>
      <xdr:col>57</xdr:col>
      <xdr:colOff>322728</xdr:colOff>
      <xdr:row>13</xdr:row>
      <xdr:rowOff>62755</xdr:rowOff>
    </xdr:to>
    <xdr:sp macro="" textlink="">
      <xdr:nvSpPr>
        <xdr:cNvPr id="288" name="CuadroTexto 287">
          <a:extLst>
            <a:ext uri="{FF2B5EF4-FFF2-40B4-BE49-F238E27FC236}">
              <a16:creationId xmlns:a16="http://schemas.microsoft.com/office/drawing/2014/main" id="{F64016E6-4948-4722-B52A-A091631D98B3}"/>
            </a:ext>
          </a:extLst>
        </xdr:cNvPr>
        <xdr:cNvSpPr txBox="1"/>
      </xdr:nvSpPr>
      <xdr:spPr>
        <a:xfrm>
          <a:off x="43514681" y="219635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458</a:t>
          </a:r>
        </a:p>
        <a:p>
          <a:pPr algn="ctr"/>
          <a:endParaRPr lang="es-MX" sz="1100"/>
        </a:p>
      </xdr:txBody>
    </xdr:sp>
    <xdr:clientData/>
  </xdr:twoCellAnchor>
  <xdr:twoCellAnchor>
    <xdr:from>
      <xdr:col>56</xdr:col>
      <xdr:colOff>340666</xdr:colOff>
      <xdr:row>13</xdr:row>
      <xdr:rowOff>116540</xdr:rowOff>
    </xdr:from>
    <xdr:to>
      <xdr:col>56</xdr:col>
      <xdr:colOff>502028</xdr:colOff>
      <xdr:row>15</xdr:row>
      <xdr:rowOff>143435</xdr:rowOff>
    </xdr:to>
    <xdr:sp macro="" textlink="">
      <xdr:nvSpPr>
        <xdr:cNvPr id="289" name="Flecha: hacia la izquierda 288">
          <a:extLst>
            <a:ext uri="{FF2B5EF4-FFF2-40B4-BE49-F238E27FC236}">
              <a16:creationId xmlns:a16="http://schemas.microsoft.com/office/drawing/2014/main" id="{EE7C7A22-0CE2-4474-82D5-ECEA7A1B4ABD}"/>
            </a:ext>
          </a:extLst>
        </xdr:cNvPr>
        <xdr:cNvSpPr/>
      </xdr:nvSpPr>
      <xdr:spPr>
        <a:xfrm rot="16200000">
          <a:off x="43308499" y="2608730"/>
          <a:ext cx="412378" cy="16136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58</xdr:col>
      <xdr:colOff>89646</xdr:colOff>
      <xdr:row>22</xdr:row>
      <xdr:rowOff>23629</xdr:rowOff>
    </xdr:from>
    <xdr:to>
      <xdr:col>58</xdr:col>
      <xdr:colOff>332907</xdr:colOff>
      <xdr:row>24</xdr:row>
      <xdr:rowOff>26894</xdr:rowOff>
    </xdr:to>
    <xdr:sp macro="" textlink="">
      <xdr:nvSpPr>
        <xdr:cNvPr id="290" name="Flecha: doblada hacia arriba 289">
          <a:extLst>
            <a:ext uri="{FF2B5EF4-FFF2-40B4-BE49-F238E27FC236}">
              <a16:creationId xmlns:a16="http://schemas.microsoft.com/office/drawing/2014/main" id="{90E1F8E1-F30D-43FB-843E-E31A4EFA7A07}"/>
            </a:ext>
          </a:extLst>
        </xdr:cNvPr>
        <xdr:cNvSpPr/>
      </xdr:nvSpPr>
      <xdr:spPr>
        <a:xfrm rot="16200000" flipV="1">
          <a:off x="44311515" y="4363572"/>
          <a:ext cx="442535" cy="24326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56</xdr:col>
      <xdr:colOff>35858</xdr:colOff>
      <xdr:row>24</xdr:row>
      <xdr:rowOff>44827</xdr:rowOff>
    </xdr:from>
    <xdr:to>
      <xdr:col>56</xdr:col>
      <xdr:colOff>528917</xdr:colOff>
      <xdr:row>25</xdr:row>
      <xdr:rowOff>98614</xdr:rowOff>
    </xdr:to>
    <xdr:sp macro="" textlink="">
      <xdr:nvSpPr>
        <xdr:cNvPr id="291" name="CuadroTexto 290">
          <a:extLst>
            <a:ext uri="{FF2B5EF4-FFF2-40B4-BE49-F238E27FC236}">
              <a16:creationId xmlns:a16="http://schemas.microsoft.com/office/drawing/2014/main" id="{50296A58-06C9-4DD2-BEC1-BA1275016EE7}"/>
            </a:ext>
          </a:extLst>
        </xdr:cNvPr>
        <xdr:cNvSpPr txBox="1"/>
      </xdr:nvSpPr>
      <xdr:spPr>
        <a:xfrm>
          <a:off x="43129199" y="472440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178</a:t>
          </a:r>
        </a:p>
        <a:p>
          <a:pPr algn="ctr"/>
          <a:endParaRPr lang="es-MX" sz="1100"/>
        </a:p>
      </xdr:txBody>
    </xdr:sp>
    <xdr:clientData/>
  </xdr:twoCellAnchor>
  <xdr:twoCellAnchor>
    <xdr:from>
      <xdr:col>54</xdr:col>
      <xdr:colOff>8964</xdr:colOff>
      <xdr:row>17</xdr:row>
      <xdr:rowOff>62755</xdr:rowOff>
    </xdr:from>
    <xdr:to>
      <xdr:col>54</xdr:col>
      <xdr:colOff>502023</xdr:colOff>
      <xdr:row>18</xdr:row>
      <xdr:rowOff>62755</xdr:rowOff>
    </xdr:to>
    <xdr:sp macro="" textlink="">
      <xdr:nvSpPr>
        <xdr:cNvPr id="292" name="CuadroTexto 291">
          <a:extLst>
            <a:ext uri="{FF2B5EF4-FFF2-40B4-BE49-F238E27FC236}">
              <a16:creationId xmlns:a16="http://schemas.microsoft.com/office/drawing/2014/main" id="{7633E146-D99E-454D-9E93-6BEFC6479180}"/>
            </a:ext>
          </a:extLst>
        </xdr:cNvPr>
        <xdr:cNvSpPr txBox="1"/>
      </xdr:nvSpPr>
      <xdr:spPr>
        <a:xfrm>
          <a:off x="41874140" y="318247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1518</a:t>
          </a:r>
        </a:p>
        <a:p>
          <a:pPr algn="ctr"/>
          <a:endParaRPr lang="es-MX" sz="1100"/>
        </a:p>
      </xdr:txBody>
    </xdr:sp>
    <xdr:clientData/>
  </xdr:twoCellAnchor>
  <xdr:twoCellAnchor>
    <xdr:from>
      <xdr:col>57</xdr:col>
      <xdr:colOff>44822</xdr:colOff>
      <xdr:row>24</xdr:row>
      <xdr:rowOff>53792</xdr:rowOff>
    </xdr:from>
    <xdr:to>
      <xdr:col>57</xdr:col>
      <xdr:colOff>537881</xdr:colOff>
      <xdr:row>25</xdr:row>
      <xdr:rowOff>107579</xdr:rowOff>
    </xdr:to>
    <xdr:sp macro="" textlink="">
      <xdr:nvSpPr>
        <xdr:cNvPr id="293" name="CuadroTexto 292">
          <a:extLst>
            <a:ext uri="{FF2B5EF4-FFF2-40B4-BE49-F238E27FC236}">
              <a16:creationId xmlns:a16="http://schemas.microsoft.com/office/drawing/2014/main" id="{B1368C82-1D7D-4594-910F-61037F130B76}"/>
            </a:ext>
          </a:extLst>
        </xdr:cNvPr>
        <xdr:cNvSpPr txBox="1"/>
      </xdr:nvSpPr>
      <xdr:spPr>
        <a:xfrm>
          <a:off x="43729834" y="473336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429</a:t>
          </a:r>
        </a:p>
        <a:p>
          <a:pPr algn="ctr"/>
          <a:endParaRPr lang="es-MX" sz="1100"/>
        </a:p>
      </xdr:txBody>
    </xdr:sp>
    <xdr:clientData/>
  </xdr:twoCellAnchor>
  <xdr:twoCellAnchor>
    <xdr:from>
      <xdr:col>58</xdr:col>
      <xdr:colOff>8963</xdr:colOff>
      <xdr:row>24</xdr:row>
      <xdr:rowOff>53792</xdr:rowOff>
    </xdr:from>
    <xdr:to>
      <xdr:col>58</xdr:col>
      <xdr:colOff>502022</xdr:colOff>
      <xdr:row>25</xdr:row>
      <xdr:rowOff>107579</xdr:rowOff>
    </xdr:to>
    <xdr:sp macro="" textlink="">
      <xdr:nvSpPr>
        <xdr:cNvPr id="294" name="CuadroTexto 293">
          <a:extLst>
            <a:ext uri="{FF2B5EF4-FFF2-40B4-BE49-F238E27FC236}">
              <a16:creationId xmlns:a16="http://schemas.microsoft.com/office/drawing/2014/main" id="{C2DE0289-45A7-4A27-91C7-4554D8E655D6}"/>
            </a:ext>
          </a:extLst>
        </xdr:cNvPr>
        <xdr:cNvSpPr txBox="1"/>
      </xdr:nvSpPr>
      <xdr:spPr>
        <a:xfrm>
          <a:off x="44330469" y="473336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534</a:t>
          </a:r>
        </a:p>
        <a:p>
          <a:pPr algn="ctr"/>
          <a:endParaRPr lang="es-MX" sz="1100"/>
        </a:p>
      </xdr:txBody>
    </xdr:sp>
    <xdr:clientData/>
  </xdr:twoCellAnchor>
  <xdr:twoCellAnchor>
    <xdr:from>
      <xdr:col>59</xdr:col>
      <xdr:colOff>35858</xdr:colOff>
      <xdr:row>16</xdr:row>
      <xdr:rowOff>8968</xdr:rowOff>
    </xdr:from>
    <xdr:to>
      <xdr:col>59</xdr:col>
      <xdr:colOff>528917</xdr:colOff>
      <xdr:row>17</xdr:row>
      <xdr:rowOff>62756</xdr:rowOff>
    </xdr:to>
    <xdr:sp macro="" textlink="">
      <xdr:nvSpPr>
        <xdr:cNvPr id="295" name="CuadroTexto 294">
          <a:extLst>
            <a:ext uri="{FF2B5EF4-FFF2-40B4-BE49-F238E27FC236}">
              <a16:creationId xmlns:a16="http://schemas.microsoft.com/office/drawing/2014/main" id="{DC125FB4-ED39-4376-862C-35CA68A2DCCC}"/>
            </a:ext>
          </a:extLst>
        </xdr:cNvPr>
        <xdr:cNvSpPr txBox="1"/>
      </xdr:nvSpPr>
      <xdr:spPr>
        <a:xfrm>
          <a:off x="45146258" y="294939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1202</a:t>
          </a:r>
        </a:p>
        <a:p>
          <a:pPr algn="ctr"/>
          <a:endParaRPr lang="es-MX" sz="1100"/>
        </a:p>
      </xdr:txBody>
    </xdr:sp>
    <xdr:clientData/>
  </xdr:twoCellAnchor>
  <xdr:twoCellAnchor>
    <xdr:from>
      <xdr:col>59</xdr:col>
      <xdr:colOff>35858</xdr:colOff>
      <xdr:row>17</xdr:row>
      <xdr:rowOff>107579</xdr:rowOff>
    </xdr:from>
    <xdr:to>
      <xdr:col>59</xdr:col>
      <xdr:colOff>528917</xdr:colOff>
      <xdr:row>18</xdr:row>
      <xdr:rowOff>107579</xdr:rowOff>
    </xdr:to>
    <xdr:sp macro="" textlink="">
      <xdr:nvSpPr>
        <xdr:cNvPr id="296" name="CuadroTexto 295">
          <a:extLst>
            <a:ext uri="{FF2B5EF4-FFF2-40B4-BE49-F238E27FC236}">
              <a16:creationId xmlns:a16="http://schemas.microsoft.com/office/drawing/2014/main" id="{FFF7005A-DB54-41F2-A5BC-B781E9FC0599}"/>
            </a:ext>
          </a:extLst>
        </xdr:cNvPr>
        <xdr:cNvSpPr txBox="1"/>
      </xdr:nvSpPr>
      <xdr:spPr>
        <a:xfrm>
          <a:off x="45146258" y="322729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335</a:t>
          </a:r>
        </a:p>
        <a:p>
          <a:pPr algn="ctr"/>
          <a:endParaRPr lang="es-MX" sz="1100"/>
        </a:p>
      </xdr:txBody>
    </xdr:sp>
    <xdr:clientData/>
  </xdr:twoCellAnchor>
  <xdr:twoCellAnchor>
    <xdr:from>
      <xdr:col>60</xdr:col>
      <xdr:colOff>286872</xdr:colOff>
      <xdr:row>19</xdr:row>
      <xdr:rowOff>3</xdr:rowOff>
    </xdr:from>
    <xdr:to>
      <xdr:col>60</xdr:col>
      <xdr:colOff>779931</xdr:colOff>
      <xdr:row>20</xdr:row>
      <xdr:rowOff>3</xdr:rowOff>
    </xdr:to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1B02257C-46AD-444D-8C56-8A4FD999E9A2}"/>
            </a:ext>
          </a:extLst>
        </xdr:cNvPr>
        <xdr:cNvSpPr txBox="1"/>
      </xdr:nvSpPr>
      <xdr:spPr>
        <a:xfrm>
          <a:off x="46186166" y="354106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806</a:t>
          </a:r>
        </a:p>
        <a:p>
          <a:pPr algn="ctr"/>
          <a:endParaRPr lang="es-MX" sz="1100"/>
        </a:p>
      </xdr:txBody>
    </xdr:sp>
    <xdr:clientData/>
  </xdr:twoCellAnchor>
  <xdr:twoCellAnchor>
    <xdr:from>
      <xdr:col>60</xdr:col>
      <xdr:colOff>286872</xdr:colOff>
      <xdr:row>20</xdr:row>
      <xdr:rowOff>26898</xdr:rowOff>
    </xdr:from>
    <xdr:to>
      <xdr:col>60</xdr:col>
      <xdr:colOff>779931</xdr:colOff>
      <xdr:row>21</xdr:row>
      <xdr:rowOff>44824</xdr:rowOff>
    </xdr:to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B8E9AB66-9822-45C2-BB46-CA5AB50C9CB0}"/>
            </a:ext>
          </a:extLst>
        </xdr:cNvPr>
        <xdr:cNvSpPr txBox="1"/>
      </xdr:nvSpPr>
      <xdr:spPr>
        <a:xfrm>
          <a:off x="46186166" y="3801039"/>
          <a:ext cx="493059" cy="1972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581</a:t>
          </a:r>
        </a:p>
        <a:p>
          <a:pPr algn="ctr"/>
          <a:endParaRPr lang="es-MX" sz="1100"/>
        </a:p>
      </xdr:txBody>
    </xdr:sp>
    <xdr:clientData/>
  </xdr:twoCellAnchor>
  <xdr:twoCellAnchor>
    <xdr:from>
      <xdr:col>60</xdr:col>
      <xdr:colOff>295837</xdr:colOff>
      <xdr:row>21</xdr:row>
      <xdr:rowOff>62757</xdr:rowOff>
    </xdr:from>
    <xdr:to>
      <xdr:col>61</xdr:col>
      <xdr:colOff>2</xdr:colOff>
      <xdr:row>22</xdr:row>
      <xdr:rowOff>62757</xdr:rowOff>
    </xdr:to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42800175-F3FD-4C7F-9FE3-1D5379E6C6D3}"/>
            </a:ext>
          </a:extLst>
        </xdr:cNvPr>
        <xdr:cNvSpPr txBox="1"/>
      </xdr:nvSpPr>
      <xdr:spPr>
        <a:xfrm>
          <a:off x="46195131" y="406998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179</a:t>
          </a:r>
        </a:p>
        <a:p>
          <a:pPr algn="ctr"/>
          <a:endParaRPr lang="es-MX" sz="1100"/>
        </a:p>
      </xdr:txBody>
    </xdr:sp>
    <xdr:clientData/>
  </xdr:twoCellAnchor>
  <xdr:twoCellAnchor>
    <xdr:from>
      <xdr:col>59</xdr:col>
      <xdr:colOff>80681</xdr:colOff>
      <xdr:row>20</xdr:row>
      <xdr:rowOff>8970</xdr:rowOff>
    </xdr:from>
    <xdr:to>
      <xdr:col>59</xdr:col>
      <xdr:colOff>573740</xdr:colOff>
      <xdr:row>21</xdr:row>
      <xdr:rowOff>53789</xdr:rowOff>
    </xdr:to>
    <xdr:sp macro="" textlink="">
      <xdr:nvSpPr>
        <xdr:cNvPr id="297" name="CuadroTexto 296">
          <a:extLst>
            <a:ext uri="{FF2B5EF4-FFF2-40B4-BE49-F238E27FC236}">
              <a16:creationId xmlns:a16="http://schemas.microsoft.com/office/drawing/2014/main" id="{418CA587-5F6D-4039-8BD5-6344485E8F86}"/>
            </a:ext>
          </a:extLst>
        </xdr:cNvPr>
        <xdr:cNvSpPr txBox="1"/>
      </xdr:nvSpPr>
      <xdr:spPr>
        <a:xfrm>
          <a:off x="45191081" y="3783111"/>
          <a:ext cx="493059" cy="22411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1245</a:t>
          </a:r>
        </a:p>
        <a:p>
          <a:pPr algn="ctr"/>
          <a:endParaRPr lang="es-MX" sz="1100"/>
        </a:p>
      </xdr:txBody>
    </xdr:sp>
    <xdr:clientData/>
  </xdr:twoCellAnchor>
  <xdr:twoCellAnchor>
    <xdr:from>
      <xdr:col>60</xdr:col>
      <xdr:colOff>322729</xdr:colOff>
      <xdr:row>16</xdr:row>
      <xdr:rowOff>170333</xdr:rowOff>
    </xdr:from>
    <xdr:to>
      <xdr:col>61</xdr:col>
      <xdr:colOff>26894</xdr:colOff>
      <xdr:row>17</xdr:row>
      <xdr:rowOff>224121</xdr:rowOff>
    </xdr:to>
    <xdr:sp macro="" textlink="">
      <xdr:nvSpPr>
        <xdr:cNvPr id="298" name="CuadroTexto 297">
          <a:extLst>
            <a:ext uri="{FF2B5EF4-FFF2-40B4-BE49-F238E27FC236}">
              <a16:creationId xmlns:a16="http://schemas.microsoft.com/office/drawing/2014/main" id="{22BCE8B4-FAE4-46FF-98E4-7081E34DAB73}"/>
            </a:ext>
          </a:extLst>
        </xdr:cNvPr>
        <xdr:cNvSpPr txBox="1"/>
      </xdr:nvSpPr>
      <xdr:spPr>
        <a:xfrm>
          <a:off x="46222023" y="311075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1335</a:t>
          </a:r>
        </a:p>
        <a:p>
          <a:pPr algn="ctr"/>
          <a:endParaRPr lang="es-MX" sz="1100"/>
        </a:p>
      </xdr:txBody>
    </xdr:sp>
    <xdr:clientData/>
  </xdr:twoCellAnchor>
  <xdr:twoCellAnchor>
    <xdr:from>
      <xdr:col>61</xdr:col>
      <xdr:colOff>510988</xdr:colOff>
      <xdr:row>24</xdr:row>
      <xdr:rowOff>125507</xdr:rowOff>
    </xdr:from>
    <xdr:to>
      <xdr:col>62</xdr:col>
      <xdr:colOff>215153</xdr:colOff>
      <xdr:row>26</xdr:row>
      <xdr:rowOff>0</xdr:rowOff>
    </xdr:to>
    <xdr:sp macro="" textlink="">
      <xdr:nvSpPr>
        <xdr:cNvPr id="299" name="CuadroTexto 298">
          <a:extLst>
            <a:ext uri="{FF2B5EF4-FFF2-40B4-BE49-F238E27FC236}">
              <a16:creationId xmlns:a16="http://schemas.microsoft.com/office/drawing/2014/main" id="{06FB263F-5B26-4F53-8F2A-74D52C0607C9}"/>
            </a:ext>
          </a:extLst>
        </xdr:cNvPr>
        <xdr:cNvSpPr txBox="1"/>
      </xdr:nvSpPr>
      <xdr:spPr>
        <a:xfrm>
          <a:off x="47199176" y="480508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352</a:t>
          </a:r>
        </a:p>
        <a:p>
          <a:pPr algn="ctr"/>
          <a:endParaRPr lang="es-MX" sz="1100"/>
        </a:p>
      </xdr:txBody>
    </xdr:sp>
    <xdr:clientData/>
  </xdr:twoCellAnchor>
  <xdr:twoCellAnchor>
    <xdr:from>
      <xdr:col>62</xdr:col>
      <xdr:colOff>152400</xdr:colOff>
      <xdr:row>26</xdr:row>
      <xdr:rowOff>26895</xdr:rowOff>
    </xdr:from>
    <xdr:to>
      <xdr:col>62</xdr:col>
      <xdr:colOff>645459</xdr:colOff>
      <xdr:row>27</xdr:row>
      <xdr:rowOff>80683</xdr:rowOff>
    </xdr:to>
    <xdr:sp macro="" textlink="">
      <xdr:nvSpPr>
        <xdr:cNvPr id="300" name="CuadroTexto 299">
          <a:extLst>
            <a:ext uri="{FF2B5EF4-FFF2-40B4-BE49-F238E27FC236}">
              <a16:creationId xmlns:a16="http://schemas.microsoft.com/office/drawing/2014/main" id="{48108D3D-47C3-452E-BBBA-B0FCC314A15C}"/>
            </a:ext>
          </a:extLst>
        </xdr:cNvPr>
        <xdr:cNvSpPr txBox="1"/>
      </xdr:nvSpPr>
      <xdr:spPr>
        <a:xfrm>
          <a:off x="47629482" y="506506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383</a:t>
          </a:r>
        </a:p>
        <a:p>
          <a:pPr algn="ctr"/>
          <a:endParaRPr lang="es-MX" sz="1100"/>
        </a:p>
      </xdr:txBody>
    </xdr:sp>
    <xdr:clientData/>
  </xdr:twoCellAnchor>
  <xdr:twoCellAnchor>
    <xdr:from>
      <xdr:col>62</xdr:col>
      <xdr:colOff>528918</xdr:colOff>
      <xdr:row>24</xdr:row>
      <xdr:rowOff>125508</xdr:rowOff>
    </xdr:from>
    <xdr:to>
      <xdr:col>63</xdr:col>
      <xdr:colOff>233083</xdr:colOff>
      <xdr:row>26</xdr:row>
      <xdr:rowOff>1</xdr:rowOff>
    </xdr:to>
    <xdr:sp macro="" textlink="">
      <xdr:nvSpPr>
        <xdr:cNvPr id="301" name="CuadroTexto 300">
          <a:extLst>
            <a:ext uri="{FF2B5EF4-FFF2-40B4-BE49-F238E27FC236}">
              <a16:creationId xmlns:a16="http://schemas.microsoft.com/office/drawing/2014/main" id="{292AECF6-553D-4842-A5B7-68BDCB3A5FB4}"/>
            </a:ext>
          </a:extLst>
        </xdr:cNvPr>
        <xdr:cNvSpPr txBox="1"/>
      </xdr:nvSpPr>
      <xdr:spPr>
        <a:xfrm>
          <a:off x="48006000" y="480508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45</a:t>
          </a:r>
        </a:p>
        <a:p>
          <a:pPr algn="ctr"/>
          <a:endParaRPr lang="es-MX" sz="1100"/>
        </a:p>
      </xdr:txBody>
    </xdr:sp>
    <xdr:clientData/>
  </xdr:twoCellAnchor>
  <xdr:twoCellAnchor>
    <xdr:from>
      <xdr:col>64</xdr:col>
      <xdr:colOff>564775</xdr:colOff>
      <xdr:row>18</xdr:row>
      <xdr:rowOff>26895</xdr:rowOff>
    </xdr:from>
    <xdr:to>
      <xdr:col>65</xdr:col>
      <xdr:colOff>268940</xdr:colOff>
      <xdr:row>19</xdr:row>
      <xdr:rowOff>71718</xdr:rowOff>
    </xdr:to>
    <xdr:sp macro="" textlink="">
      <xdr:nvSpPr>
        <xdr:cNvPr id="302" name="CuadroTexto 301">
          <a:extLst>
            <a:ext uri="{FF2B5EF4-FFF2-40B4-BE49-F238E27FC236}">
              <a16:creationId xmlns:a16="http://schemas.microsoft.com/office/drawing/2014/main" id="{74D92947-5FCE-401B-A385-044671C19E2B}"/>
            </a:ext>
          </a:extLst>
        </xdr:cNvPr>
        <xdr:cNvSpPr txBox="1"/>
      </xdr:nvSpPr>
      <xdr:spPr>
        <a:xfrm>
          <a:off x="49619646" y="337969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87</a:t>
          </a:r>
        </a:p>
        <a:p>
          <a:pPr algn="ctr"/>
          <a:endParaRPr lang="es-MX" sz="1100"/>
        </a:p>
      </xdr:txBody>
    </xdr:sp>
    <xdr:clientData/>
  </xdr:twoCellAnchor>
  <xdr:twoCellAnchor>
    <xdr:from>
      <xdr:col>64</xdr:col>
      <xdr:colOff>573740</xdr:colOff>
      <xdr:row>16</xdr:row>
      <xdr:rowOff>152400</xdr:rowOff>
    </xdr:from>
    <xdr:to>
      <xdr:col>65</xdr:col>
      <xdr:colOff>277905</xdr:colOff>
      <xdr:row>17</xdr:row>
      <xdr:rowOff>206188</xdr:rowOff>
    </xdr:to>
    <xdr:sp macro="" textlink="">
      <xdr:nvSpPr>
        <xdr:cNvPr id="303" name="CuadroTexto 302">
          <a:extLst>
            <a:ext uri="{FF2B5EF4-FFF2-40B4-BE49-F238E27FC236}">
              <a16:creationId xmlns:a16="http://schemas.microsoft.com/office/drawing/2014/main" id="{23D928C2-75C2-42B0-899E-6B6E2EBCD3C7}"/>
            </a:ext>
          </a:extLst>
        </xdr:cNvPr>
        <xdr:cNvSpPr txBox="1"/>
      </xdr:nvSpPr>
      <xdr:spPr>
        <a:xfrm>
          <a:off x="49628611" y="309282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831</a:t>
          </a:r>
        </a:p>
        <a:p>
          <a:pPr algn="ctr"/>
          <a:endParaRPr lang="es-MX" sz="1100"/>
        </a:p>
      </xdr:txBody>
    </xdr:sp>
    <xdr:clientData/>
  </xdr:twoCellAnchor>
  <xdr:twoCellAnchor>
    <xdr:from>
      <xdr:col>65</xdr:col>
      <xdr:colOff>761998</xdr:colOff>
      <xdr:row>18</xdr:row>
      <xdr:rowOff>143437</xdr:rowOff>
    </xdr:from>
    <xdr:to>
      <xdr:col>66</xdr:col>
      <xdr:colOff>466163</xdr:colOff>
      <xdr:row>19</xdr:row>
      <xdr:rowOff>180640</xdr:rowOff>
    </xdr:to>
    <xdr:sp macro="" textlink="">
      <xdr:nvSpPr>
        <xdr:cNvPr id="304" name="CuadroTexto 303">
          <a:extLst>
            <a:ext uri="{FF2B5EF4-FFF2-40B4-BE49-F238E27FC236}">
              <a16:creationId xmlns:a16="http://schemas.microsoft.com/office/drawing/2014/main" id="{5C25BD91-BCF7-4AF6-AA92-677BCCBC16E2}"/>
            </a:ext>
          </a:extLst>
        </xdr:cNvPr>
        <xdr:cNvSpPr txBox="1"/>
      </xdr:nvSpPr>
      <xdr:spPr>
        <a:xfrm>
          <a:off x="50605763" y="3496237"/>
          <a:ext cx="493059" cy="22546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436</a:t>
          </a:r>
        </a:p>
        <a:p>
          <a:pPr algn="ctr"/>
          <a:endParaRPr lang="es-MX" sz="1100"/>
        </a:p>
      </xdr:txBody>
    </xdr:sp>
    <xdr:clientData/>
  </xdr:twoCellAnchor>
  <xdr:twoCellAnchor>
    <xdr:from>
      <xdr:col>65</xdr:col>
      <xdr:colOff>770963</xdr:colOff>
      <xdr:row>20</xdr:row>
      <xdr:rowOff>26896</xdr:rowOff>
    </xdr:from>
    <xdr:to>
      <xdr:col>66</xdr:col>
      <xdr:colOff>475128</xdr:colOff>
      <xdr:row>21</xdr:row>
      <xdr:rowOff>76200</xdr:rowOff>
    </xdr:to>
    <xdr:sp macro="" textlink="">
      <xdr:nvSpPr>
        <xdr:cNvPr id="305" name="CuadroTexto 304">
          <a:extLst>
            <a:ext uri="{FF2B5EF4-FFF2-40B4-BE49-F238E27FC236}">
              <a16:creationId xmlns:a16="http://schemas.microsoft.com/office/drawing/2014/main" id="{3C1D5145-6153-4E23-B4F1-E67CDC3687B6}"/>
            </a:ext>
          </a:extLst>
        </xdr:cNvPr>
        <xdr:cNvSpPr txBox="1"/>
      </xdr:nvSpPr>
      <xdr:spPr>
        <a:xfrm>
          <a:off x="50542263" y="3798796"/>
          <a:ext cx="491565" cy="22710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867</a:t>
          </a:r>
        </a:p>
        <a:p>
          <a:pPr algn="ctr"/>
          <a:endParaRPr lang="es-MX" sz="1100"/>
        </a:p>
      </xdr:txBody>
    </xdr:sp>
    <xdr:clientData/>
  </xdr:twoCellAnchor>
  <xdr:twoCellAnchor>
    <xdr:from>
      <xdr:col>68</xdr:col>
      <xdr:colOff>421341</xdr:colOff>
      <xdr:row>16</xdr:row>
      <xdr:rowOff>143434</xdr:rowOff>
    </xdr:from>
    <xdr:to>
      <xdr:col>69</xdr:col>
      <xdr:colOff>125506</xdr:colOff>
      <xdr:row>17</xdr:row>
      <xdr:rowOff>197222</xdr:rowOff>
    </xdr:to>
    <xdr:sp macro="" textlink="">
      <xdr:nvSpPr>
        <xdr:cNvPr id="306" name="CuadroTexto 305">
          <a:extLst>
            <a:ext uri="{FF2B5EF4-FFF2-40B4-BE49-F238E27FC236}">
              <a16:creationId xmlns:a16="http://schemas.microsoft.com/office/drawing/2014/main" id="{18F11234-609A-40E9-9ABE-5110602434B3}"/>
            </a:ext>
          </a:extLst>
        </xdr:cNvPr>
        <xdr:cNvSpPr txBox="1"/>
      </xdr:nvSpPr>
      <xdr:spPr>
        <a:xfrm>
          <a:off x="52318023" y="308385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64</a:t>
          </a:r>
        </a:p>
        <a:p>
          <a:pPr algn="ctr"/>
          <a:endParaRPr lang="es-MX" sz="1100"/>
        </a:p>
      </xdr:txBody>
    </xdr:sp>
    <xdr:clientData/>
  </xdr:twoCellAnchor>
  <xdr:twoCellAnchor>
    <xdr:from>
      <xdr:col>66</xdr:col>
      <xdr:colOff>268942</xdr:colOff>
      <xdr:row>38</xdr:row>
      <xdr:rowOff>17930</xdr:rowOff>
    </xdr:from>
    <xdr:to>
      <xdr:col>67</xdr:col>
      <xdr:colOff>125507</xdr:colOff>
      <xdr:row>39</xdr:row>
      <xdr:rowOff>71718</xdr:rowOff>
    </xdr:to>
    <xdr:sp macro="" textlink="">
      <xdr:nvSpPr>
        <xdr:cNvPr id="307" name="CuadroTexto 306">
          <a:extLst>
            <a:ext uri="{FF2B5EF4-FFF2-40B4-BE49-F238E27FC236}">
              <a16:creationId xmlns:a16="http://schemas.microsoft.com/office/drawing/2014/main" id="{0C57E6F2-442F-4B63-8BBA-EB68F33F9858}"/>
            </a:ext>
          </a:extLst>
        </xdr:cNvPr>
        <xdr:cNvSpPr txBox="1"/>
      </xdr:nvSpPr>
      <xdr:spPr>
        <a:xfrm>
          <a:off x="50901601" y="720762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66</a:t>
          </a:r>
        </a:p>
        <a:p>
          <a:pPr algn="ctr"/>
          <a:endParaRPr lang="es-MX" sz="1100"/>
        </a:p>
      </xdr:txBody>
    </xdr:sp>
    <xdr:clientData/>
  </xdr:twoCellAnchor>
  <xdr:twoCellAnchor>
    <xdr:from>
      <xdr:col>67</xdr:col>
      <xdr:colOff>188259</xdr:colOff>
      <xdr:row>38</xdr:row>
      <xdr:rowOff>8965</xdr:rowOff>
    </xdr:from>
    <xdr:to>
      <xdr:col>68</xdr:col>
      <xdr:colOff>53789</xdr:colOff>
      <xdr:row>39</xdr:row>
      <xdr:rowOff>62753</xdr:rowOff>
    </xdr:to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7BD570E9-8315-4393-B789-AE9AE75EA577}"/>
            </a:ext>
          </a:extLst>
        </xdr:cNvPr>
        <xdr:cNvSpPr txBox="1"/>
      </xdr:nvSpPr>
      <xdr:spPr>
        <a:xfrm>
          <a:off x="51457412" y="7198659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396</a:t>
          </a:r>
        </a:p>
        <a:p>
          <a:pPr algn="ctr"/>
          <a:endParaRPr lang="es-MX" sz="1100"/>
        </a:p>
      </xdr:txBody>
    </xdr:sp>
    <xdr:clientData/>
  </xdr:twoCellAnchor>
  <xdr:twoCellAnchor>
    <xdr:from>
      <xdr:col>65</xdr:col>
      <xdr:colOff>89647</xdr:colOff>
      <xdr:row>43</xdr:row>
      <xdr:rowOff>71718</xdr:rowOff>
    </xdr:from>
    <xdr:to>
      <xdr:col>65</xdr:col>
      <xdr:colOff>582706</xdr:colOff>
      <xdr:row>44</xdr:row>
      <xdr:rowOff>125506</xdr:rowOff>
    </xdr:to>
    <xdr:sp macro="" textlink="">
      <xdr:nvSpPr>
        <xdr:cNvPr id="309" name="CuadroTexto 308">
          <a:extLst>
            <a:ext uri="{FF2B5EF4-FFF2-40B4-BE49-F238E27FC236}">
              <a16:creationId xmlns:a16="http://schemas.microsoft.com/office/drawing/2014/main" id="{8D39569D-5BDB-4B56-9E47-9249D9EF2783}"/>
            </a:ext>
          </a:extLst>
        </xdr:cNvPr>
        <xdr:cNvSpPr txBox="1"/>
      </xdr:nvSpPr>
      <xdr:spPr>
        <a:xfrm>
          <a:off x="49933412" y="815788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33</a:t>
          </a:r>
        </a:p>
        <a:p>
          <a:pPr algn="ctr"/>
          <a:endParaRPr lang="es-MX" sz="1100"/>
        </a:p>
      </xdr:txBody>
    </xdr:sp>
    <xdr:clientData/>
  </xdr:twoCellAnchor>
  <xdr:twoCellAnchor>
    <xdr:from>
      <xdr:col>65</xdr:col>
      <xdr:colOff>80683</xdr:colOff>
      <xdr:row>45</xdr:row>
      <xdr:rowOff>1</xdr:rowOff>
    </xdr:from>
    <xdr:to>
      <xdr:col>65</xdr:col>
      <xdr:colOff>573742</xdr:colOff>
      <xdr:row>46</xdr:row>
      <xdr:rowOff>53789</xdr:rowOff>
    </xdr:to>
    <xdr:sp macro="" textlink="">
      <xdr:nvSpPr>
        <xdr:cNvPr id="310" name="CuadroTexto 309">
          <a:extLst>
            <a:ext uri="{FF2B5EF4-FFF2-40B4-BE49-F238E27FC236}">
              <a16:creationId xmlns:a16="http://schemas.microsoft.com/office/drawing/2014/main" id="{223657BA-40E2-4AEA-9B32-49D2F67A3467}"/>
            </a:ext>
          </a:extLst>
        </xdr:cNvPr>
        <xdr:cNvSpPr txBox="1"/>
      </xdr:nvSpPr>
      <xdr:spPr>
        <a:xfrm>
          <a:off x="49924448" y="844475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34</a:t>
          </a:r>
        </a:p>
        <a:p>
          <a:pPr algn="ctr"/>
          <a:endParaRPr lang="es-MX" sz="1100"/>
        </a:p>
      </xdr:txBody>
    </xdr:sp>
    <xdr:clientData/>
  </xdr:twoCellAnchor>
  <xdr:twoCellAnchor>
    <xdr:from>
      <xdr:col>66</xdr:col>
      <xdr:colOff>609600</xdr:colOff>
      <xdr:row>49</xdr:row>
      <xdr:rowOff>44824</xdr:rowOff>
    </xdr:from>
    <xdr:to>
      <xdr:col>67</xdr:col>
      <xdr:colOff>466165</xdr:colOff>
      <xdr:row>50</xdr:row>
      <xdr:rowOff>98611</xdr:rowOff>
    </xdr:to>
    <xdr:sp macro="" textlink="">
      <xdr:nvSpPr>
        <xdr:cNvPr id="311" name="CuadroTexto 310">
          <a:extLst>
            <a:ext uri="{FF2B5EF4-FFF2-40B4-BE49-F238E27FC236}">
              <a16:creationId xmlns:a16="http://schemas.microsoft.com/office/drawing/2014/main" id="{29E23F30-6D81-4B75-BA9A-E86FAFCD63E5}"/>
            </a:ext>
          </a:extLst>
        </xdr:cNvPr>
        <xdr:cNvSpPr txBox="1"/>
      </xdr:nvSpPr>
      <xdr:spPr>
        <a:xfrm>
          <a:off x="51242259" y="920675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100</a:t>
          </a:r>
        </a:p>
        <a:p>
          <a:pPr algn="ctr"/>
          <a:endParaRPr lang="es-MX" sz="1100"/>
        </a:p>
      </xdr:txBody>
    </xdr:sp>
    <xdr:clientData/>
  </xdr:twoCellAnchor>
  <xdr:twoCellAnchor>
    <xdr:from>
      <xdr:col>67</xdr:col>
      <xdr:colOff>502024</xdr:colOff>
      <xdr:row>49</xdr:row>
      <xdr:rowOff>44823</xdr:rowOff>
    </xdr:from>
    <xdr:to>
      <xdr:col>68</xdr:col>
      <xdr:colOff>367554</xdr:colOff>
      <xdr:row>50</xdr:row>
      <xdr:rowOff>98610</xdr:rowOff>
    </xdr:to>
    <xdr:sp macro="" textlink="">
      <xdr:nvSpPr>
        <xdr:cNvPr id="312" name="CuadroTexto 311">
          <a:extLst>
            <a:ext uri="{FF2B5EF4-FFF2-40B4-BE49-F238E27FC236}">
              <a16:creationId xmlns:a16="http://schemas.microsoft.com/office/drawing/2014/main" id="{A72E3C33-CEC5-4F4F-8DAB-AE5845B95DDE}"/>
            </a:ext>
          </a:extLst>
        </xdr:cNvPr>
        <xdr:cNvSpPr txBox="1"/>
      </xdr:nvSpPr>
      <xdr:spPr>
        <a:xfrm>
          <a:off x="51771177" y="920675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432</a:t>
          </a:r>
        </a:p>
        <a:p>
          <a:pPr algn="ctr"/>
          <a:endParaRPr lang="es-MX" sz="1100"/>
        </a:p>
      </xdr:txBody>
    </xdr:sp>
    <xdr:clientData/>
  </xdr:twoCellAnchor>
  <xdr:twoCellAnchor>
    <xdr:from>
      <xdr:col>62</xdr:col>
      <xdr:colOff>466165</xdr:colOff>
      <xdr:row>46</xdr:row>
      <xdr:rowOff>8964</xdr:rowOff>
    </xdr:from>
    <xdr:to>
      <xdr:col>63</xdr:col>
      <xdr:colOff>170330</xdr:colOff>
      <xdr:row>47</xdr:row>
      <xdr:rowOff>62752</xdr:rowOff>
    </xdr:to>
    <xdr:sp macro="" textlink="">
      <xdr:nvSpPr>
        <xdr:cNvPr id="313" name="CuadroTexto 312">
          <a:extLst>
            <a:ext uri="{FF2B5EF4-FFF2-40B4-BE49-F238E27FC236}">
              <a16:creationId xmlns:a16="http://schemas.microsoft.com/office/drawing/2014/main" id="{2C4E3FBE-0A6B-454D-BBA6-ECC32FA7C4C2}"/>
            </a:ext>
          </a:extLst>
        </xdr:cNvPr>
        <xdr:cNvSpPr txBox="1"/>
      </xdr:nvSpPr>
      <xdr:spPr>
        <a:xfrm>
          <a:off x="47943247" y="863301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402</a:t>
          </a:r>
        </a:p>
        <a:p>
          <a:pPr algn="ctr"/>
          <a:endParaRPr lang="es-MX" sz="1100"/>
        </a:p>
      </xdr:txBody>
    </xdr:sp>
    <xdr:clientData/>
  </xdr:twoCellAnchor>
  <xdr:twoCellAnchor>
    <xdr:from>
      <xdr:col>69</xdr:col>
      <xdr:colOff>62754</xdr:colOff>
      <xdr:row>41</xdr:row>
      <xdr:rowOff>152399</xdr:rowOff>
    </xdr:from>
    <xdr:to>
      <xdr:col>69</xdr:col>
      <xdr:colOff>555813</xdr:colOff>
      <xdr:row>43</xdr:row>
      <xdr:rowOff>26892</xdr:rowOff>
    </xdr:to>
    <xdr:sp macro="" textlink="">
      <xdr:nvSpPr>
        <xdr:cNvPr id="314" name="CuadroTexto 313">
          <a:extLst>
            <a:ext uri="{FF2B5EF4-FFF2-40B4-BE49-F238E27FC236}">
              <a16:creationId xmlns:a16="http://schemas.microsoft.com/office/drawing/2014/main" id="{6FDE4F62-C0E5-4547-A3FC-DCC264639177}"/>
            </a:ext>
          </a:extLst>
        </xdr:cNvPr>
        <xdr:cNvSpPr txBox="1"/>
      </xdr:nvSpPr>
      <xdr:spPr>
        <a:xfrm>
          <a:off x="52748330" y="787997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83</a:t>
          </a:r>
        </a:p>
        <a:p>
          <a:pPr algn="ctr"/>
          <a:endParaRPr lang="es-MX" sz="1100"/>
        </a:p>
      </xdr:txBody>
    </xdr:sp>
    <xdr:clientData/>
  </xdr:twoCellAnchor>
  <xdr:twoCellAnchor>
    <xdr:from>
      <xdr:col>69</xdr:col>
      <xdr:colOff>62754</xdr:colOff>
      <xdr:row>43</xdr:row>
      <xdr:rowOff>62752</xdr:rowOff>
    </xdr:from>
    <xdr:to>
      <xdr:col>69</xdr:col>
      <xdr:colOff>555813</xdr:colOff>
      <xdr:row>44</xdr:row>
      <xdr:rowOff>116540</xdr:rowOff>
    </xdr:to>
    <xdr:sp macro="" textlink="">
      <xdr:nvSpPr>
        <xdr:cNvPr id="315" name="CuadroTexto 314">
          <a:extLst>
            <a:ext uri="{FF2B5EF4-FFF2-40B4-BE49-F238E27FC236}">
              <a16:creationId xmlns:a16="http://schemas.microsoft.com/office/drawing/2014/main" id="{A7525088-F17C-487A-8E28-90A5C782FAD3}"/>
            </a:ext>
          </a:extLst>
        </xdr:cNvPr>
        <xdr:cNvSpPr txBox="1"/>
      </xdr:nvSpPr>
      <xdr:spPr>
        <a:xfrm>
          <a:off x="52748330" y="814891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212</a:t>
          </a:r>
        </a:p>
        <a:p>
          <a:pPr algn="ctr"/>
          <a:endParaRPr lang="es-MX" sz="1100"/>
        </a:p>
      </xdr:txBody>
    </xdr:sp>
    <xdr:clientData/>
  </xdr:twoCellAnchor>
  <xdr:twoCellAnchor>
    <xdr:from>
      <xdr:col>69</xdr:col>
      <xdr:colOff>62754</xdr:colOff>
      <xdr:row>44</xdr:row>
      <xdr:rowOff>161365</xdr:rowOff>
    </xdr:from>
    <xdr:to>
      <xdr:col>69</xdr:col>
      <xdr:colOff>555813</xdr:colOff>
      <xdr:row>46</xdr:row>
      <xdr:rowOff>35859</xdr:rowOff>
    </xdr:to>
    <xdr:sp macro="" textlink="">
      <xdr:nvSpPr>
        <xdr:cNvPr id="316" name="CuadroTexto 315">
          <a:extLst>
            <a:ext uri="{FF2B5EF4-FFF2-40B4-BE49-F238E27FC236}">
              <a16:creationId xmlns:a16="http://schemas.microsoft.com/office/drawing/2014/main" id="{3EE9E75D-B9D5-418F-ACCA-92D4C2F00FC7}"/>
            </a:ext>
          </a:extLst>
        </xdr:cNvPr>
        <xdr:cNvSpPr txBox="1"/>
      </xdr:nvSpPr>
      <xdr:spPr>
        <a:xfrm>
          <a:off x="52748330" y="842682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99</a:t>
          </a:r>
        </a:p>
        <a:p>
          <a:pPr algn="ctr"/>
          <a:endParaRPr lang="es-MX" sz="1100"/>
        </a:p>
      </xdr:txBody>
    </xdr:sp>
    <xdr:clientData/>
  </xdr:twoCellAnchor>
  <xdr:twoCellAnchor>
    <xdr:from>
      <xdr:col>75</xdr:col>
      <xdr:colOff>457200</xdr:colOff>
      <xdr:row>43</xdr:row>
      <xdr:rowOff>62753</xdr:rowOff>
    </xdr:from>
    <xdr:to>
      <xdr:col>76</xdr:col>
      <xdr:colOff>161365</xdr:colOff>
      <xdr:row>44</xdr:row>
      <xdr:rowOff>116541</xdr:rowOff>
    </xdr:to>
    <xdr:sp macro="" textlink="">
      <xdr:nvSpPr>
        <xdr:cNvPr id="317" name="CuadroTexto 316">
          <a:extLst>
            <a:ext uri="{FF2B5EF4-FFF2-40B4-BE49-F238E27FC236}">
              <a16:creationId xmlns:a16="http://schemas.microsoft.com/office/drawing/2014/main" id="{8039E0EE-5D74-4236-80F5-9146423D2CBF}"/>
            </a:ext>
          </a:extLst>
        </xdr:cNvPr>
        <xdr:cNvSpPr txBox="1"/>
      </xdr:nvSpPr>
      <xdr:spPr>
        <a:xfrm>
          <a:off x="57876141" y="814891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394</a:t>
          </a:r>
        </a:p>
        <a:p>
          <a:pPr algn="ctr"/>
          <a:endParaRPr lang="es-MX" sz="1100"/>
        </a:p>
      </xdr:txBody>
    </xdr:sp>
    <xdr:clientData/>
  </xdr:twoCellAnchor>
  <xdr:twoCellAnchor>
    <xdr:from>
      <xdr:col>68</xdr:col>
      <xdr:colOff>251012</xdr:colOff>
      <xdr:row>11</xdr:row>
      <xdr:rowOff>0</xdr:rowOff>
    </xdr:from>
    <xdr:to>
      <xdr:col>68</xdr:col>
      <xdr:colOff>744071</xdr:colOff>
      <xdr:row>12</xdr:row>
      <xdr:rowOff>53788</xdr:rowOff>
    </xdr:to>
    <xdr:sp macro="" textlink="">
      <xdr:nvSpPr>
        <xdr:cNvPr id="318" name="CuadroTexto 317">
          <a:extLst>
            <a:ext uri="{FF2B5EF4-FFF2-40B4-BE49-F238E27FC236}">
              <a16:creationId xmlns:a16="http://schemas.microsoft.com/office/drawing/2014/main" id="{8550F466-3859-4E14-B4AA-30C1EDBA731B}"/>
            </a:ext>
          </a:extLst>
        </xdr:cNvPr>
        <xdr:cNvSpPr txBox="1"/>
      </xdr:nvSpPr>
      <xdr:spPr>
        <a:xfrm>
          <a:off x="52147694" y="200809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436</a:t>
          </a:r>
        </a:p>
        <a:p>
          <a:pPr algn="ctr"/>
          <a:endParaRPr lang="es-MX" sz="1100"/>
        </a:p>
      </xdr:txBody>
    </xdr:sp>
    <xdr:clientData/>
  </xdr:twoCellAnchor>
  <xdr:twoCellAnchor>
    <xdr:from>
      <xdr:col>71</xdr:col>
      <xdr:colOff>430304</xdr:colOff>
      <xdr:row>12</xdr:row>
      <xdr:rowOff>125501</xdr:rowOff>
    </xdr:from>
    <xdr:to>
      <xdr:col>72</xdr:col>
      <xdr:colOff>134469</xdr:colOff>
      <xdr:row>13</xdr:row>
      <xdr:rowOff>179289</xdr:rowOff>
    </xdr:to>
    <xdr:sp macro="" textlink="">
      <xdr:nvSpPr>
        <xdr:cNvPr id="319" name="CuadroTexto 318">
          <a:extLst>
            <a:ext uri="{FF2B5EF4-FFF2-40B4-BE49-F238E27FC236}">
              <a16:creationId xmlns:a16="http://schemas.microsoft.com/office/drawing/2014/main" id="{D3A27B79-C814-4225-91E7-9C799CA28C15}"/>
            </a:ext>
          </a:extLst>
        </xdr:cNvPr>
        <xdr:cNvSpPr txBox="1"/>
      </xdr:nvSpPr>
      <xdr:spPr>
        <a:xfrm>
          <a:off x="54693669" y="2312889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56</a:t>
          </a:r>
        </a:p>
        <a:p>
          <a:pPr algn="ctr"/>
          <a:endParaRPr lang="es-MX" sz="1100"/>
        </a:p>
      </xdr:txBody>
    </xdr:sp>
    <xdr:clientData/>
  </xdr:twoCellAnchor>
  <xdr:twoCellAnchor>
    <xdr:from>
      <xdr:col>75</xdr:col>
      <xdr:colOff>304799</xdr:colOff>
      <xdr:row>11</xdr:row>
      <xdr:rowOff>44823</xdr:rowOff>
    </xdr:from>
    <xdr:to>
      <xdr:col>76</xdr:col>
      <xdr:colOff>8964</xdr:colOff>
      <xdr:row>12</xdr:row>
      <xdr:rowOff>98611</xdr:rowOff>
    </xdr:to>
    <xdr:sp macro="" textlink="">
      <xdr:nvSpPr>
        <xdr:cNvPr id="320" name="CuadroTexto 319">
          <a:extLst>
            <a:ext uri="{FF2B5EF4-FFF2-40B4-BE49-F238E27FC236}">
              <a16:creationId xmlns:a16="http://schemas.microsoft.com/office/drawing/2014/main" id="{6A9B7AB9-4DDF-45F8-A9A9-BF6C9718181D}"/>
            </a:ext>
          </a:extLst>
        </xdr:cNvPr>
        <xdr:cNvSpPr txBox="1"/>
      </xdr:nvSpPr>
      <xdr:spPr>
        <a:xfrm>
          <a:off x="57723740" y="205291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379</a:t>
          </a:r>
        </a:p>
        <a:p>
          <a:pPr algn="ctr"/>
          <a:endParaRPr lang="es-MX" sz="1100"/>
        </a:p>
      </xdr:txBody>
    </xdr:sp>
    <xdr:clientData/>
  </xdr:twoCellAnchor>
  <xdr:twoCellAnchor>
    <xdr:from>
      <xdr:col>75</xdr:col>
      <xdr:colOff>304800</xdr:colOff>
      <xdr:row>9</xdr:row>
      <xdr:rowOff>125505</xdr:rowOff>
    </xdr:from>
    <xdr:to>
      <xdr:col>76</xdr:col>
      <xdr:colOff>8965</xdr:colOff>
      <xdr:row>10</xdr:row>
      <xdr:rowOff>179293</xdr:rowOff>
    </xdr:to>
    <xdr:sp macro="" textlink="">
      <xdr:nvSpPr>
        <xdr:cNvPr id="321" name="CuadroTexto 320">
          <a:extLst>
            <a:ext uri="{FF2B5EF4-FFF2-40B4-BE49-F238E27FC236}">
              <a16:creationId xmlns:a16="http://schemas.microsoft.com/office/drawing/2014/main" id="{3219BE14-F2C7-4A8F-BAA1-44C34E82609C}"/>
            </a:ext>
          </a:extLst>
        </xdr:cNvPr>
        <xdr:cNvSpPr txBox="1"/>
      </xdr:nvSpPr>
      <xdr:spPr>
        <a:xfrm>
          <a:off x="57723741" y="176604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104</a:t>
          </a:r>
        </a:p>
        <a:p>
          <a:pPr algn="ctr"/>
          <a:endParaRPr lang="es-MX" sz="1100"/>
        </a:p>
      </xdr:txBody>
    </xdr:sp>
    <xdr:clientData/>
  </xdr:twoCellAnchor>
  <xdr:twoCellAnchor>
    <xdr:from>
      <xdr:col>71</xdr:col>
      <xdr:colOff>430304</xdr:colOff>
      <xdr:row>11</xdr:row>
      <xdr:rowOff>17925</xdr:rowOff>
    </xdr:from>
    <xdr:to>
      <xdr:col>72</xdr:col>
      <xdr:colOff>134469</xdr:colOff>
      <xdr:row>12</xdr:row>
      <xdr:rowOff>71713</xdr:rowOff>
    </xdr:to>
    <xdr:sp macro="" textlink="">
      <xdr:nvSpPr>
        <xdr:cNvPr id="323" name="CuadroTexto 322">
          <a:extLst>
            <a:ext uri="{FF2B5EF4-FFF2-40B4-BE49-F238E27FC236}">
              <a16:creationId xmlns:a16="http://schemas.microsoft.com/office/drawing/2014/main" id="{CD4250B1-D6D7-43DA-9F47-CBD785763263}"/>
            </a:ext>
          </a:extLst>
        </xdr:cNvPr>
        <xdr:cNvSpPr txBox="1"/>
      </xdr:nvSpPr>
      <xdr:spPr>
        <a:xfrm>
          <a:off x="54693669" y="2026019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380</a:t>
          </a:r>
        </a:p>
        <a:p>
          <a:pPr algn="ctr"/>
          <a:endParaRPr lang="es-MX" sz="1100"/>
        </a:p>
      </xdr:txBody>
    </xdr:sp>
    <xdr:clientData/>
  </xdr:twoCellAnchor>
  <xdr:twoCellAnchor>
    <xdr:from>
      <xdr:col>73</xdr:col>
      <xdr:colOff>161364</xdr:colOff>
      <xdr:row>15</xdr:row>
      <xdr:rowOff>125506</xdr:rowOff>
    </xdr:from>
    <xdr:to>
      <xdr:col>73</xdr:col>
      <xdr:colOff>654423</xdr:colOff>
      <xdr:row>16</xdr:row>
      <xdr:rowOff>170329</xdr:rowOff>
    </xdr:to>
    <xdr:sp macro="" textlink="">
      <xdr:nvSpPr>
        <xdr:cNvPr id="324" name="CuadroTexto 323">
          <a:extLst>
            <a:ext uri="{FF2B5EF4-FFF2-40B4-BE49-F238E27FC236}">
              <a16:creationId xmlns:a16="http://schemas.microsoft.com/office/drawing/2014/main" id="{E39DEA71-AA37-43A6-B5A2-EB20098A1BB5}"/>
            </a:ext>
          </a:extLst>
        </xdr:cNvPr>
        <xdr:cNvSpPr txBox="1"/>
      </xdr:nvSpPr>
      <xdr:spPr>
        <a:xfrm>
          <a:off x="56002517" y="287767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249</a:t>
          </a:r>
        </a:p>
        <a:p>
          <a:pPr algn="ctr"/>
          <a:endParaRPr lang="es-MX" sz="1100"/>
        </a:p>
      </xdr:txBody>
    </xdr:sp>
    <xdr:clientData/>
  </xdr:twoCellAnchor>
  <xdr:twoCellAnchor>
    <xdr:from>
      <xdr:col>73</xdr:col>
      <xdr:colOff>699247</xdr:colOff>
      <xdr:row>15</xdr:row>
      <xdr:rowOff>125506</xdr:rowOff>
    </xdr:from>
    <xdr:to>
      <xdr:col>74</xdr:col>
      <xdr:colOff>403412</xdr:colOff>
      <xdr:row>16</xdr:row>
      <xdr:rowOff>170329</xdr:rowOff>
    </xdr:to>
    <xdr:sp macro="" textlink="">
      <xdr:nvSpPr>
        <xdr:cNvPr id="325" name="CuadroTexto 324">
          <a:extLst>
            <a:ext uri="{FF2B5EF4-FFF2-40B4-BE49-F238E27FC236}">
              <a16:creationId xmlns:a16="http://schemas.microsoft.com/office/drawing/2014/main" id="{63932F11-2311-45F0-A7B8-8E9E491E8522}"/>
            </a:ext>
          </a:extLst>
        </xdr:cNvPr>
        <xdr:cNvSpPr txBox="1"/>
      </xdr:nvSpPr>
      <xdr:spPr>
        <a:xfrm>
          <a:off x="56540400" y="287767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60</a:t>
          </a:r>
        </a:p>
        <a:p>
          <a:pPr algn="ctr"/>
          <a:endParaRPr lang="es-MX" sz="1100"/>
        </a:p>
      </xdr:txBody>
    </xdr:sp>
    <xdr:clientData/>
  </xdr:twoCellAnchor>
  <xdr:twoCellAnchor>
    <xdr:from>
      <xdr:col>77</xdr:col>
      <xdr:colOff>259977</xdr:colOff>
      <xdr:row>4</xdr:row>
      <xdr:rowOff>143436</xdr:rowOff>
    </xdr:from>
    <xdr:to>
      <xdr:col>78</xdr:col>
      <xdr:colOff>170330</xdr:colOff>
      <xdr:row>6</xdr:row>
      <xdr:rowOff>8965</xdr:rowOff>
    </xdr:to>
    <xdr:sp macro="" textlink="">
      <xdr:nvSpPr>
        <xdr:cNvPr id="326" name="CuadroTexto 325">
          <a:extLst>
            <a:ext uri="{FF2B5EF4-FFF2-40B4-BE49-F238E27FC236}">
              <a16:creationId xmlns:a16="http://schemas.microsoft.com/office/drawing/2014/main" id="{12FDD9AD-8766-4568-B483-465E27ED86D7}"/>
            </a:ext>
          </a:extLst>
        </xdr:cNvPr>
        <xdr:cNvSpPr txBox="1"/>
      </xdr:nvSpPr>
      <xdr:spPr>
        <a:xfrm>
          <a:off x="59256706" y="86061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418</a:t>
          </a:r>
        </a:p>
        <a:p>
          <a:pPr algn="ctr"/>
          <a:endParaRPr lang="es-MX" sz="1100"/>
        </a:p>
      </xdr:txBody>
    </xdr:sp>
    <xdr:clientData/>
  </xdr:twoCellAnchor>
  <xdr:twoCellAnchor>
    <xdr:from>
      <xdr:col>76</xdr:col>
      <xdr:colOff>502024</xdr:colOff>
      <xdr:row>4</xdr:row>
      <xdr:rowOff>143436</xdr:rowOff>
    </xdr:from>
    <xdr:to>
      <xdr:col>77</xdr:col>
      <xdr:colOff>206189</xdr:colOff>
      <xdr:row>6</xdr:row>
      <xdr:rowOff>8965</xdr:rowOff>
    </xdr:to>
    <xdr:sp macro="" textlink="">
      <xdr:nvSpPr>
        <xdr:cNvPr id="327" name="CuadroTexto 326">
          <a:extLst>
            <a:ext uri="{FF2B5EF4-FFF2-40B4-BE49-F238E27FC236}">
              <a16:creationId xmlns:a16="http://schemas.microsoft.com/office/drawing/2014/main" id="{D88476B9-9733-4D28-9867-25A8988444AF}"/>
            </a:ext>
          </a:extLst>
        </xdr:cNvPr>
        <xdr:cNvSpPr txBox="1"/>
      </xdr:nvSpPr>
      <xdr:spPr>
        <a:xfrm>
          <a:off x="58709859" y="86061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241</a:t>
          </a:r>
        </a:p>
        <a:p>
          <a:pPr algn="ctr"/>
          <a:endParaRPr lang="es-MX" sz="1100"/>
        </a:p>
      </xdr:txBody>
    </xdr:sp>
    <xdr:clientData/>
  </xdr:twoCellAnchor>
  <xdr:twoCellAnchor>
    <xdr:from>
      <xdr:col>77</xdr:col>
      <xdr:colOff>161367</xdr:colOff>
      <xdr:row>16</xdr:row>
      <xdr:rowOff>170329</xdr:rowOff>
    </xdr:from>
    <xdr:to>
      <xdr:col>78</xdr:col>
      <xdr:colOff>71720</xdr:colOff>
      <xdr:row>17</xdr:row>
      <xdr:rowOff>224117</xdr:rowOff>
    </xdr:to>
    <xdr:sp macro="" textlink="">
      <xdr:nvSpPr>
        <xdr:cNvPr id="329" name="CuadroTexto 328">
          <a:extLst>
            <a:ext uri="{FF2B5EF4-FFF2-40B4-BE49-F238E27FC236}">
              <a16:creationId xmlns:a16="http://schemas.microsoft.com/office/drawing/2014/main" id="{0B06909C-4E37-441C-AC33-FD97811E11F3}"/>
            </a:ext>
          </a:extLst>
        </xdr:cNvPr>
        <xdr:cNvSpPr txBox="1"/>
      </xdr:nvSpPr>
      <xdr:spPr>
        <a:xfrm>
          <a:off x="59158096" y="311075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28</a:t>
          </a:r>
        </a:p>
        <a:p>
          <a:pPr algn="ctr"/>
          <a:endParaRPr lang="es-MX" sz="1100"/>
        </a:p>
      </xdr:txBody>
    </xdr:sp>
    <xdr:clientData/>
  </xdr:twoCellAnchor>
  <xdr:twoCellAnchor>
    <xdr:from>
      <xdr:col>78</xdr:col>
      <xdr:colOff>89647</xdr:colOff>
      <xdr:row>16</xdr:row>
      <xdr:rowOff>161364</xdr:rowOff>
    </xdr:from>
    <xdr:to>
      <xdr:col>78</xdr:col>
      <xdr:colOff>582706</xdr:colOff>
      <xdr:row>17</xdr:row>
      <xdr:rowOff>215152</xdr:rowOff>
    </xdr:to>
    <xdr:sp macro="" textlink="">
      <xdr:nvSpPr>
        <xdr:cNvPr id="330" name="CuadroTexto 329">
          <a:extLst>
            <a:ext uri="{FF2B5EF4-FFF2-40B4-BE49-F238E27FC236}">
              <a16:creationId xmlns:a16="http://schemas.microsoft.com/office/drawing/2014/main" id="{23DDE704-A816-47D4-93A5-D413E5AEEDA9}"/>
            </a:ext>
          </a:extLst>
        </xdr:cNvPr>
        <xdr:cNvSpPr txBox="1"/>
      </xdr:nvSpPr>
      <xdr:spPr>
        <a:xfrm>
          <a:off x="59669082" y="310178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131</a:t>
          </a:r>
        </a:p>
        <a:p>
          <a:pPr algn="ctr"/>
          <a:endParaRPr lang="es-MX" sz="1100"/>
        </a:p>
      </xdr:txBody>
    </xdr:sp>
    <xdr:clientData/>
  </xdr:twoCellAnchor>
  <xdr:twoCellAnchor>
    <xdr:from>
      <xdr:col>78</xdr:col>
      <xdr:colOff>609599</xdr:colOff>
      <xdr:row>16</xdr:row>
      <xdr:rowOff>161364</xdr:rowOff>
    </xdr:from>
    <xdr:to>
      <xdr:col>79</xdr:col>
      <xdr:colOff>484093</xdr:colOff>
      <xdr:row>17</xdr:row>
      <xdr:rowOff>215152</xdr:rowOff>
    </xdr:to>
    <xdr:sp macro="" textlink="">
      <xdr:nvSpPr>
        <xdr:cNvPr id="331" name="CuadroTexto 330">
          <a:extLst>
            <a:ext uri="{FF2B5EF4-FFF2-40B4-BE49-F238E27FC236}">
              <a16:creationId xmlns:a16="http://schemas.microsoft.com/office/drawing/2014/main" id="{0620F84E-5079-4314-9C72-49C624DEB393}"/>
            </a:ext>
          </a:extLst>
        </xdr:cNvPr>
        <xdr:cNvSpPr txBox="1"/>
      </xdr:nvSpPr>
      <xdr:spPr>
        <a:xfrm>
          <a:off x="60189034" y="310178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40</a:t>
          </a:r>
        </a:p>
        <a:p>
          <a:pPr algn="ctr"/>
          <a:endParaRPr lang="es-MX" sz="1100"/>
        </a:p>
      </xdr:txBody>
    </xdr:sp>
    <xdr:clientData/>
  </xdr:twoCellAnchor>
  <xdr:twoCellAnchor>
    <xdr:from>
      <xdr:col>80</xdr:col>
      <xdr:colOff>89647</xdr:colOff>
      <xdr:row>10</xdr:row>
      <xdr:rowOff>152400</xdr:rowOff>
    </xdr:from>
    <xdr:to>
      <xdr:col>80</xdr:col>
      <xdr:colOff>582706</xdr:colOff>
      <xdr:row>12</xdr:row>
      <xdr:rowOff>17929</xdr:rowOff>
    </xdr:to>
    <xdr:sp macro="" textlink="">
      <xdr:nvSpPr>
        <xdr:cNvPr id="332" name="CuadroTexto 331">
          <a:extLst>
            <a:ext uri="{FF2B5EF4-FFF2-40B4-BE49-F238E27FC236}">
              <a16:creationId xmlns:a16="http://schemas.microsoft.com/office/drawing/2014/main" id="{8E1EC697-66AF-450F-9DF0-D0BEA6B183AD}"/>
            </a:ext>
          </a:extLst>
        </xdr:cNvPr>
        <xdr:cNvSpPr txBox="1"/>
      </xdr:nvSpPr>
      <xdr:spPr>
        <a:xfrm>
          <a:off x="61076541" y="197223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837</a:t>
          </a:r>
        </a:p>
        <a:p>
          <a:pPr algn="ctr"/>
          <a:endParaRPr lang="es-MX" sz="1100"/>
        </a:p>
      </xdr:txBody>
    </xdr:sp>
    <xdr:clientData/>
  </xdr:twoCellAnchor>
  <xdr:twoCellAnchor>
    <xdr:from>
      <xdr:col>84</xdr:col>
      <xdr:colOff>268942</xdr:colOff>
      <xdr:row>10</xdr:row>
      <xdr:rowOff>26894</xdr:rowOff>
    </xdr:from>
    <xdr:to>
      <xdr:col>84</xdr:col>
      <xdr:colOff>762001</xdr:colOff>
      <xdr:row>11</xdr:row>
      <xdr:rowOff>71717</xdr:rowOff>
    </xdr:to>
    <xdr:sp macro="" textlink="">
      <xdr:nvSpPr>
        <xdr:cNvPr id="333" name="CuadroTexto 332">
          <a:extLst>
            <a:ext uri="{FF2B5EF4-FFF2-40B4-BE49-F238E27FC236}">
              <a16:creationId xmlns:a16="http://schemas.microsoft.com/office/drawing/2014/main" id="{4527D305-CC17-492D-94A2-017A7AD71FEC}"/>
            </a:ext>
          </a:extLst>
        </xdr:cNvPr>
        <xdr:cNvSpPr txBox="1"/>
      </xdr:nvSpPr>
      <xdr:spPr>
        <a:xfrm>
          <a:off x="64411413" y="1846729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585</a:t>
          </a:r>
        </a:p>
        <a:p>
          <a:pPr algn="ctr"/>
          <a:endParaRPr lang="es-MX" sz="1100"/>
        </a:p>
      </xdr:txBody>
    </xdr:sp>
    <xdr:clientData/>
  </xdr:twoCellAnchor>
  <xdr:twoCellAnchor>
    <xdr:from>
      <xdr:col>89</xdr:col>
      <xdr:colOff>349624</xdr:colOff>
      <xdr:row>10</xdr:row>
      <xdr:rowOff>44825</xdr:rowOff>
    </xdr:from>
    <xdr:to>
      <xdr:col>90</xdr:col>
      <xdr:colOff>53789</xdr:colOff>
      <xdr:row>11</xdr:row>
      <xdr:rowOff>89648</xdr:rowOff>
    </xdr:to>
    <xdr:sp macro="" textlink="">
      <xdr:nvSpPr>
        <xdr:cNvPr id="334" name="CuadroTexto 333">
          <a:extLst>
            <a:ext uri="{FF2B5EF4-FFF2-40B4-BE49-F238E27FC236}">
              <a16:creationId xmlns:a16="http://schemas.microsoft.com/office/drawing/2014/main" id="{C2FFCB76-6180-4F31-96A0-D57330120F68}"/>
            </a:ext>
          </a:extLst>
        </xdr:cNvPr>
        <xdr:cNvSpPr txBox="1"/>
      </xdr:nvSpPr>
      <xdr:spPr>
        <a:xfrm>
          <a:off x="68436565" y="186466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436</a:t>
          </a:r>
        </a:p>
        <a:p>
          <a:pPr algn="ctr"/>
          <a:endParaRPr lang="es-MX" sz="1100"/>
        </a:p>
      </xdr:txBody>
    </xdr:sp>
    <xdr:clientData/>
  </xdr:twoCellAnchor>
  <xdr:twoCellAnchor>
    <xdr:from>
      <xdr:col>91</xdr:col>
      <xdr:colOff>385482</xdr:colOff>
      <xdr:row>14</xdr:row>
      <xdr:rowOff>152400</xdr:rowOff>
    </xdr:from>
    <xdr:to>
      <xdr:col>92</xdr:col>
      <xdr:colOff>89646</xdr:colOff>
      <xdr:row>16</xdr:row>
      <xdr:rowOff>-1</xdr:rowOff>
    </xdr:to>
    <xdr:sp macro="" textlink="">
      <xdr:nvSpPr>
        <xdr:cNvPr id="335" name="CuadroTexto 334">
          <a:extLst>
            <a:ext uri="{FF2B5EF4-FFF2-40B4-BE49-F238E27FC236}">
              <a16:creationId xmlns:a16="http://schemas.microsoft.com/office/drawing/2014/main" id="{685FBD0F-0AB5-45AB-8BFE-C8651BF67E43}"/>
            </a:ext>
          </a:extLst>
        </xdr:cNvPr>
        <xdr:cNvSpPr txBox="1"/>
      </xdr:nvSpPr>
      <xdr:spPr>
        <a:xfrm>
          <a:off x="70050211" y="270734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620</a:t>
          </a:r>
        </a:p>
        <a:p>
          <a:pPr algn="ctr"/>
          <a:endParaRPr lang="es-MX" sz="1100"/>
        </a:p>
      </xdr:txBody>
    </xdr:sp>
    <xdr:clientData/>
  </xdr:twoCellAnchor>
  <xdr:twoCellAnchor>
    <xdr:from>
      <xdr:col>90</xdr:col>
      <xdr:colOff>770965</xdr:colOff>
      <xdr:row>20</xdr:row>
      <xdr:rowOff>8965</xdr:rowOff>
    </xdr:from>
    <xdr:to>
      <xdr:col>91</xdr:col>
      <xdr:colOff>475130</xdr:colOff>
      <xdr:row>21</xdr:row>
      <xdr:rowOff>63500</xdr:rowOff>
    </xdr:to>
    <xdr:sp macro="" textlink="">
      <xdr:nvSpPr>
        <xdr:cNvPr id="336" name="CuadroTexto 335">
          <a:extLst>
            <a:ext uri="{FF2B5EF4-FFF2-40B4-BE49-F238E27FC236}">
              <a16:creationId xmlns:a16="http://schemas.microsoft.com/office/drawing/2014/main" id="{3E229100-7B94-4852-B7B4-2E91877055BD}"/>
            </a:ext>
          </a:extLst>
        </xdr:cNvPr>
        <xdr:cNvSpPr txBox="1"/>
      </xdr:nvSpPr>
      <xdr:spPr>
        <a:xfrm>
          <a:off x="69541465" y="3780865"/>
          <a:ext cx="491565" cy="23233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175</a:t>
          </a:r>
        </a:p>
        <a:p>
          <a:pPr algn="ctr"/>
          <a:endParaRPr lang="es-MX" sz="1100"/>
        </a:p>
      </xdr:txBody>
    </xdr:sp>
    <xdr:clientData/>
  </xdr:twoCellAnchor>
  <xdr:twoCellAnchor>
    <xdr:from>
      <xdr:col>95</xdr:col>
      <xdr:colOff>376518</xdr:colOff>
      <xdr:row>9</xdr:row>
      <xdr:rowOff>1</xdr:rowOff>
    </xdr:from>
    <xdr:to>
      <xdr:col>96</xdr:col>
      <xdr:colOff>80683</xdr:colOff>
      <xdr:row>10</xdr:row>
      <xdr:rowOff>53789</xdr:rowOff>
    </xdr:to>
    <xdr:sp macro="" textlink="">
      <xdr:nvSpPr>
        <xdr:cNvPr id="337" name="CuadroTexto 336">
          <a:extLst>
            <a:ext uri="{FF2B5EF4-FFF2-40B4-BE49-F238E27FC236}">
              <a16:creationId xmlns:a16="http://schemas.microsoft.com/office/drawing/2014/main" id="{F475231D-0E83-4880-81DA-1054C9A9B56F}"/>
            </a:ext>
          </a:extLst>
        </xdr:cNvPr>
        <xdr:cNvSpPr txBox="1"/>
      </xdr:nvSpPr>
      <xdr:spPr>
        <a:xfrm>
          <a:off x="73196824" y="164054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620</a:t>
          </a:r>
        </a:p>
        <a:p>
          <a:pPr algn="ctr"/>
          <a:endParaRPr lang="es-MX" sz="1100"/>
        </a:p>
      </xdr:txBody>
    </xdr:sp>
    <xdr:clientData/>
  </xdr:twoCellAnchor>
  <xdr:twoCellAnchor>
    <xdr:from>
      <xdr:col>95</xdr:col>
      <xdr:colOff>394447</xdr:colOff>
      <xdr:row>11</xdr:row>
      <xdr:rowOff>44824</xdr:rowOff>
    </xdr:from>
    <xdr:to>
      <xdr:col>96</xdr:col>
      <xdr:colOff>98612</xdr:colOff>
      <xdr:row>12</xdr:row>
      <xdr:rowOff>98612</xdr:rowOff>
    </xdr:to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64B344F7-F00A-405D-BE3E-6DD2D76705B2}"/>
            </a:ext>
          </a:extLst>
        </xdr:cNvPr>
        <xdr:cNvSpPr txBox="1"/>
      </xdr:nvSpPr>
      <xdr:spPr>
        <a:xfrm>
          <a:off x="73214753" y="205291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611</a:t>
          </a:r>
        </a:p>
        <a:p>
          <a:pPr algn="ctr"/>
          <a:endParaRPr lang="es-MX" sz="1100"/>
        </a:p>
      </xdr:txBody>
    </xdr:sp>
    <xdr:clientData/>
  </xdr:twoCellAnchor>
  <xdr:twoCellAnchor>
    <xdr:from>
      <xdr:col>97</xdr:col>
      <xdr:colOff>143438</xdr:colOff>
      <xdr:row>10</xdr:row>
      <xdr:rowOff>152398</xdr:rowOff>
    </xdr:from>
    <xdr:to>
      <xdr:col>97</xdr:col>
      <xdr:colOff>636497</xdr:colOff>
      <xdr:row>12</xdr:row>
      <xdr:rowOff>17927</xdr:rowOff>
    </xdr:to>
    <xdr:sp macro="" textlink="">
      <xdr:nvSpPr>
        <xdr:cNvPr id="339" name="CuadroTexto 338">
          <a:extLst>
            <a:ext uri="{FF2B5EF4-FFF2-40B4-BE49-F238E27FC236}">
              <a16:creationId xmlns:a16="http://schemas.microsoft.com/office/drawing/2014/main" id="{254842A3-10D0-43D9-AFBC-718603104CA0}"/>
            </a:ext>
          </a:extLst>
        </xdr:cNvPr>
        <xdr:cNvSpPr txBox="1"/>
      </xdr:nvSpPr>
      <xdr:spPr>
        <a:xfrm>
          <a:off x="74541532" y="197223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39</a:t>
          </a:r>
        </a:p>
        <a:p>
          <a:pPr algn="ctr"/>
          <a:endParaRPr lang="es-MX" sz="1100"/>
        </a:p>
      </xdr:txBody>
    </xdr:sp>
    <xdr:clientData/>
  </xdr:twoCellAnchor>
  <xdr:twoCellAnchor>
    <xdr:from>
      <xdr:col>97</xdr:col>
      <xdr:colOff>143438</xdr:colOff>
      <xdr:row>12</xdr:row>
      <xdr:rowOff>17928</xdr:rowOff>
    </xdr:from>
    <xdr:to>
      <xdr:col>97</xdr:col>
      <xdr:colOff>636497</xdr:colOff>
      <xdr:row>13</xdr:row>
      <xdr:rowOff>71716</xdr:rowOff>
    </xdr:to>
    <xdr:sp macro="" textlink="">
      <xdr:nvSpPr>
        <xdr:cNvPr id="340" name="CuadroTexto 339">
          <a:extLst>
            <a:ext uri="{FF2B5EF4-FFF2-40B4-BE49-F238E27FC236}">
              <a16:creationId xmlns:a16="http://schemas.microsoft.com/office/drawing/2014/main" id="{F13FCF59-95F7-4FD1-90D9-EEAF987A11A5}"/>
            </a:ext>
          </a:extLst>
        </xdr:cNvPr>
        <xdr:cNvSpPr txBox="1"/>
      </xdr:nvSpPr>
      <xdr:spPr>
        <a:xfrm>
          <a:off x="74541532" y="220531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436</a:t>
          </a:r>
        </a:p>
        <a:p>
          <a:pPr algn="ctr"/>
          <a:endParaRPr lang="es-MX" sz="1100"/>
        </a:p>
      </xdr:txBody>
    </xdr:sp>
    <xdr:clientData/>
  </xdr:twoCellAnchor>
  <xdr:twoCellAnchor>
    <xdr:from>
      <xdr:col>97</xdr:col>
      <xdr:colOff>143438</xdr:colOff>
      <xdr:row>13</xdr:row>
      <xdr:rowOff>44822</xdr:rowOff>
    </xdr:from>
    <xdr:to>
      <xdr:col>97</xdr:col>
      <xdr:colOff>636497</xdr:colOff>
      <xdr:row>14</xdr:row>
      <xdr:rowOff>89645</xdr:rowOff>
    </xdr:to>
    <xdr:sp macro="" textlink="">
      <xdr:nvSpPr>
        <xdr:cNvPr id="341" name="CuadroTexto 340">
          <a:extLst>
            <a:ext uri="{FF2B5EF4-FFF2-40B4-BE49-F238E27FC236}">
              <a16:creationId xmlns:a16="http://schemas.microsoft.com/office/drawing/2014/main" id="{91306D77-E973-484A-A94B-5BAD75DF7CFC}"/>
            </a:ext>
          </a:extLst>
        </xdr:cNvPr>
        <xdr:cNvSpPr txBox="1"/>
      </xdr:nvSpPr>
      <xdr:spPr>
        <a:xfrm>
          <a:off x="74541532" y="241150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120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100</xdr:col>
      <xdr:colOff>17928</xdr:colOff>
      <xdr:row>4</xdr:row>
      <xdr:rowOff>0</xdr:rowOff>
    </xdr:from>
    <xdr:to>
      <xdr:col>100</xdr:col>
      <xdr:colOff>510987</xdr:colOff>
      <xdr:row>5</xdr:row>
      <xdr:rowOff>44823</xdr:rowOff>
    </xdr:to>
    <xdr:sp macro="" textlink="">
      <xdr:nvSpPr>
        <xdr:cNvPr id="342" name="CuadroTexto 341">
          <a:extLst>
            <a:ext uri="{FF2B5EF4-FFF2-40B4-BE49-F238E27FC236}">
              <a16:creationId xmlns:a16="http://schemas.microsoft.com/office/drawing/2014/main" id="{05C5B790-5A88-4745-937C-6C62D810A476}"/>
            </a:ext>
          </a:extLst>
        </xdr:cNvPr>
        <xdr:cNvSpPr txBox="1"/>
      </xdr:nvSpPr>
      <xdr:spPr>
        <a:xfrm>
          <a:off x="76531693" y="71717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121</a:t>
          </a:r>
        </a:p>
        <a:p>
          <a:pPr algn="ctr"/>
          <a:endParaRPr lang="es-MX" sz="1100"/>
        </a:p>
      </xdr:txBody>
    </xdr:sp>
    <xdr:clientData/>
  </xdr:twoCellAnchor>
  <xdr:twoCellAnchor>
    <xdr:from>
      <xdr:col>98</xdr:col>
      <xdr:colOff>277906</xdr:colOff>
      <xdr:row>4</xdr:row>
      <xdr:rowOff>0</xdr:rowOff>
    </xdr:from>
    <xdr:to>
      <xdr:col>98</xdr:col>
      <xdr:colOff>770965</xdr:colOff>
      <xdr:row>5</xdr:row>
      <xdr:rowOff>44823</xdr:rowOff>
    </xdr:to>
    <xdr:sp macro="" textlink="">
      <xdr:nvSpPr>
        <xdr:cNvPr id="343" name="CuadroTexto 342">
          <a:extLst>
            <a:ext uri="{FF2B5EF4-FFF2-40B4-BE49-F238E27FC236}">
              <a16:creationId xmlns:a16="http://schemas.microsoft.com/office/drawing/2014/main" id="{9D848D0F-5F98-4D56-86B2-795DD66F5491}"/>
            </a:ext>
          </a:extLst>
        </xdr:cNvPr>
        <xdr:cNvSpPr txBox="1"/>
      </xdr:nvSpPr>
      <xdr:spPr>
        <a:xfrm>
          <a:off x="75464894" y="71717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85</a:t>
          </a:r>
        </a:p>
        <a:p>
          <a:pPr algn="ctr"/>
          <a:endParaRPr lang="es-MX" sz="1100"/>
        </a:p>
      </xdr:txBody>
    </xdr:sp>
    <xdr:clientData/>
  </xdr:twoCellAnchor>
  <xdr:twoCellAnchor>
    <xdr:from>
      <xdr:col>99</xdr:col>
      <xdr:colOff>17929</xdr:colOff>
      <xdr:row>4</xdr:row>
      <xdr:rowOff>0</xdr:rowOff>
    </xdr:from>
    <xdr:to>
      <xdr:col>99</xdr:col>
      <xdr:colOff>510988</xdr:colOff>
      <xdr:row>5</xdr:row>
      <xdr:rowOff>44823</xdr:rowOff>
    </xdr:to>
    <xdr:sp macro="" textlink="">
      <xdr:nvSpPr>
        <xdr:cNvPr id="344" name="CuadroTexto 343">
          <a:extLst>
            <a:ext uri="{FF2B5EF4-FFF2-40B4-BE49-F238E27FC236}">
              <a16:creationId xmlns:a16="http://schemas.microsoft.com/office/drawing/2014/main" id="{9DAD510A-3D89-4765-BE6B-E445DBBF5184}"/>
            </a:ext>
          </a:extLst>
        </xdr:cNvPr>
        <xdr:cNvSpPr txBox="1"/>
      </xdr:nvSpPr>
      <xdr:spPr>
        <a:xfrm>
          <a:off x="75993811" y="71717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388</a:t>
          </a:r>
        </a:p>
        <a:p>
          <a:pPr algn="ctr"/>
          <a:endParaRPr lang="es-MX" sz="1100"/>
        </a:p>
      </xdr:txBody>
    </xdr:sp>
    <xdr:clientData/>
  </xdr:twoCellAnchor>
  <xdr:twoCellAnchor>
    <xdr:from>
      <xdr:col>99</xdr:col>
      <xdr:colOff>197224</xdr:colOff>
      <xdr:row>17</xdr:row>
      <xdr:rowOff>143436</xdr:rowOff>
    </xdr:from>
    <xdr:to>
      <xdr:col>100</xdr:col>
      <xdr:colOff>152400</xdr:colOff>
      <xdr:row>18</xdr:row>
      <xdr:rowOff>143436</xdr:rowOff>
    </xdr:to>
    <xdr:sp macro="" textlink="">
      <xdr:nvSpPr>
        <xdr:cNvPr id="345" name="CuadroTexto 344">
          <a:extLst>
            <a:ext uri="{FF2B5EF4-FFF2-40B4-BE49-F238E27FC236}">
              <a16:creationId xmlns:a16="http://schemas.microsoft.com/office/drawing/2014/main" id="{EF1E3813-671B-4548-B96A-15001ECB216F}"/>
            </a:ext>
          </a:extLst>
        </xdr:cNvPr>
        <xdr:cNvSpPr txBox="1"/>
      </xdr:nvSpPr>
      <xdr:spPr>
        <a:xfrm>
          <a:off x="76173106" y="326315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80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100</xdr:col>
      <xdr:colOff>197223</xdr:colOff>
      <xdr:row>17</xdr:row>
      <xdr:rowOff>143437</xdr:rowOff>
    </xdr:from>
    <xdr:to>
      <xdr:col>101</xdr:col>
      <xdr:colOff>116541</xdr:colOff>
      <xdr:row>18</xdr:row>
      <xdr:rowOff>143437</xdr:rowOff>
    </xdr:to>
    <xdr:sp macro="" textlink="">
      <xdr:nvSpPr>
        <xdr:cNvPr id="346" name="CuadroTexto 345">
          <a:extLst>
            <a:ext uri="{FF2B5EF4-FFF2-40B4-BE49-F238E27FC236}">
              <a16:creationId xmlns:a16="http://schemas.microsoft.com/office/drawing/2014/main" id="{ED6CB1D6-4814-426A-B144-7EFE1FE4F930}"/>
            </a:ext>
          </a:extLst>
        </xdr:cNvPr>
        <xdr:cNvSpPr txBox="1"/>
      </xdr:nvSpPr>
      <xdr:spPr>
        <a:xfrm>
          <a:off x="76710988" y="326315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302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101</xdr:col>
      <xdr:colOff>170329</xdr:colOff>
      <xdr:row>17</xdr:row>
      <xdr:rowOff>134470</xdr:rowOff>
    </xdr:from>
    <xdr:to>
      <xdr:col>101</xdr:col>
      <xdr:colOff>663388</xdr:colOff>
      <xdr:row>18</xdr:row>
      <xdr:rowOff>134470</xdr:rowOff>
    </xdr:to>
    <xdr:sp macro="" textlink="">
      <xdr:nvSpPr>
        <xdr:cNvPr id="347" name="CuadroTexto 346">
          <a:extLst>
            <a:ext uri="{FF2B5EF4-FFF2-40B4-BE49-F238E27FC236}">
              <a16:creationId xmlns:a16="http://schemas.microsoft.com/office/drawing/2014/main" id="{33559DE4-114C-44FE-8067-19F5F51084F4}"/>
            </a:ext>
          </a:extLst>
        </xdr:cNvPr>
        <xdr:cNvSpPr txBox="1"/>
      </xdr:nvSpPr>
      <xdr:spPr>
        <a:xfrm>
          <a:off x="77257835" y="325418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121</a:t>
          </a:r>
        </a:p>
        <a:p>
          <a:pPr algn="ctr"/>
          <a:endParaRPr lang="es-MX" sz="1100"/>
        </a:p>
      </xdr:txBody>
    </xdr:sp>
    <xdr:clientData/>
  </xdr:twoCellAnchor>
  <xdr:twoCellAnchor>
    <xdr:from>
      <xdr:col>99</xdr:col>
      <xdr:colOff>26894</xdr:colOff>
      <xdr:row>20</xdr:row>
      <xdr:rowOff>197223</xdr:rowOff>
    </xdr:from>
    <xdr:to>
      <xdr:col>99</xdr:col>
      <xdr:colOff>519953</xdr:colOff>
      <xdr:row>21</xdr:row>
      <xdr:rowOff>197222</xdr:rowOff>
    </xdr:to>
    <xdr:sp macro="" textlink="">
      <xdr:nvSpPr>
        <xdr:cNvPr id="349" name="CuadroTexto 348">
          <a:extLst>
            <a:ext uri="{FF2B5EF4-FFF2-40B4-BE49-F238E27FC236}">
              <a16:creationId xmlns:a16="http://schemas.microsoft.com/office/drawing/2014/main" id="{69C2CDD1-AC7F-4AE4-A93D-3BD0045DA915}"/>
            </a:ext>
          </a:extLst>
        </xdr:cNvPr>
        <xdr:cNvSpPr txBox="1"/>
      </xdr:nvSpPr>
      <xdr:spPr>
        <a:xfrm>
          <a:off x="76002776" y="397136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567</a:t>
          </a:r>
        </a:p>
        <a:p>
          <a:pPr algn="ctr"/>
          <a:endParaRPr lang="es-MX" sz="1100"/>
        </a:p>
      </xdr:txBody>
    </xdr:sp>
    <xdr:clientData/>
  </xdr:twoCellAnchor>
  <xdr:twoCellAnchor>
    <xdr:from>
      <xdr:col>98</xdr:col>
      <xdr:colOff>295835</xdr:colOff>
      <xdr:row>24</xdr:row>
      <xdr:rowOff>152400</xdr:rowOff>
    </xdr:from>
    <xdr:to>
      <xdr:col>99</xdr:col>
      <xdr:colOff>0</xdr:colOff>
      <xdr:row>26</xdr:row>
      <xdr:rowOff>26893</xdr:rowOff>
    </xdr:to>
    <xdr:sp macro="" textlink="">
      <xdr:nvSpPr>
        <xdr:cNvPr id="350" name="CuadroTexto 349">
          <a:extLst>
            <a:ext uri="{FF2B5EF4-FFF2-40B4-BE49-F238E27FC236}">
              <a16:creationId xmlns:a16="http://schemas.microsoft.com/office/drawing/2014/main" id="{DD4C0C4F-D5E9-441D-95E6-C5C135DF9B99}"/>
            </a:ext>
          </a:extLst>
        </xdr:cNvPr>
        <xdr:cNvSpPr txBox="1"/>
      </xdr:nvSpPr>
      <xdr:spPr>
        <a:xfrm>
          <a:off x="75482823" y="483197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122</a:t>
          </a:r>
        </a:p>
        <a:p>
          <a:pPr algn="ctr"/>
          <a:endParaRPr lang="es-MX" sz="1100"/>
        </a:p>
      </xdr:txBody>
    </xdr:sp>
    <xdr:clientData/>
  </xdr:twoCellAnchor>
  <xdr:twoCellAnchor>
    <xdr:from>
      <xdr:col>99</xdr:col>
      <xdr:colOff>35859</xdr:colOff>
      <xdr:row>24</xdr:row>
      <xdr:rowOff>152400</xdr:rowOff>
    </xdr:from>
    <xdr:to>
      <xdr:col>99</xdr:col>
      <xdr:colOff>528918</xdr:colOff>
      <xdr:row>26</xdr:row>
      <xdr:rowOff>26893</xdr:rowOff>
    </xdr:to>
    <xdr:sp macro="" textlink="">
      <xdr:nvSpPr>
        <xdr:cNvPr id="351" name="CuadroTexto 350">
          <a:extLst>
            <a:ext uri="{FF2B5EF4-FFF2-40B4-BE49-F238E27FC236}">
              <a16:creationId xmlns:a16="http://schemas.microsoft.com/office/drawing/2014/main" id="{0CA72AEC-E7F4-40FA-AD1B-8C42FAA68A3E}"/>
            </a:ext>
          </a:extLst>
        </xdr:cNvPr>
        <xdr:cNvSpPr txBox="1"/>
      </xdr:nvSpPr>
      <xdr:spPr>
        <a:xfrm>
          <a:off x="76011741" y="483197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414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100</xdr:col>
      <xdr:colOff>35858</xdr:colOff>
      <xdr:row>24</xdr:row>
      <xdr:rowOff>152399</xdr:rowOff>
    </xdr:from>
    <xdr:to>
      <xdr:col>100</xdr:col>
      <xdr:colOff>528917</xdr:colOff>
      <xdr:row>26</xdr:row>
      <xdr:rowOff>26892</xdr:rowOff>
    </xdr:to>
    <xdr:sp macro="" textlink="">
      <xdr:nvSpPr>
        <xdr:cNvPr id="352" name="CuadroTexto 351">
          <a:extLst>
            <a:ext uri="{FF2B5EF4-FFF2-40B4-BE49-F238E27FC236}">
              <a16:creationId xmlns:a16="http://schemas.microsoft.com/office/drawing/2014/main" id="{5C772D83-AD34-465D-A99F-86E8C6857868}"/>
            </a:ext>
          </a:extLst>
        </xdr:cNvPr>
        <xdr:cNvSpPr txBox="1"/>
      </xdr:nvSpPr>
      <xdr:spPr>
        <a:xfrm>
          <a:off x="76549623" y="483197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112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101</xdr:col>
      <xdr:colOff>645458</xdr:colOff>
      <xdr:row>7</xdr:row>
      <xdr:rowOff>170328</xdr:rowOff>
    </xdr:from>
    <xdr:to>
      <xdr:col>102</xdr:col>
      <xdr:colOff>349623</xdr:colOff>
      <xdr:row>9</xdr:row>
      <xdr:rowOff>26893</xdr:rowOff>
    </xdr:to>
    <xdr:sp macro="" textlink="">
      <xdr:nvSpPr>
        <xdr:cNvPr id="353" name="CuadroTexto 352">
          <a:extLst>
            <a:ext uri="{FF2B5EF4-FFF2-40B4-BE49-F238E27FC236}">
              <a16:creationId xmlns:a16="http://schemas.microsoft.com/office/drawing/2014/main" id="{8E1C61FF-017E-45EA-8161-56F6E43290ED}"/>
            </a:ext>
          </a:extLst>
        </xdr:cNvPr>
        <xdr:cNvSpPr txBox="1"/>
      </xdr:nvSpPr>
      <xdr:spPr>
        <a:xfrm>
          <a:off x="77732964" y="143435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124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101</xdr:col>
      <xdr:colOff>645458</xdr:colOff>
      <xdr:row>9</xdr:row>
      <xdr:rowOff>53786</xdr:rowOff>
    </xdr:from>
    <xdr:to>
      <xdr:col>102</xdr:col>
      <xdr:colOff>349623</xdr:colOff>
      <xdr:row>10</xdr:row>
      <xdr:rowOff>107574</xdr:rowOff>
    </xdr:to>
    <xdr:sp macro="" textlink="">
      <xdr:nvSpPr>
        <xdr:cNvPr id="354" name="CuadroTexto 353">
          <a:extLst>
            <a:ext uri="{FF2B5EF4-FFF2-40B4-BE49-F238E27FC236}">
              <a16:creationId xmlns:a16="http://schemas.microsoft.com/office/drawing/2014/main" id="{EAE0B319-3AF9-44FD-A87E-87B09C506E60}"/>
            </a:ext>
          </a:extLst>
        </xdr:cNvPr>
        <xdr:cNvSpPr txBox="1"/>
      </xdr:nvSpPr>
      <xdr:spPr>
        <a:xfrm>
          <a:off x="77732964" y="169432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455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101</xdr:col>
      <xdr:colOff>654423</xdr:colOff>
      <xdr:row>10</xdr:row>
      <xdr:rowOff>143432</xdr:rowOff>
    </xdr:from>
    <xdr:to>
      <xdr:col>102</xdr:col>
      <xdr:colOff>358588</xdr:colOff>
      <xdr:row>12</xdr:row>
      <xdr:rowOff>8961</xdr:rowOff>
    </xdr:to>
    <xdr:sp macro="" textlink="">
      <xdr:nvSpPr>
        <xdr:cNvPr id="355" name="CuadroTexto 354">
          <a:extLst>
            <a:ext uri="{FF2B5EF4-FFF2-40B4-BE49-F238E27FC236}">
              <a16:creationId xmlns:a16="http://schemas.microsoft.com/office/drawing/2014/main" id="{0D158020-6FF3-41F8-80AB-21B330E64FCF}"/>
            </a:ext>
          </a:extLst>
        </xdr:cNvPr>
        <xdr:cNvSpPr txBox="1"/>
      </xdr:nvSpPr>
      <xdr:spPr>
        <a:xfrm>
          <a:off x="77741929" y="196326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139</a:t>
          </a:r>
        </a:p>
        <a:p>
          <a:pPr algn="ctr"/>
          <a:endParaRPr lang="es-MX" sz="1100"/>
        </a:p>
      </xdr:txBody>
    </xdr:sp>
    <xdr:clientData/>
  </xdr:twoCellAnchor>
  <xdr:twoCellAnchor>
    <xdr:from>
      <xdr:col>97</xdr:col>
      <xdr:colOff>340659</xdr:colOff>
      <xdr:row>30</xdr:row>
      <xdr:rowOff>80682</xdr:rowOff>
    </xdr:from>
    <xdr:to>
      <xdr:col>98</xdr:col>
      <xdr:colOff>44824</xdr:colOff>
      <xdr:row>31</xdr:row>
      <xdr:rowOff>134470</xdr:rowOff>
    </xdr:to>
    <xdr:sp macro="" textlink="">
      <xdr:nvSpPr>
        <xdr:cNvPr id="356" name="CuadroTexto 355">
          <a:extLst>
            <a:ext uri="{FF2B5EF4-FFF2-40B4-BE49-F238E27FC236}">
              <a16:creationId xmlns:a16="http://schemas.microsoft.com/office/drawing/2014/main" id="{6B68E2A7-525C-4630-973D-80DC9844F60E}"/>
            </a:ext>
          </a:extLst>
        </xdr:cNvPr>
        <xdr:cNvSpPr txBox="1"/>
      </xdr:nvSpPr>
      <xdr:spPr>
        <a:xfrm>
          <a:off x="74738753" y="583602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68</a:t>
          </a:r>
        </a:p>
        <a:p>
          <a:pPr algn="ctr"/>
          <a:endParaRPr lang="es-MX" sz="1100"/>
        </a:p>
      </xdr:txBody>
    </xdr:sp>
    <xdr:clientData/>
  </xdr:twoCellAnchor>
  <xdr:twoCellAnchor>
    <xdr:from>
      <xdr:col>97</xdr:col>
      <xdr:colOff>340660</xdr:colOff>
      <xdr:row>31</xdr:row>
      <xdr:rowOff>170328</xdr:rowOff>
    </xdr:from>
    <xdr:to>
      <xdr:col>98</xdr:col>
      <xdr:colOff>44825</xdr:colOff>
      <xdr:row>33</xdr:row>
      <xdr:rowOff>44821</xdr:rowOff>
    </xdr:to>
    <xdr:sp macro="" textlink="">
      <xdr:nvSpPr>
        <xdr:cNvPr id="357" name="CuadroTexto 356">
          <a:extLst>
            <a:ext uri="{FF2B5EF4-FFF2-40B4-BE49-F238E27FC236}">
              <a16:creationId xmlns:a16="http://schemas.microsoft.com/office/drawing/2014/main" id="{84C784DC-B2A4-4890-9BA9-16D0F38ECC4C}"/>
            </a:ext>
          </a:extLst>
        </xdr:cNvPr>
        <xdr:cNvSpPr txBox="1"/>
      </xdr:nvSpPr>
      <xdr:spPr>
        <a:xfrm>
          <a:off x="74738754" y="6104963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441</a:t>
          </a:r>
        </a:p>
        <a:p>
          <a:pPr algn="ctr"/>
          <a:endParaRPr lang="es-MX" sz="1100"/>
        </a:p>
      </xdr:txBody>
    </xdr:sp>
    <xdr:clientData/>
  </xdr:twoCellAnchor>
  <xdr:twoCellAnchor>
    <xdr:from>
      <xdr:col>97</xdr:col>
      <xdr:colOff>349624</xdr:colOff>
      <xdr:row>33</xdr:row>
      <xdr:rowOff>98610</xdr:rowOff>
    </xdr:from>
    <xdr:to>
      <xdr:col>98</xdr:col>
      <xdr:colOff>53789</xdr:colOff>
      <xdr:row>34</xdr:row>
      <xdr:rowOff>152398</xdr:rowOff>
    </xdr:to>
    <xdr:sp macro="" textlink="">
      <xdr:nvSpPr>
        <xdr:cNvPr id="358" name="CuadroTexto 357">
          <a:extLst>
            <a:ext uri="{FF2B5EF4-FFF2-40B4-BE49-F238E27FC236}">
              <a16:creationId xmlns:a16="http://schemas.microsoft.com/office/drawing/2014/main" id="{9CE4642C-930D-455A-94DA-256C916162E1}"/>
            </a:ext>
          </a:extLst>
        </xdr:cNvPr>
        <xdr:cNvSpPr txBox="1"/>
      </xdr:nvSpPr>
      <xdr:spPr>
        <a:xfrm>
          <a:off x="74747718" y="639183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84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101</xdr:col>
      <xdr:colOff>663387</xdr:colOff>
      <xdr:row>28</xdr:row>
      <xdr:rowOff>89647</xdr:rowOff>
    </xdr:from>
    <xdr:to>
      <xdr:col>102</xdr:col>
      <xdr:colOff>367552</xdr:colOff>
      <xdr:row>29</xdr:row>
      <xdr:rowOff>143435</xdr:rowOff>
    </xdr:to>
    <xdr:sp macro="" textlink="">
      <xdr:nvSpPr>
        <xdr:cNvPr id="359" name="CuadroTexto 358">
          <a:extLst>
            <a:ext uri="{FF2B5EF4-FFF2-40B4-BE49-F238E27FC236}">
              <a16:creationId xmlns:a16="http://schemas.microsoft.com/office/drawing/2014/main" id="{780190BF-0ABA-4439-83AB-CAD1B309CAAF}"/>
            </a:ext>
          </a:extLst>
        </xdr:cNvPr>
        <xdr:cNvSpPr txBox="1"/>
      </xdr:nvSpPr>
      <xdr:spPr>
        <a:xfrm>
          <a:off x="77750893" y="548640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83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101</xdr:col>
      <xdr:colOff>663388</xdr:colOff>
      <xdr:row>30</xdr:row>
      <xdr:rowOff>8965</xdr:rowOff>
    </xdr:from>
    <xdr:to>
      <xdr:col>102</xdr:col>
      <xdr:colOff>367553</xdr:colOff>
      <xdr:row>31</xdr:row>
      <xdr:rowOff>62753</xdr:rowOff>
    </xdr:to>
    <xdr:sp macro="" textlink="">
      <xdr:nvSpPr>
        <xdr:cNvPr id="360" name="CuadroTexto 359">
          <a:extLst>
            <a:ext uri="{FF2B5EF4-FFF2-40B4-BE49-F238E27FC236}">
              <a16:creationId xmlns:a16="http://schemas.microsoft.com/office/drawing/2014/main" id="{914524EF-D410-4FD3-B505-5731A9B5472A}"/>
            </a:ext>
          </a:extLst>
        </xdr:cNvPr>
        <xdr:cNvSpPr txBox="1"/>
      </xdr:nvSpPr>
      <xdr:spPr>
        <a:xfrm>
          <a:off x="77750894" y="576430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346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101</xdr:col>
      <xdr:colOff>663387</xdr:colOff>
      <xdr:row>31</xdr:row>
      <xdr:rowOff>98612</xdr:rowOff>
    </xdr:from>
    <xdr:to>
      <xdr:col>102</xdr:col>
      <xdr:colOff>367552</xdr:colOff>
      <xdr:row>32</xdr:row>
      <xdr:rowOff>152400</xdr:rowOff>
    </xdr:to>
    <xdr:sp macro="" textlink="">
      <xdr:nvSpPr>
        <xdr:cNvPr id="361" name="CuadroTexto 360">
          <a:extLst>
            <a:ext uri="{FF2B5EF4-FFF2-40B4-BE49-F238E27FC236}">
              <a16:creationId xmlns:a16="http://schemas.microsoft.com/office/drawing/2014/main" id="{46067F60-7E0A-40C0-887C-DB283B32DD0F}"/>
            </a:ext>
          </a:extLst>
        </xdr:cNvPr>
        <xdr:cNvSpPr txBox="1"/>
      </xdr:nvSpPr>
      <xdr:spPr>
        <a:xfrm>
          <a:off x="77750893" y="603324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97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100</xdr:col>
      <xdr:colOff>71718</xdr:colOff>
      <xdr:row>38</xdr:row>
      <xdr:rowOff>116542</xdr:rowOff>
    </xdr:from>
    <xdr:to>
      <xdr:col>100</xdr:col>
      <xdr:colOff>564777</xdr:colOff>
      <xdr:row>39</xdr:row>
      <xdr:rowOff>170330</xdr:rowOff>
    </xdr:to>
    <xdr:sp macro="" textlink="">
      <xdr:nvSpPr>
        <xdr:cNvPr id="362" name="CuadroTexto 361">
          <a:extLst>
            <a:ext uri="{FF2B5EF4-FFF2-40B4-BE49-F238E27FC236}">
              <a16:creationId xmlns:a16="http://schemas.microsoft.com/office/drawing/2014/main" id="{3245F0F9-673C-4DE9-84CC-88423A5F8B11}"/>
            </a:ext>
          </a:extLst>
        </xdr:cNvPr>
        <xdr:cNvSpPr txBox="1"/>
      </xdr:nvSpPr>
      <xdr:spPr>
        <a:xfrm>
          <a:off x="76585483" y="730623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351</a:t>
          </a:r>
        </a:p>
        <a:p>
          <a:pPr algn="ctr"/>
          <a:endParaRPr lang="es-MX" sz="1100"/>
        </a:p>
      </xdr:txBody>
    </xdr:sp>
    <xdr:clientData/>
  </xdr:twoCellAnchor>
  <xdr:twoCellAnchor>
    <xdr:from>
      <xdr:col>99</xdr:col>
      <xdr:colOff>26894</xdr:colOff>
      <xdr:row>42</xdr:row>
      <xdr:rowOff>89646</xdr:rowOff>
    </xdr:from>
    <xdr:to>
      <xdr:col>99</xdr:col>
      <xdr:colOff>519953</xdr:colOff>
      <xdr:row>43</xdr:row>
      <xdr:rowOff>143434</xdr:rowOff>
    </xdr:to>
    <xdr:sp macro="" textlink="">
      <xdr:nvSpPr>
        <xdr:cNvPr id="363" name="CuadroTexto 362">
          <a:extLst>
            <a:ext uri="{FF2B5EF4-FFF2-40B4-BE49-F238E27FC236}">
              <a16:creationId xmlns:a16="http://schemas.microsoft.com/office/drawing/2014/main" id="{0D2E7EAD-6F87-4C56-84E0-CEAA6095E8A5}"/>
            </a:ext>
          </a:extLst>
        </xdr:cNvPr>
        <xdr:cNvSpPr txBox="1"/>
      </xdr:nvSpPr>
      <xdr:spPr>
        <a:xfrm>
          <a:off x="76002776" y="799651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635</a:t>
          </a:r>
        </a:p>
        <a:p>
          <a:pPr algn="ctr"/>
          <a:endParaRPr lang="es-MX" sz="1100"/>
        </a:p>
      </xdr:txBody>
    </xdr:sp>
    <xdr:clientData/>
  </xdr:twoCellAnchor>
  <xdr:twoCellAnchor>
    <xdr:from>
      <xdr:col>98</xdr:col>
      <xdr:colOff>484091</xdr:colOff>
      <xdr:row>48</xdr:row>
      <xdr:rowOff>71719</xdr:rowOff>
    </xdr:from>
    <xdr:to>
      <xdr:col>99</xdr:col>
      <xdr:colOff>188256</xdr:colOff>
      <xdr:row>49</xdr:row>
      <xdr:rowOff>125507</xdr:rowOff>
    </xdr:to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ED0DC835-56BF-45A5-9A6A-0CBD05CD02E6}"/>
            </a:ext>
          </a:extLst>
        </xdr:cNvPr>
        <xdr:cNvSpPr txBox="1"/>
      </xdr:nvSpPr>
      <xdr:spPr>
        <a:xfrm>
          <a:off x="75671079" y="905435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179</a:t>
          </a:r>
        </a:p>
        <a:p>
          <a:pPr algn="ctr"/>
          <a:endParaRPr lang="es-MX" sz="1100"/>
        </a:p>
      </xdr:txBody>
    </xdr:sp>
    <xdr:clientData/>
  </xdr:twoCellAnchor>
  <xdr:twoCellAnchor>
    <xdr:from>
      <xdr:col>99</xdr:col>
      <xdr:colOff>224114</xdr:colOff>
      <xdr:row>48</xdr:row>
      <xdr:rowOff>71719</xdr:rowOff>
    </xdr:from>
    <xdr:to>
      <xdr:col>100</xdr:col>
      <xdr:colOff>179290</xdr:colOff>
      <xdr:row>49</xdr:row>
      <xdr:rowOff>125507</xdr:rowOff>
    </xdr:to>
    <xdr:sp macro="" textlink="">
      <xdr:nvSpPr>
        <xdr:cNvPr id="365" name="CuadroTexto 364">
          <a:extLst>
            <a:ext uri="{FF2B5EF4-FFF2-40B4-BE49-F238E27FC236}">
              <a16:creationId xmlns:a16="http://schemas.microsoft.com/office/drawing/2014/main" id="{662FB631-D0D5-49F7-AD18-AC3EBC1B47A3}"/>
            </a:ext>
          </a:extLst>
        </xdr:cNvPr>
        <xdr:cNvSpPr txBox="1"/>
      </xdr:nvSpPr>
      <xdr:spPr>
        <a:xfrm>
          <a:off x="76199996" y="905435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417</a:t>
          </a:r>
        </a:p>
        <a:p>
          <a:pPr algn="ctr"/>
          <a:endParaRPr lang="es-MX" sz="1100"/>
        </a:p>
      </xdr:txBody>
    </xdr:sp>
    <xdr:clientData/>
  </xdr:twoCellAnchor>
  <xdr:twoCellAnchor>
    <xdr:from>
      <xdr:col>99</xdr:col>
      <xdr:colOff>385482</xdr:colOff>
      <xdr:row>60</xdr:row>
      <xdr:rowOff>0</xdr:rowOff>
    </xdr:from>
    <xdr:to>
      <xdr:col>100</xdr:col>
      <xdr:colOff>340658</xdr:colOff>
      <xdr:row>61</xdr:row>
      <xdr:rowOff>53788</xdr:rowOff>
    </xdr:to>
    <xdr:sp macro="" textlink="">
      <xdr:nvSpPr>
        <xdr:cNvPr id="366" name="CuadroTexto 365">
          <a:extLst>
            <a:ext uri="{FF2B5EF4-FFF2-40B4-BE49-F238E27FC236}">
              <a16:creationId xmlns:a16="http://schemas.microsoft.com/office/drawing/2014/main" id="{1A1FDA5D-96FB-4B26-97AE-6292C4A33F2D}"/>
            </a:ext>
          </a:extLst>
        </xdr:cNvPr>
        <xdr:cNvSpPr txBox="1"/>
      </xdr:nvSpPr>
      <xdr:spPr>
        <a:xfrm>
          <a:off x="76361364" y="1113416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285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101</xdr:col>
      <xdr:colOff>403412</xdr:colOff>
      <xdr:row>55</xdr:row>
      <xdr:rowOff>98611</xdr:rowOff>
    </xdr:from>
    <xdr:to>
      <xdr:col>102</xdr:col>
      <xdr:colOff>107577</xdr:colOff>
      <xdr:row>56</xdr:row>
      <xdr:rowOff>152399</xdr:rowOff>
    </xdr:to>
    <xdr:sp macro="" textlink="">
      <xdr:nvSpPr>
        <xdr:cNvPr id="367" name="CuadroTexto 366">
          <a:extLst>
            <a:ext uri="{FF2B5EF4-FFF2-40B4-BE49-F238E27FC236}">
              <a16:creationId xmlns:a16="http://schemas.microsoft.com/office/drawing/2014/main" id="{33592B95-C986-4D65-8E80-A23353AAD699}"/>
            </a:ext>
          </a:extLst>
        </xdr:cNvPr>
        <xdr:cNvSpPr txBox="1"/>
      </xdr:nvSpPr>
      <xdr:spPr>
        <a:xfrm>
          <a:off x="77490918" y="1033630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55</a:t>
          </a:r>
        </a:p>
        <a:p>
          <a:pPr algn="ctr"/>
          <a:endParaRPr lang="es-MX" sz="1100"/>
        </a:p>
      </xdr:txBody>
    </xdr:sp>
    <xdr:clientData/>
  </xdr:twoCellAnchor>
  <xdr:twoCellAnchor>
    <xdr:from>
      <xdr:col>91</xdr:col>
      <xdr:colOff>555813</xdr:colOff>
      <xdr:row>53</xdr:row>
      <xdr:rowOff>44823</xdr:rowOff>
    </xdr:from>
    <xdr:to>
      <xdr:col>92</xdr:col>
      <xdr:colOff>259977</xdr:colOff>
      <xdr:row>54</xdr:row>
      <xdr:rowOff>98611</xdr:rowOff>
    </xdr:to>
    <xdr:sp macro="" textlink="">
      <xdr:nvSpPr>
        <xdr:cNvPr id="368" name="CuadroTexto 367">
          <a:extLst>
            <a:ext uri="{FF2B5EF4-FFF2-40B4-BE49-F238E27FC236}">
              <a16:creationId xmlns:a16="http://schemas.microsoft.com/office/drawing/2014/main" id="{78FC1AC2-0305-438A-8CD8-7EAADE4197BA}"/>
            </a:ext>
          </a:extLst>
        </xdr:cNvPr>
        <xdr:cNvSpPr txBox="1"/>
      </xdr:nvSpPr>
      <xdr:spPr>
        <a:xfrm>
          <a:off x="70220542" y="986117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464</a:t>
          </a:r>
        </a:p>
        <a:p>
          <a:pPr algn="ctr"/>
          <a:endParaRPr lang="es-MX" sz="1100"/>
        </a:p>
      </xdr:txBody>
    </xdr:sp>
    <xdr:clientData/>
  </xdr:twoCellAnchor>
  <xdr:twoCellAnchor>
    <xdr:from>
      <xdr:col>91</xdr:col>
      <xdr:colOff>546847</xdr:colOff>
      <xdr:row>55</xdr:row>
      <xdr:rowOff>89647</xdr:rowOff>
    </xdr:from>
    <xdr:to>
      <xdr:col>92</xdr:col>
      <xdr:colOff>251011</xdr:colOff>
      <xdr:row>56</xdr:row>
      <xdr:rowOff>143436</xdr:rowOff>
    </xdr:to>
    <xdr:sp macro="" textlink="">
      <xdr:nvSpPr>
        <xdr:cNvPr id="369" name="CuadroTexto 368">
          <a:extLst>
            <a:ext uri="{FF2B5EF4-FFF2-40B4-BE49-F238E27FC236}">
              <a16:creationId xmlns:a16="http://schemas.microsoft.com/office/drawing/2014/main" id="{651D1100-1A5E-46E1-A4CF-0A409D3C51CC}"/>
            </a:ext>
          </a:extLst>
        </xdr:cNvPr>
        <xdr:cNvSpPr txBox="1"/>
      </xdr:nvSpPr>
      <xdr:spPr>
        <a:xfrm>
          <a:off x="70211576" y="10264588"/>
          <a:ext cx="493059" cy="23308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71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106</xdr:col>
      <xdr:colOff>412376</xdr:colOff>
      <xdr:row>11</xdr:row>
      <xdr:rowOff>98611</xdr:rowOff>
    </xdr:from>
    <xdr:to>
      <xdr:col>107</xdr:col>
      <xdr:colOff>116540</xdr:colOff>
      <xdr:row>12</xdr:row>
      <xdr:rowOff>152399</xdr:rowOff>
    </xdr:to>
    <xdr:sp macro="" textlink="">
      <xdr:nvSpPr>
        <xdr:cNvPr id="371" name="CuadroTexto 370">
          <a:extLst>
            <a:ext uri="{FF2B5EF4-FFF2-40B4-BE49-F238E27FC236}">
              <a16:creationId xmlns:a16="http://schemas.microsoft.com/office/drawing/2014/main" id="{9FBF7D1E-F357-4635-89C0-4F900492D202}"/>
            </a:ext>
          </a:extLst>
        </xdr:cNvPr>
        <xdr:cNvSpPr txBox="1"/>
      </xdr:nvSpPr>
      <xdr:spPr>
        <a:xfrm>
          <a:off x="81444352" y="2106705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832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106</xdr:col>
      <xdr:colOff>421341</xdr:colOff>
      <xdr:row>13</xdr:row>
      <xdr:rowOff>17928</xdr:rowOff>
    </xdr:from>
    <xdr:to>
      <xdr:col>107</xdr:col>
      <xdr:colOff>125505</xdr:colOff>
      <xdr:row>14</xdr:row>
      <xdr:rowOff>62751</xdr:rowOff>
    </xdr:to>
    <xdr:sp macro="" textlink="">
      <xdr:nvSpPr>
        <xdr:cNvPr id="372" name="CuadroTexto 371">
          <a:extLst>
            <a:ext uri="{FF2B5EF4-FFF2-40B4-BE49-F238E27FC236}">
              <a16:creationId xmlns:a16="http://schemas.microsoft.com/office/drawing/2014/main" id="{213175F2-A73E-485C-9E11-04FDF152085D}"/>
            </a:ext>
          </a:extLst>
        </xdr:cNvPr>
        <xdr:cNvSpPr txBox="1"/>
      </xdr:nvSpPr>
      <xdr:spPr>
        <a:xfrm>
          <a:off x="81453317" y="238461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75</a:t>
          </a:r>
        </a:p>
      </xdr:txBody>
    </xdr:sp>
    <xdr:clientData/>
  </xdr:twoCellAnchor>
  <xdr:twoCellAnchor>
    <xdr:from>
      <xdr:col>107</xdr:col>
      <xdr:colOff>268941</xdr:colOff>
      <xdr:row>2</xdr:row>
      <xdr:rowOff>71718</xdr:rowOff>
    </xdr:from>
    <xdr:to>
      <xdr:col>107</xdr:col>
      <xdr:colOff>762000</xdr:colOff>
      <xdr:row>3</xdr:row>
      <xdr:rowOff>125506</xdr:rowOff>
    </xdr:to>
    <xdr:sp macro="" textlink="">
      <xdr:nvSpPr>
        <xdr:cNvPr id="373" name="CuadroTexto 372">
          <a:extLst>
            <a:ext uri="{FF2B5EF4-FFF2-40B4-BE49-F238E27FC236}">
              <a16:creationId xmlns:a16="http://schemas.microsoft.com/office/drawing/2014/main" id="{75904353-D322-41E3-9F5F-BEAC25615E5F}"/>
            </a:ext>
          </a:extLst>
        </xdr:cNvPr>
        <xdr:cNvSpPr txBox="1"/>
      </xdr:nvSpPr>
      <xdr:spPr>
        <a:xfrm>
          <a:off x="82089812" y="43030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125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108</xdr:col>
      <xdr:colOff>17929</xdr:colOff>
      <xdr:row>2</xdr:row>
      <xdr:rowOff>71718</xdr:rowOff>
    </xdr:from>
    <xdr:to>
      <xdr:col>108</xdr:col>
      <xdr:colOff>510988</xdr:colOff>
      <xdr:row>3</xdr:row>
      <xdr:rowOff>125506</xdr:rowOff>
    </xdr:to>
    <xdr:sp macro="" textlink="">
      <xdr:nvSpPr>
        <xdr:cNvPr id="374" name="CuadroTexto 373">
          <a:extLst>
            <a:ext uri="{FF2B5EF4-FFF2-40B4-BE49-F238E27FC236}">
              <a16:creationId xmlns:a16="http://schemas.microsoft.com/office/drawing/2014/main" id="{AD261502-DE42-4055-8658-1A79B8587101}"/>
            </a:ext>
          </a:extLst>
        </xdr:cNvPr>
        <xdr:cNvSpPr txBox="1"/>
      </xdr:nvSpPr>
      <xdr:spPr>
        <a:xfrm>
          <a:off x="82618729" y="43030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484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108</xdr:col>
      <xdr:colOff>555812</xdr:colOff>
      <xdr:row>2</xdr:row>
      <xdr:rowOff>71718</xdr:rowOff>
    </xdr:from>
    <xdr:to>
      <xdr:col>109</xdr:col>
      <xdr:colOff>412377</xdr:colOff>
      <xdr:row>3</xdr:row>
      <xdr:rowOff>125506</xdr:rowOff>
    </xdr:to>
    <xdr:sp macro="" textlink="">
      <xdr:nvSpPr>
        <xdr:cNvPr id="375" name="CuadroTexto 374">
          <a:extLst>
            <a:ext uri="{FF2B5EF4-FFF2-40B4-BE49-F238E27FC236}">
              <a16:creationId xmlns:a16="http://schemas.microsoft.com/office/drawing/2014/main" id="{F5382510-8FFE-4BBD-9352-F6EA99851249}"/>
            </a:ext>
          </a:extLst>
        </xdr:cNvPr>
        <xdr:cNvSpPr txBox="1"/>
      </xdr:nvSpPr>
      <xdr:spPr>
        <a:xfrm>
          <a:off x="83156612" y="43030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440</a:t>
          </a:r>
        </a:p>
        <a:p>
          <a:pPr algn="ctr"/>
          <a:endParaRPr lang="es-MX" sz="1100"/>
        </a:p>
      </xdr:txBody>
    </xdr:sp>
    <xdr:clientData/>
  </xdr:twoCellAnchor>
  <xdr:twoCellAnchor>
    <xdr:from>
      <xdr:col>110</xdr:col>
      <xdr:colOff>591671</xdr:colOff>
      <xdr:row>7</xdr:row>
      <xdr:rowOff>44823</xdr:rowOff>
    </xdr:from>
    <xdr:to>
      <xdr:col>111</xdr:col>
      <xdr:colOff>295836</xdr:colOff>
      <xdr:row>8</xdr:row>
      <xdr:rowOff>89647</xdr:rowOff>
    </xdr:to>
    <xdr:sp macro="" textlink="">
      <xdr:nvSpPr>
        <xdr:cNvPr id="376" name="CuadroTexto 375">
          <a:extLst>
            <a:ext uri="{FF2B5EF4-FFF2-40B4-BE49-F238E27FC236}">
              <a16:creationId xmlns:a16="http://schemas.microsoft.com/office/drawing/2014/main" id="{36D86186-6A2C-4A40-8FF8-91A90626C4DD}"/>
            </a:ext>
          </a:extLst>
        </xdr:cNvPr>
        <xdr:cNvSpPr txBox="1"/>
      </xdr:nvSpPr>
      <xdr:spPr>
        <a:xfrm>
          <a:off x="84510283" y="130884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450</a:t>
          </a:r>
        </a:p>
        <a:p>
          <a:pPr algn="ctr"/>
          <a:endParaRPr lang="es-MX" sz="1100"/>
        </a:p>
      </xdr:txBody>
    </xdr:sp>
    <xdr:clientData/>
  </xdr:twoCellAnchor>
  <xdr:twoCellAnchor>
    <xdr:from>
      <xdr:col>110</xdr:col>
      <xdr:colOff>591670</xdr:colOff>
      <xdr:row>8</xdr:row>
      <xdr:rowOff>125505</xdr:rowOff>
    </xdr:from>
    <xdr:to>
      <xdr:col>111</xdr:col>
      <xdr:colOff>295835</xdr:colOff>
      <xdr:row>9</xdr:row>
      <xdr:rowOff>170328</xdr:rowOff>
    </xdr:to>
    <xdr:sp macro="" textlink="">
      <xdr:nvSpPr>
        <xdr:cNvPr id="377" name="CuadroTexto 376">
          <a:extLst>
            <a:ext uri="{FF2B5EF4-FFF2-40B4-BE49-F238E27FC236}">
              <a16:creationId xmlns:a16="http://schemas.microsoft.com/office/drawing/2014/main" id="{CA32E983-9B53-4000-99E4-1AD6A8FD6012}"/>
            </a:ext>
          </a:extLst>
        </xdr:cNvPr>
        <xdr:cNvSpPr txBox="1"/>
      </xdr:nvSpPr>
      <xdr:spPr>
        <a:xfrm>
          <a:off x="84510282" y="1577787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708</a:t>
          </a:r>
        </a:p>
        <a:p>
          <a:pPr algn="ctr"/>
          <a:endParaRPr lang="es-MX" sz="1100"/>
        </a:p>
      </xdr:txBody>
    </xdr:sp>
    <xdr:clientData/>
  </xdr:twoCellAnchor>
  <xdr:twoCellAnchor>
    <xdr:from>
      <xdr:col>110</xdr:col>
      <xdr:colOff>600635</xdr:colOff>
      <xdr:row>10</xdr:row>
      <xdr:rowOff>35859</xdr:rowOff>
    </xdr:from>
    <xdr:to>
      <xdr:col>111</xdr:col>
      <xdr:colOff>304800</xdr:colOff>
      <xdr:row>11</xdr:row>
      <xdr:rowOff>80682</xdr:rowOff>
    </xdr:to>
    <xdr:sp macro="" textlink="">
      <xdr:nvSpPr>
        <xdr:cNvPr id="378" name="CuadroTexto 377">
          <a:extLst>
            <a:ext uri="{FF2B5EF4-FFF2-40B4-BE49-F238E27FC236}">
              <a16:creationId xmlns:a16="http://schemas.microsoft.com/office/drawing/2014/main" id="{834EA24E-7D37-4A00-ADE7-17486D360B39}"/>
            </a:ext>
          </a:extLst>
        </xdr:cNvPr>
        <xdr:cNvSpPr txBox="1"/>
      </xdr:nvSpPr>
      <xdr:spPr>
        <a:xfrm>
          <a:off x="84519247" y="185569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350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108</xdr:col>
      <xdr:colOff>313765</xdr:colOff>
      <xdr:row>18</xdr:row>
      <xdr:rowOff>71720</xdr:rowOff>
    </xdr:from>
    <xdr:to>
      <xdr:col>109</xdr:col>
      <xdr:colOff>170330</xdr:colOff>
      <xdr:row>19</xdr:row>
      <xdr:rowOff>116543</xdr:rowOff>
    </xdr:to>
    <xdr:sp macro="" textlink="">
      <xdr:nvSpPr>
        <xdr:cNvPr id="381" name="CuadroTexto 380">
          <a:extLst>
            <a:ext uri="{FF2B5EF4-FFF2-40B4-BE49-F238E27FC236}">
              <a16:creationId xmlns:a16="http://schemas.microsoft.com/office/drawing/2014/main" id="{C2B58692-DCAB-4BB6-83E3-E6C99F56487C}"/>
            </a:ext>
          </a:extLst>
        </xdr:cNvPr>
        <xdr:cNvSpPr txBox="1"/>
      </xdr:nvSpPr>
      <xdr:spPr>
        <a:xfrm>
          <a:off x="82914565" y="342452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120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109</xdr:col>
      <xdr:colOff>206189</xdr:colOff>
      <xdr:row>18</xdr:row>
      <xdr:rowOff>71720</xdr:rowOff>
    </xdr:from>
    <xdr:to>
      <xdr:col>110</xdr:col>
      <xdr:colOff>17930</xdr:colOff>
      <xdr:row>19</xdr:row>
      <xdr:rowOff>116543</xdr:rowOff>
    </xdr:to>
    <xdr:sp macro="" textlink="">
      <xdr:nvSpPr>
        <xdr:cNvPr id="382" name="CuadroTexto 381">
          <a:extLst>
            <a:ext uri="{FF2B5EF4-FFF2-40B4-BE49-F238E27FC236}">
              <a16:creationId xmlns:a16="http://schemas.microsoft.com/office/drawing/2014/main" id="{C0769ABD-360E-4866-A29B-B74EDE58B72D}"/>
            </a:ext>
          </a:extLst>
        </xdr:cNvPr>
        <xdr:cNvSpPr txBox="1"/>
      </xdr:nvSpPr>
      <xdr:spPr>
        <a:xfrm>
          <a:off x="83443483" y="342452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605</a:t>
          </a:r>
        </a:p>
        <a:p>
          <a:pPr algn="ctr"/>
          <a:endParaRPr lang="es-MX" sz="1100"/>
        </a:p>
      </xdr:txBody>
    </xdr:sp>
    <xdr:clientData/>
  </xdr:twoCellAnchor>
  <xdr:twoCellAnchor>
    <xdr:from>
      <xdr:col>110</xdr:col>
      <xdr:colOff>62753</xdr:colOff>
      <xdr:row>18</xdr:row>
      <xdr:rowOff>71720</xdr:rowOff>
    </xdr:from>
    <xdr:to>
      <xdr:col>110</xdr:col>
      <xdr:colOff>555812</xdr:colOff>
      <xdr:row>19</xdr:row>
      <xdr:rowOff>116543</xdr:rowOff>
    </xdr:to>
    <xdr:sp macro="" textlink="">
      <xdr:nvSpPr>
        <xdr:cNvPr id="383" name="CuadroTexto 382">
          <a:extLst>
            <a:ext uri="{FF2B5EF4-FFF2-40B4-BE49-F238E27FC236}">
              <a16:creationId xmlns:a16="http://schemas.microsoft.com/office/drawing/2014/main" id="{15C71FBB-DB6C-4288-BA03-CBB4A9D95F2A}"/>
            </a:ext>
          </a:extLst>
        </xdr:cNvPr>
        <xdr:cNvSpPr txBox="1"/>
      </xdr:nvSpPr>
      <xdr:spPr>
        <a:xfrm>
          <a:off x="83981365" y="3424520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326</a:t>
          </a:r>
        </a:p>
        <a:p>
          <a:pPr algn="ctr"/>
          <a:endParaRPr lang="es-MX" sz="1100"/>
        </a:p>
      </xdr:txBody>
    </xdr:sp>
    <xdr:clientData/>
  </xdr:twoCellAnchor>
  <xdr:twoCellAnchor>
    <xdr:from>
      <xdr:col>116</xdr:col>
      <xdr:colOff>0</xdr:colOff>
      <xdr:row>9</xdr:row>
      <xdr:rowOff>0</xdr:rowOff>
    </xdr:from>
    <xdr:to>
      <xdr:col>116</xdr:col>
      <xdr:colOff>493059</xdr:colOff>
      <xdr:row>10</xdr:row>
      <xdr:rowOff>53788</xdr:rowOff>
    </xdr:to>
    <xdr:sp macro="" textlink="">
      <xdr:nvSpPr>
        <xdr:cNvPr id="384" name="CuadroTexto 383">
          <a:extLst>
            <a:ext uri="{FF2B5EF4-FFF2-40B4-BE49-F238E27FC236}">
              <a16:creationId xmlns:a16="http://schemas.microsoft.com/office/drawing/2014/main" id="{149CAA8B-57C6-4070-9600-FE8B5FD1504B}"/>
            </a:ext>
          </a:extLst>
        </xdr:cNvPr>
        <xdr:cNvSpPr txBox="1"/>
      </xdr:nvSpPr>
      <xdr:spPr>
        <a:xfrm>
          <a:off x="88651976" y="1640541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1530</a:t>
          </a:r>
        </a:p>
        <a:p>
          <a:pPr algn="ctr"/>
          <a:endParaRPr lang="es-MX" sz="1100"/>
        </a:p>
      </xdr:txBody>
    </xdr:sp>
    <xdr:clientData/>
  </xdr:twoCellAnchor>
  <xdr:twoCellAnchor>
    <xdr:from>
      <xdr:col>116</xdr:col>
      <xdr:colOff>0</xdr:colOff>
      <xdr:row>11</xdr:row>
      <xdr:rowOff>0</xdr:rowOff>
    </xdr:from>
    <xdr:to>
      <xdr:col>116</xdr:col>
      <xdr:colOff>493059</xdr:colOff>
      <xdr:row>12</xdr:row>
      <xdr:rowOff>53788</xdr:rowOff>
    </xdr:to>
    <xdr:sp macro="" textlink="">
      <xdr:nvSpPr>
        <xdr:cNvPr id="385" name="CuadroTexto 384">
          <a:extLst>
            <a:ext uri="{FF2B5EF4-FFF2-40B4-BE49-F238E27FC236}">
              <a16:creationId xmlns:a16="http://schemas.microsoft.com/office/drawing/2014/main" id="{0BD2F3A3-0D82-435D-AF5D-6CFFE7093BB8}"/>
            </a:ext>
          </a:extLst>
        </xdr:cNvPr>
        <xdr:cNvSpPr txBox="1"/>
      </xdr:nvSpPr>
      <xdr:spPr>
        <a:xfrm>
          <a:off x="88651976" y="200809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1604</a:t>
          </a:r>
        </a:p>
        <a:p>
          <a:pPr algn="ctr"/>
          <a:endParaRPr lang="es-MX" sz="1100"/>
        </a:p>
      </xdr:txBody>
    </xdr:sp>
    <xdr:clientData/>
  </xdr:twoCellAnchor>
  <xdr:twoCellAnchor>
    <xdr:from>
      <xdr:col>88</xdr:col>
      <xdr:colOff>753035</xdr:colOff>
      <xdr:row>43</xdr:row>
      <xdr:rowOff>53787</xdr:rowOff>
    </xdr:from>
    <xdr:to>
      <xdr:col>89</xdr:col>
      <xdr:colOff>457200</xdr:colOff>
      <xdr:row>44</xdr:row>
      <xdr:rowOff>107575</xdr:rowOff>
    </xdr:to>
    <xdr:sp macro="" textlink="">
      <xdr:nvSpPr>
        <xdr:cNvPr id="386" name="CuadroTexto 385">
          <a:extLst>
            <a:ext uri="{FF2B5EF4-FFF2-40B4-BE49-F238E27FC236}">
              <a16:creationId xmlns:a16="http://schemas.microsoft.com/office/drawing/2014/main" id="{E4661D32-2C68-4AB9-86D2-FCF2BF97D714}"/>
            </a:ext>
          </a:extLst>
        </xdr:cNvPr>
        <xdr:cNvSpPr txBox="1"/>
      </xdr:nvSpPr>
      <xdr:spPr>
        <a:xfrm>
          <a:off x="68051082" y="8139952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448</a:t>
          </a:r>
        </a:p>
        <a:p>
          <a:pPr algn="ctr"/>
          <a:endParaRPr lang="es-MX" sz="1100"/>
        </a:p>
      </xdr:txBody>
    </xdr:sp>
    <xdr:clientData/>
  </xdr:twoCellAnchor>
  <xdr:twoCellAnchor>
    <xdr:from>
      <xdr:col>84</xdr:col>
      <xdr:colOff>717177</xdr:colOff>
      <xdr:row>43</xdr:row>
      <xdr:rowOff>134471</xdr:rowOff>
    </xdr:from>
    <xdr:to>
      <xdr:col>85</xdr:col>
      <xdr:colOff>421342</xdr:colOff>
      <xdr:row>45</xdr:row>
      <xdr:rowOff>8965</xdr:rowOff>
    </xdr:to>
    <xdr:sp macro="" textlink="">
      <xdr:nvSpPr>
        <xdr:cNvPr id="387" name="CuadroTexto 386">
          <a:extLst>
            <a:ext uri="{FF2B5EF4-FFF2-40B4-BE49-F238E27FC236}">
              <a16:creationId xmlns:a16="http://schemas.microsoft.com/office/drawing/2014/main" id="{8640F543-65B9-42D9-9973-A92B527FFD5C}"/>
            </a:ext>
          </a:extLst>
        </xdr:cNvPr>
        <xdr:cNvSpPr txBox="1"/>
      </xdr:nvSpPr>
      <xdr:spPr>
        <a:xfrm>
          <a:off x="64859648" y="822063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95</a:t>
          </a:r>
        </a:p>
        <a:p>
          <a:pPr algn="ctr"/>
          <a:endParaRPr lang="es-MX" sz="1100"/>
        </a:p>
      </xdr:txBody>
    </xdr:sp>
    <xdr:clientData/>
  </xdr:twoCellAnchor>
  <xdr:twoCellAnchor>
    <xdr:from>
      <xdr:col>87</xdr:col>
      <xdr:colOff>152400</xdr:colOff>
      <xdr:row>48</xdr:row>
      <xdr:rowOff>170329</xdr:rowOff>
    </xdr:from>
    <xdr:to>
      <xdr:col>87</xdr:col>
      <xdr:colOff>645459</xdr:colOff>
      <xdr:row>50</xdr:row>
      <xdr:rowOff>44822</xdr:rowOff>
    </xdr:to>
    <xdr:sp macro="" textlink="">
      <xdr:nvSpPr>
        <xdr:cNvPr id="388" name="CuadroTexto 387">
          <a:extLst>
            <a:ext uri="{FF2B5EF4-FFF2-40B4-BE49-F238E27FC236}">
              <a16:creationId xmlns:a16="http://schemas.microsoft.com/office/drawing/2014/main" id="{6B010583-8D43-4380-97F6-5E39C42F0303}"/>
            </a:ext>
          </a:extLst>
        </xdr:cNvPr>
        <xdr:cNvSpPr txBox="1"/>
      </xdr:nvSpPr>
      <xdr:spPr>
        <a:xfrm>
          <a:off x="66661553" y="9152964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189</a:t>
          </a:r>
        </a:p>
        <a:p>
          <a:pPr algn="ctr"/>
          <a:endParaRPr lang="es-MX" sz="1100"/>
        </a:p>
      </xdr:txBody>
    </xdr:sp>
    <xdr:clientData/>
  </xdr:twoCellAnchor>
  <xdr:twoCellAnchor>
    <xdr:from>
      <xdr:col>87</xdr:col>
      <xdr:colOff>286870</xdr:colOff>
      <xdr:row>45</xdr:row>
      <xdr:rowOff>44599</xdr:rowOff>
    </xdr:from>
    <xdr:to>
      <xdr:col>87</xdr:col>
      <xdr:colOff>510987</xdr:colOff>
      <xdr:row>48</xdr:row>
      <xdr:rowOff>134474</xdr:rowOff>
    </xdr:to>
    <xdr:sp macro="" textlink="">
      <xdr:nvSpPr>
        <xdr:cNvPr id="389" name="Flecha: hacia la izquierda 388">
          <a:extLst>
            <a:ext uri="{FF2B5EF4-FFF2-40B4-BE49-F238E27FC236}">
              <a16:creationId xmlns:a16="http://schemas.microsoft.com/office/drawing/2014/main" id="{0FEB8CAB-548C-4994-8D0E-A95FB72C672E}"/>
            </a:ext>
          </a:extLst>
        </xdr:cNvPr>
        <xdr:cNvSpPr/>
      </xdr:nvSpPr>
      <xdr:spPr>
        <a:xfrm rot="5400000">
          <a:off x="66594203" y="8691172"/>
          <a:ext cx="627757" cy="22411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152399</xdr:colOff>
      <xdr:row>34</xdr:row>
      <xdr:rowOff>134470</xdr:rowOff>
    </xdr:from>
    <xdr:to>
      <xdr:col>62</xdr:col>
      <xdr:colOff>645458</xdr:colOff>
      <xdr:row>36</xdr:row>
      <xdr:rowOff>8964</xdr:rowOff>
    </xdr:to>
    <xdr:sp macro="" textlink="">
      <xdr:nvSpPr>
        <xdr:cNvPr id="391" name="CuadroTexto 390">
          <a:extLst>
            <a:ext uri="{FF2B5EF4-FFF2-40B4-BE49-F238E27FC236}">
              <a16:creationId xmlns:a16="http://schemas.microsoft.com/office/drawing/2014/main" id="{6260F398-8A0E-4DD7-9B96-A444BD426D79}"/>
            </a:ext>
          </a:extLst>
        </xdr:cNvPr>
        <xdr:cNvSpPr txBox="1"/>
      </xdr:nvSpPr>
      <xdr:spPr>
        <a:xfrm>
          <a:off x="47629481" y="6606988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780</a:t>
          </a:r>
        </a:p>
        <a:p>
          <a:pPr algn="ctr"/>
          <a:endParaRPr lang="es-MX" sz="1100"/>
        </a:p>
      </xdr:txBody>
    </xdr:sp>
    <xdr:clientData/>
  </xdr:twoCellAnchor>
  <xdr:twoCellAnchor>
    <xdr:from>
      <xdr:col>76</xdr:col>
      <xdr:colOff>600639</xdr:colOff>
      <xdr:row>18</xdr:row>
      <xdr:rowOff>84750</xdr:rowOff>
    </xdr:from>
    <xdr:to>
      <xdr:col>79</xdr:col>
      <xdr:colOff>291759</xdr:colOff>
      <xdr:row>21</xdr:row>
      <xdr:rowOff>140990</xdr:rowOff>
    </xdr:to>
    <xdr:sp macro="" textlink="">
      <xdr:nvSpPr>
        <xdr:cNvPr id="392" name="CuadroTexto 391">
          <a:extLst>
            <a:ext uri="{FF2B5EF4-FFF2-40B4-BE49-F238E27FC236}">
              <a16:creationId xmlns:a16="http://schemas.microsoft.com/office/drawing/2014/main" id="{80864405-D505-4D49-BD46-A518E01FB237}"/>
            </a:ext>
          </a:extLst>
        </xdr:cNvPr>
        <xdr:cNvSpPr txBox="1"/>
      </xdr:nvSpPr>
      <xdr:spPr>
        <a:xfrm>
          <a:off x="58808474" y="3437550"/>
          <a:ext cx="1681285" cy="7106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Guadalupe</a:t>
          </a:r>
          <a:r>
            <a:rPr lang="es-MX" sz="1400" baseline="0"/>
            <a:t> Victoria</a:t>
          </a:r>
          <a:endParaRPr lang="es-MX" sz="1400"/>
        </a:p>
      </xdr:txBody>
    </xdr:sp>
    <xdr:clientData/>
  </xdr:twoCellAnchor>
  <xdr:twoCellAnchor>
    <xdr:from>
      <xdr:col>98</xdr:col>
      <xdr:colOff>674476</xdr:colOff>
      <xdr:row>5</xdr:row>
      <xdr:rowOff>105455</xdr:rowOff>
    </xdr:from>
    <xdr:to>
      <xdr:col>100</xdr:col>
      <xdr:colOff>159241</xdr:colOff>
      <xdr:row>9</xdr:row>
      <xdr:rowOff>78560</xdr:rowOff>
    </xdr:to>
    <xdr:grpSp>
      <xdr:nvGrpSpPr>
        <xdr:cNvPr id="397" name="Grupo 396">
          <a:extLst>
            <a:ext uri="{FF2B5EF4-FFF2-40B4-BE49-F238E27FC236}">
              <a16:creationId xmlns:a16="http://schemas.microsoft.com/office/drawing/2014/main" id="{65DACFA8-7E0B-434F-9F71-CD419EBBF431}"/>
            </a:ext>
          </a:extLst>
        </xdr:cNvPr>
        <xdr:cNvGrpSpPr/>
      </xdr:nvGrpSpPr>
      <xdr:grpSpPr>
        <a:xfrm rot="5400000">
          <a:off x="75313134" y="1002768"/>
          <a:ext cx="735105" cy="812822"/>
          <a:chOff x="75151129" y="1877869"/>
          <a:chExt cx="708211" cy="811542"/>
        </a:xfrm>
      </xdr:grpSpPr>
      <xdr:sp macro="" textlink="">
        <xdr:nvSpPr>
          <xdr:cNvPr id="398" name="Flecha: doblada hacia arriba 397">
            <a:extLst>
              <a:ext uri="{FF2B5EF4-FFF2-40B4-BE49-F238E27FC236}">
                <a16:creationId xmlns:a16="http://schemas.microsoft.com/office/drawing/2014/main" id="{05A50E7C-DF07-7728-782E-B9C40D345EB1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399" name="Flecha: hacia la izquierda 398">
            <a:extLst>
              <a:ext uri="{FF2B5EF4-FFF2-40B4-BE49-F238E27FC236}">
                <a16:creationId xmlns:a16="http://schemas.microsoft.com/office/drawing/2014/main" id="{2DE8D4A5-8D99-F05C-8B5A-B64B3866902D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00" name="Flecha: doblada hacia arriba 399">
            <a:extLst>
              <a:ext uri="{FF2B5EF4-FFF2-40B4-BE49-F238E27FC236}">
                <a16:creationId xmlns:a16="http://schemas.microsoft.com/office/drawing/2014/main" id="{E21C542D-64B9-9087-2167-44E9074A3C43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100</xdr:col>
      <xdr:colOff>450358</xdr:colOff>
      <xdr:row>7</xdr:row>
      <xdr:rowOff>150277</xdr:rowOff>
    </xdr:from>
    <xdr:to>
      <xdr:col>101</xdr:col>
      <xdr:colOff>584828</xdr:colOff>
      <xdr:row>12</xdr:row>
      <xdr:rowOff>38455</xdr:rowOff>
    </xdr:to>
    <xdr:grpSp>
      <xdr:nvGrpSpPr>
        <xdr:cNvPr id="401" name="Grupo 400">
          <a:extLst>
            <a:ext uri="{FF2B5EF4-FFF2-40B4-BE49-F238E27FC236}">
              <a16:creationId xmlns:a16="http://schemas.microsoft.com/office/drawing/2014/main" id="{40AFBCDD-0692-4916-927F-3BFC35350BB0}"/>
            </a:ext>
          </a:extLst>
        </xdr:cNvPr>
        <xdr:cNvGrpSpPr/>
      </xdr:nvGrpSpPr>
      <xdr:grpSpPr>
        <a:xfrm rot="10800000">
          <a:off x="76378215" y="1456563"/>
          <a:ext cx="711413" cy="846121"/>
          <a:chOff x="75151129" y="1877869"/>
          <a:chExt cx="708211" cy="811542"/>
        </a:xfrm>
      </xdr:grpSpPr>
      <xdr:sp macro="" textlink="">
        <xdr:nvSpPr>
          <xdr:cNvPr id="402" name="Flecha: doblada hacia arriba 401">
            <a:extLst>
              <a:ext uri="{FF2B5EF4-FFF2-40B4-BE49-F238E27FC236}">
                <a16:creationId xmlns:a16="http://schemas.microsoft.com/office/drawing/2014/main" id="{81A2CE52-4A49-C036-526B-2085568C4B82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03" name="Flecha: hacia la izquierda 402">
            <a:extLst>
              <a:ext uri="{FF2B5EF4-FFF2-40B4-BE49-F238E27FC236}">
                <a16:creationId xmlns:a16="http://schemas.microsoft.com/office/drawing/2014/main" id="{7556B6F3-46FF-B938-6C0F-2E85E9D69060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04" name="Flecha: doblada hacia arriba 403">
            <a:extLst>
              <a:ext uri="{FF2B5EF4-FFF2-40B4-BE49-F238E27FC236}">
                <a16:creationId xmlns:a16="http://schemas.microsoft.com/office/drawing/2014/main" id="{DC4D4555-E742-3B76-7D4C-E26A08A43DF9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99</xdr:col>
      <xdr:colOff>461448</xdr:colOff>
      <xdr:row>13</xdr:row>
      <xdr:rowOff>13684</xdr:rowOff>
    </xdr:from>
    <xdr:to>
      <xdr:col>101</xdr:col>
      <xdr:colOff>161366</xdr:colOff>
      <xdr:row>16</xdr:row>
      <xdr:rowOff>148153</xdr:rowOff>
    </xdr:to>
    <xdr:grpSp>
      <xdr:nvGrpSpPr>
        <xdr:cNvPr id="405" name="Grupo 404">
          <a:extLst>
            <a:ext uri="{FF2B5EF4-FFF2-40B4-BE49-F238E27FC236}">
              <a16:creationId xmlns:a16="http://schemas.microsoft.com/office/drawing/2014/main" id="{E3DF7130-5132-4E0B-ADCE-649BCB50F5E3}"/>
            </a:ext>
          </a:extLst>
        </xdr:cNvPr>
        <xdr:cNvGrpSpPr/>
      </xdr:nvGrpSpPr>
      <xdr:grpSpPr>
        <a:xfrm rot="16200000">
          <a:off x="75899887" y="2418988"/>
          <a:ext cx="722297" cy="810261"/>
          <a:chOff x="75151129" y="1877869"/>
          <a:chExt cx="708211" cy="811542"/>
        </a:xfrm>
      </xdr:grpSpPr>
      <xdr:sp macro="" textlink="">
        <xdr:nvSpPr>
          <xdr:cNvPr id="406" name="Flecha: doblada hacia arriba 405">
            <a:extLst>
              <a:ext uri="{FF2B5EF4-FFF2-40B4-BE49-F238E27FC236}">
                <a16:creationId xmlns:a16="http://schemas.microsoft.com/office/drawing/2014/main" id="{3DD90144-23F6-B3D3-49E5-C352200F0A59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07" name="Flecha: hacia la izquierda 406">
            <a:extLst>
              <a:ext uri="{FF2B5EF4-FFF2-40B4-BE49-F238E27FC236}">
                <a16:creationId xmlns:a16="http://schemas.microsoft.com/office/drawing/2014/main" id="{D3B890C7-1BF7-E8FD-6F9D-0145C72E2073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08" name="Flecha: doblada hacia arriba 407">
            <a:extLst>
              <a:ext uri="{FF2B5EF4-FFF2-40B4-BE49-F238E27FC236}">
                <a16:creationId xmlns:a16="http://schemas.microsoft.com/office/drawing/2014/main" id="{FAAB6D3B-A91C-4C55-73F7-158F06B17954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98</xdr:col>
      <xdr:colOff>107576</xdr:colOff>
      <xdr:row>30</xdr:row>
      <xdr:rowOff>116541</xdr:rowOff>
    </xdr:from>
    <xdr:to>
      <xdr:col>99</xdr:col>
      <xdr:colOff>26893</xdr:colOff>
      <xdr:row>35</xdr:row>
      <xdr:rowOff>31612</xdr:rowOff>
    </xdr:to>
    <xdr:grpSp>
      <xdr:nvGrpSpPr>
        <xdr:cNvPr id="409" name="Grupo 408">
          <a:extLst>
            <a:ext uri="{FF2B5EF4-FFF2-40B4-BE49-F238E27FC236}">
              <a16:creationId xmlns:a16="http://schemas.microsoft.com/office/drawing/2014/main" id="{CAAAA2E1-AE5F-4BE6-BBB7-1772844B8857}"/>
            </a:ext>
          </a:extLst>
        </xdr:cNvPr>
        <xdr:cNvGrpSpPr/>
      </xdr:nvGrpSpPr>
      <xdr:grpSpPr>
        <a:xfrm>
          <a:off x="74707376" y="5831541"/>
          <a:ext cx="713974" cy="840357"/>
          <a:chOff x="75151129" y="1877869"/>
          <a:chExt cx="708211" cy="811542"/>
        </a:xfrm>
      </xdr:grpSpPr>
      <xdr:sp macro="" textlink="">
        <xdr:nvSpPr>
          <xdr:cNvPr id="410" name="Flecha: doblada hacia arriba 409">
            <a:extLst>
              <a:ext uri="{FF2B5EF4-FFF2-40B4-BE49-F238E27FC236}">
                <a16:creationId xmlns:a16="http://schemas.microsoft.com/office/drawing/2014/main" id="{3308D064-477E-A312-C727-7F708E58539F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11" name="Flecha: hacia la izquierda 410">
            <a:extLst>
              <a:ext uri="{FF2B5EF4-FFF2-40B4-BE49-F238E27FC236}">
                <a16:creationId xmlns:a16="http://schemas.microsoft.com/office/drawing/2014/main" id="{368AFAC1-88A1-E56A-840B-07E9B09248BA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12" name="Flecha: doblada hacia arriba 411">
            <a:extLst>
              <a:ext uri="{FF2B5EF4-FFF2-40B4-BE49-F238E27FC236}">
                <a16:creationId xmlns:a16="http://schemas.microsoft.com/office/drawing/2014/main" id="{3437065C-EB4A-E750-B4BE-05178BA99AC2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100</xdr:col>
      <xdr:colOff>475128</xdr:colOff>
      <xdr:row>28</xdr:row>
      <xdr:rowOff>98612</xdr:rowOff>
    </xdr:from>
    <xdr:to>
      <xdr:col>101</xdr:col>
      <xdr:colOff>609598</xdr:colOff>
      <xdr:row>33</xdr:row>
      <xdr:rowOff>13683</xdr:rowOff>
    </xdr:to>
    <xdr:grpSp>
      <xdr:nvGrpSpPr>
        <xdr:cNvPr id="413" name="Grupo 412">
          <a:extLst>
            <a:ext uri="{FF2B5EF4-FFF2-40B4-BE49-F238E27FC236}">
              <a16:creationId xmlns:a16="http://schemas.microsoft.com/office/drawing/2014/main" id="{32DDC5CE-F7DD-4B30-B77B-B946E4E54CE1}"/>
            </a:ext>
          </a:extLst>
        </xdr:cNvPr>
        <xdr:cNvGrpSpPr/>
      </xdr:nvGrpSpPr>
      <xdr:grpSpPr>
        <a:xfrm rot="10800000">
          <a:off x="76402985" y="5443498"/>
          <a:ext cx="711413" cy="840356"/>
          <a:chOff x="75151129" y="1877869"/>
          <a:chExt cx="708211" cy="811542"/>
        </a:xfrm>
      </xdr:grpSpPr>
      <xdr:sp macro="" textlink="">
        <xdr:nvSpPr>
          <xdr:cNvPr id="414" name="Flecha: doblada hacia arriba 413">
            <a:extLst>
              <a:ext uri="{FF2B5EF4-FFF2-40B4-BE49-F238E27FC236}">
                <a16:creationId xmlns:a16="http://schemas.microsoft.com/office/drawing/2014/main" id="{190D51C3-3AEC-F78A-92BE-6EC6A414350C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15" name="Flecha: hacia la izquierda 414">
            <a:extLst>
              <a:ext uri="{FF2B5EF4-FFF2-40B4-BE49-F238E27FC236}">
                <a16:creationId xmlns:a16="http://schemas.microsoft.com/office/drawing/2014/main" id="{52657E5A-344A-B568-D59E-31B6E9065216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16" name="Flecha: doblada hacia arriba 415">
            <a:extLst>
              <a:ext uri="{FF2B5EF4-FFF2-40B4-BE49-F238E27FC236}">
                <a16:creationId xmlns:a16="http://schemas.microsoft.com/office/drawing/2014/main" id="{8027FB3D-DE90-A331-C9B4-19C65C89DDCB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98</xdr:col>
      <xdr:colOff>638617</xdr:colOff>
      <xdr:row>26</xdr:row>
      <xdr:rowOff>51666</xdr:rowOff>
    </xdr:from>
    <xdr:to>
      <xdr:col>100</xdr:col>
      <xdr:colOff>123382</xdr:colOff>
      <xdr:row>30</xdr:row>
      <xdr:rowOff>42701</xdr:rowOff>
    </xdr:to>
    <xdr:grpSp>
      <xdr:nvGrpSpPr>
        <xdr:cNvPr id="417" name="Grupo 416">
          <a:extLst>
            <a:ext uri="{FF2B5EF4-FFF2-40B4-BE49-F238E27FC236}">
              <a16:creationId xmlns:a16="http://schemas.microsoft.com/office/drawing/2014/main" id="{F57139B0-A805-4389-BF44-8E9E844CA380}"/>
            </a:ext>
          </a:extLst>
        </xdr:cNvPr>
        <xdr:cNvGrpSpPr/>
      </xdr:nvGrpSpPr>
      <xdr:grpSpPr>
        <a:xfrm rot="5400000">
          <a:off x="75279196" y="4985658"/>
          <a:ext cx="731264" cy="812822"/>
          <a:chOff x="75151129" y="1877869"/>
          <a:chExt cx="708211" cy="811542"/>
        </a:xfrm>
      </xdr:grpSpPr>
      <xdr:sp macro="" textlink="">
        <xdr:nvSpPr>
          <xdr:cNvPr id="418" name="Flecha: doblada hacia arriba 417">
            <a:extLst>
              <a:ext uri="{FF2B5EF4-FFF2-40B4-BE49-F238E27FC236}">
                <a16:creationId xmlns:a16="http://schemas.microsoft.com/office/drawing/2014/main" id="{784EB270-9A1C-4399-B805-4BAFB53F5103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19" name="Flecha: hacia la izquierda 418">
            <a:extLst>
              <a:ext uri="{FF2B5EF4-FFF2-40B4-BE49-F238E27FC236}">
                <a16:creationId xmlns:a16="http://schemas.microsoft.com/office/drawing/2014/main" id="{4585150E-8E4C-8281-F96C-EFA214E100F5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20" name="Flecha: doblada hacia arriba 419">
            <a:extLst>
              <a:ext uri="{FF2B5EF4-FFF2-40B4-BE49-F238E27FC236}">
                <a16:creationId xmlns:a16="http://schemas.microsoft.com/office/drawing/2014/main" id="{3295D0C8-76C6-5BA3-095B-072894722C4A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99</xdr:col>
      <xdr:colOff>443518</xdr:colOff>
      <xdr:row>33</xdr:row>
      <xdr:rowOff>157119</xdr:rowOff>
    </xdr:from>
    <xdr:to>
      <xdr:col>101</xdr:col>
      <xdr:colOff>143436</xdr:colOff>
      <xdr:row>37</xdr:row>
      <xdr:rowOff>148154</xdr:rowOff>
    </xdr:to>
    <xdr:grpSp>
      <xdr:nvGrpSpPr>
        <xdr:cNvPr id="421" name="Grupo 420">
          <a:extLst>
            <a:ext uri="{FF2B5EF4-FFF2-40B4-BE49-F238E27FC236}">
              <a16:creationId xmlns:a16="http://schemas.microsoft.com/office/drawing/2014/main" id="{F557DB06-7441-4BBB-AA39-EE054F1EE377}"/>
            </a:ext>
          </a:extLst>
        </xdr:cNvPr>
        <xdr:cNvGrpSpPr/>
      </xdr:nvGrpSpPr>
      <xdr:grpSpPr>
        <a:xfrm rot="16200000">
          <a:off x="75877474" y="6387791"/>
          <a:ext cx="731264" cy="810261"/>
          <a:chOff x="75151129" y="1877869"/>
          <a:chExt cx="708211" cy="811542"/>
        </a:xfrm>
      </xdr:grpSpPr>
      <xdr:sp macro="" textlink="">
        <xdr:nvSpPr>
          <xdr:cNvPr id="422" name="Flecha: doblada hacia arriba 421">
            <a:extLst>
              <a:ext uri="{FF2B5EF4-FFF2-40B4-BE49-F238E27FC236}">
                <a16:creationId xmlns:a16="http://schemas.microsoft.com/office/drawing/2014/main" id="{2C2B123C-34B3-4168-D21E-694AC5F6C207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23" name="Flecha: hacia la izquierda 422">
            <a:extLst>
              <a:ext uri="{FF2B5EF4-FFF2-40B4-BE49-F238E27FC236}">
                <a16:creationId xmlns:a16="http://schemas.microsoft.com/office/drawing/2014/main" id="{DE6760DE-04D3-B992-4CEE-CD0DD4851B41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24" name="Flecha: doblada hacia arriba 423">
            <a:extLst>
              <a:ext uri="{FF2B5EF4-FFF2-40B4-BE49-F238E27FC236}">
                <a16:creationId xmlns:a16="http://schemas.microsoft.com/office/drawing/2014/main" id="{B8362C57-245A-0588-98F5-83261157B1CA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99</xdr:col>
      <xdr:colOff>80683</xdr:colOff>
      <xdr:row>38</xdr:row>
      <xdr:rowOff>116542</xdr:rowOff>
    </xdr:from>
    <xdr:to>
      <xdr:col>100</xdr:col>
      <xdr:colOff>35859</xdr:colOff>
      <xdr:row>39</xdr:row>
      <xdr:rowOff>170330</xdr:rowOff>
    </xdr:to>
    <xdr:sp macro="" textlink="">
      <xdr:nvSpPr>
        <xdr:cNvPr id="425" name="CuadroTexto 424">
          <a:extLst>
            <a:ext uri="{FF2B5EF4-FFF2-40B4-BE49-F238E27FC236}">
              <a16:creationId xmlns:a16="http://schemas.microsoft.com/office/drawing/2014/main" id="{3485E90A-DA57-492B-92DB-9F41CC305186}"/>
            </a:ext>
          </a:extLst>
        </xdr:cNvPr>
        <xdr:cNvSpPr txBox="1"/>
      </xdr:nvSpPr>
      <xdr:spPr>
        <a:xfrm>
          <a:off x="76056565" y="730623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72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101</xdr:col>
      <xdr:colOff>26894</xdr:colOff>
      <xdr:row>38</xdr:row>
      <xdr:rowOff>116542</xdr:rowOff>
    </xdr:from>
    <xdr:to>
      <xdr:col>101</xdr:col>
      <xdr:colOff>519953</xdr:colOff>
      <xdr:row>39</xdr:row>
      <xdr:rowOff>170330</xdr:rowOff>
    </xdr:to>
    <xdr:sp macro="" textlink="">
      <xdr:nvSpPr>
        <xdr:cNvPr id="426" name="CuadroTexto 425">
          <a:extLst>
            <a:ext uri="{FF2B5EF4-FFF2-40B4-BE49-F238E27FC236}">
              <a16:creationId xmlns:a16="http://schemas.microsoft.com/office/drawing/2014/main" id="{2B515D5B-CF02-4DBE-8A0E-C0F29551FFAC}"/>
            </a:ext>
          </a:extLst>
        </xdr:cNvPr>
        <xdr:cNvSpPr txBox="1"/>
      </xdr:nvSpPr>
      <xdr:spPr>
        <a:xfrm>
          <a:off x="77114400" y="7306236"/>
          <a:ext cx="49305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89</a:t>
          </a:r>
        </a:p>
        <a:p>
          <a:pPr algn="ctr"/>
          <a:endParaRPr lang="es-MX" sz="1100"/>
        </a:p>
      </xdr:txBody>
    </xdr:sp>
    <xdr:clientData/>
  </xdr:twoCellAnchor>
  <xdr:twoCellAnchor>
    <xdr:from>
      <xdr:col>100</xdr:col>
      <xdr:colOff>319593</xdr:colOff>
      <xdr:row>56</xdr:row>
      <xdr:rowOff>71723</xdr:rowOff>
    </xdr:from>
    <xdr:to>
      <xdr:col>100</xdr:col>
      <xdr:colOff>564777</xdr:colOff>
      <xdr:row>59</xdr:row>
      <xdr:rowOff>98614</xdr:rowOff>
    </xdr:to>
    <xdr:sp macro="" textlink="">
      <xdr:nvSpPr>
        <xdr:cNvPr id="427" name="Flecha: hacia la izquierda 426">
          <a:extLst>
            <a:ext uri="{FF2B5EF4-FFF2-40B4-BE49-F238E27FC236}">
              <a16:creationId xmlns:a16="http://schemas.microsoft.com/office/drawing/2014/main" id="{07E1746C-1F0D-4566-AF81-7D2ACDB7E9F3}"/>
            </a:ext>
          </a:extLst>
        </xdr:cNvPr>
        <xdr:cNvSpPr/>
      </xdr:nvSpPr>
      <xdr:spPr>
        <a:xfrm rot="5400000">
          <a:off x="76673563" y="10648506"/>
          <a:ext cx="564774" cy="245184"/>
        </a:xfrm>
        <a:prstGeom prst="leftArrow">
          <a:avLst>
            <a:gd name="adj1" fmla="val 25359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368897</xdr:colOff>
      <xdr:row>60</xdr:row>
      <xdr:rowOff>0</xdr:rowOff>
    </xdr:from>
    <xdr:to>
      <xdr:col>101</xdr:col>
      <xdr:colOff>295835</xdr:colOff>
      <xdr:row>61</xdr:row>
      <xdr:rowOff>53788</xdr:rowOff>
    </xdr:to>
    <xdr:sp macro="" textlink="">
      <xdr:nvSpPr>
        <xdr:cNvPr id="428" name="CuadroTexto 427">
          <a:extLst>
            <a:ext uri="{FF2B5EF4-FFF2-40B4-BE49-F238E27FC236}">
              <a16:creationId xmlns:a16="http://schemas.microsoft.com/office/drawing/2014/main" id="{D10E1D15-2F5A-4A4D-83C1-7E10EB204035}"/>
            </a:ext>
          </a:extLst>
        </xdr:cNvPr>
        <xdr:cNvSpPr txBox="1"/>
      </xdr:nvSpPr>
      <xdr:spPr>
        <a:xfrm>
          <a:off x="76882662" y="11134165"/>
          <a:ext cx="500679" cy="23308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351</a:t>
          </a:r>
        </a:p>
        <a:p>
          <a:pPr algn="ctr"/>
          <a:endParaRPr lang="es-MX" sz="1100"/>
        </a:p>
      </xdr:txBody>
    </xdr:sp>
    <xdr:clientData/>
  </xdr:twoCellAnchor>
  <xdr:twoCellAnchor>
    <xdr:from>
      <xdr:col>67</xdr:col>
      <xdr:colOff>161365</xdr:colOff>
      <xdr:row>45</xdr:row>
      <xdr:rowOff>170331</xdr:rowOff>
    </xdr:from>
    <xdr:to>
      <xdr:col>67</xdr:col>
      <xdr:colOff>412377</xdr:colOff>
      <xdr:row>48</xdr:row>
      <xdr:rowOff>128773</xdr:rowOff>
    </xdr:to>
    <xdr:sp macro="" textlink="">
      <xdr:nvSpPr>
        <xdr:cNvPr id="433" name="Flecha: doblada hacia arriba 432">
          <a:extLst>
            <a:ext uri="{FF2B5EF4-FFF2-40B4-BE49-F238E27FC236}">
              <a16:creationId xmlns:a16="http://schemas.microsoft.com/office/drawing/2014/main" id="{B31738E6-8AD4-65C8-B40E-705D7CF050EB}"/>
            </a:ext>
          </a:extLst>
        </xdr:cNvPr>
        <xdr:cNvSpPr/>
      </xdr:nvSpPr>
      <xdr:spPr>
        <a:xfrm rot="16200000">
          <a:off x="51307862" y="8737740"/>
          <a:ext cx="496324" cy="251012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68</xdr:col>
      <xdr:colOff>300317</xdr:colOff>
      <xdr:row>41</xdr:row>
      <xdr:rowOff>106362</xdr:rowOff>
    </xdr:from>
    <xdr:to>
      <xdr:col>69</xdr:col>
      <xdr:colOff>13447</xdr:colOff>
      <xdr:row>46</xdr:row>
      <xdr:rowOff>79464</xdr:rowOff>
    </xdr:to>
    <xdr:grpSp>
      <xdr:nvGrpSpPr>
        <xdr:cNvPr id="434" name="Grupo 433">
          <a:extLst>
            <a:ext uri="{FF2B5EF4-FFF2-40B4-BE49-F238E27FC236}">
              <a16:creationId xmlns:a16="http://schemas.microsoft.com/office/drawing/2014/main" id="{DB5BBB41-9C8E-4CC0-A329-A14457188A56}"/>
            </a:ext>
          </a:extLst>
        </xdr:cNvPr>
        <xdr:cNvGrpSpPr/>
      </xdr:nvGrpSpPr>
      <xdr:grpSpPr>
        <a:xfrm rot="16200000">
          <a:off x="51246103" y="8052291"/>
          <a:ext cx="898387" cy="507787"/>
          <a:chOff x="47432261" y="4285131"/>
          <a:chExt cx="869573" cy="502024"/>
        </a:xfrm>
      </xdr:grpSpPr>
      <xdr:sp macro="" textlink="">
        <xdr:nvSpPr>
          <xdr:cNvPr id="435" name="Flecha: hacia la izquierda 434">
            <a:extLst>
              <a:ext uri="{FF2B5EF4-FFF2-40B4-BE49-F238E27FC236}">
                <a16:creationId xmlns:a16="http://schemas.microsoft.com/office/drawing/2014/main" id="{2E29F14C-1382-4EF1-E2DA-0D8F52557769}"/>
              </a:ext>
            </a:extLst>
          </xdr:cNvPr>
          <xdr:cNvSpPr/>
        </xdr:nvSpPr>
        <xdr:spPr>
          <a:xfrm rot="5400000">
            <a:off x="47640688" y="4412883"/>
            <a:ext cx="466163" cy="210668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36" name="Flecha: doblada hacia arriba 435">
            <a:extLst>
              <a:ext uri="{FF2B5EF4-FFF2-40B4-BE49-F238E27FC236}">
                <a16:creationId xmlns:a16="http://schemas.microsoft.com/office/drawing/2014/main" id="{01A9AAE8-F416-3226-AB4D-4F81B7444A1D}"/>
              </a:ext>
            </a:extLst>
          </xdr:cNvPr>
          <xdr:cNvSpPr/>
        </xdr:nvSpPr>
        <xdr:spPr>
          <a:xfrm rot="16200000" flipV="1">
            <a:off x="47941004" y="4385984"/>
            <a:ext cx="461683" cy="259977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37" name="Flecha: doblada hacia arriba 436">
            <a:extLst>
              <a:ext uri="{FF2B5EF4-FFF2-40B4-BE49-F238E27FC236}">
                <a16:creationId xmlns:a16="http://schemas.microsoft.com/office/drawing/2014/main" id="{8E427D44-A039-462B-4C2A-01977C75A49F}"/>
              </a:ext>
            </a:extLst>
          </xdr:cNvPr>
          <xdr:cNvSpPr/>
        </xdr:nvSpPr>
        <xdr:spPr>
          <a:xfrm rot="16200000">
            <a:off x="47309605" y="4413487"/>
            <a:ext cx="496324" cy="251012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67</xdr:col>
      <xdr:colOff>466170</xdr:colOff>
      <xdr:row>45</xdr:row>
      <xdr:rowOff>147920</xdr:rowOff>
    </xdr:from>
    <xdr:to>
      <xdr:col>68</xdr:col>
      <xdr:colOff>49311</xdr:colOff>
      <xdr:row>48</xdr:row>
      <xdr:rowOff>134472</xdr:rowOff>
    </xdr:to>
    <xdr:sp macro="" textlink="">
      <xdr:nvSpPr>
        <xdr:cNvPr id="438" name="Flecha: hacia la izquierda 437">
          <a:extLst>
            <a:ext uri="{FF2B5EF4-FFF2-40B4-BE49-F238E27FC236}">
              <a16:creationId xmlns:a16="http://schemas.microsoft.com/office/drawing/2014/main" id="{6726BA5D-7D1E-4C31-BFF6-75A835522F1E}"/>
            </a:ext>
          </a:extLst>
        </xdr:cNvPr>
        <xdr:cNvSpPr/>
      </xdr:nvSpPr>
      <xdr:spPr>
        <a:xfrm rot="5400000">
          <a:off x="51578441" y="8749555"/>
          <a:ext cx="524434" cy="21067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107</xdr:col>
      <xdr:colOff>638619</xdr:colOff>
      <xdr:row>4</xdr:row>
      <xdr:rowOff>33738</xdr:rowOff>
    </xdr:from>
    <xdr:to>
      <xdr:col>109</xdr:col>
      <xdr:colOff>33738</xdr:colOff>
      <xdr:row>8</xdr:row>
      <xdr:rowOff>6843</xdr:rowOff>
    </xdr:to>
    <xdr:grpSp>
      <xdr:nvGrpSpPr>
        <xdr:cNvPr id="439" name="Grupo 438">
          <a:extLst>
            <a:ext uri="{FF2B5EF4-FFF2-40B4-BE49-F238E27FC236}">
              <a16:creationId xmlns:a16="http://schemas.microsoft.com/office/drawing/2014/main" id="{2A269A86-7373-4536-8904-6CCC9661018D}"/>
            </a:ext>
          </a:extLst>
        </xdr:cNvPr>
        <xdr:cNvGrpSpPr/>
      </xdr:nvGrpSpPr>
      <xdr:grpSpPr>
        <a:xfrm rot="5400000">
          <a:off x="80033054" y="736389"/>
          <a:ext cx="735105" cy="810262"/>
          <a:chOff x="75151129" y="1877869"/>
          <a:chExt cx="708211" cy="811542"/>
        </a:xfrm>
      </xdr:grpSpPr>
      <xdr:sp macro="" textlink="">
        <xdr:nvSpPr>
          <xdr:cNvPr id="440" name="Flecha: doblada hacia arriba 439">
            <a:extLst>
              <a:ext uri="{FF2B5EF4-FFF2-40B4-BE49-F238E27FC236}">
                <a16:creationId xmlns:a16="http://schemas.microsoft.com/office/drawing/2014/main" id="{3C94C692-D983-E86C-53B8-7A34C3E7EB12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41" name="Flecha: hacia la izquierda 440">
            <a:extLst>
              <a:ext uri="{FF2B5EF4-FFF2-40B4-BE49-F238E27FC236}">
                <a16:creationId xmlns:a16="http://schemas.microsoft.com/office/drawing/2014/main" id="{FE2E0076-B478-B8B2-9CF5-27415735DD85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42" name="Flecha: doblada hacia arriba 441">
            <a:extLst>
              <a:ext uri="{FF2B5EF4-FFF2-40B4-BE49-F238E27FC236}">
                <a16:creationId xmlns:a16="http://schemas.microsoft.com/office/drawing/2014/main" id="{7153F0C1-6006-942C-1616-8F697DB2F677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109</xdr:col>
      <xdr:colOff>519955</xdr:colOff>
      <xdr:row>7</xdr:row>
      <xdr:rowOff>62755</xdr:rowOff>
    </xdr:from>
    <xdr:to>
      <xdr:col>110</xdr:col>
      <xdr:colOff>546848</xdr:colOff>
      <xdr:row>11</xdr:row>
      <xdr:rowOff>130227</xdr:rowOff>
    </xdr:to>
    <xdr:grpSp>
      <xdr:nvGrpSpPr>
        <xdr:cNvPr id="443" name="Grupo 442">
          <a:extLst>
            <a:ext uri="{FF2B5EF4-FFF2-40B4-BE49-F238E27FC236}">
              <a16:creationId xmlns:a16="http://schemas.microsoft.com/office/drawing/2014/main" id="{CAB071E7-FEBA-4C06-8FF7-768CF4A8DCFD}"/>
            </a:ext>
          </a:extLst>
        </xdr:cNvPr>
        <xdr:cNvGrpSpPr/>
      </xdr:nvGrpSpPr>
      <xdr:grpSpPr>
        <a:xfrm rot="10800000">
          <a:off x="81291955" y="1369041"/>
          <a:ext cx="701807" cy="840357"/>
          <a:chOff x="75151129" y="1877869"/>
          <a:chExt cx="708211" cy="811542"/>
        </a:xfrm>
      </xdr:grpSpPr>
      <xdr:sp macro="" textlink="">
        <xdr:nvSpPr>
          <xdr:cNvPr id="444" name="Flecha: doblada hacia arriba 443">
            <a:extLst>
              <a:ext uri="{FF2B5EF4-FFF2-40B4-BE49-F238E27FC236}">
                <a16:creationId xmlns:a16="http://schemas.microsoft.com/office/drawing/2014/main" id="{FEF39911-B096-D21E-66E1-B85232993730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45" name="Flecha: hacia la izquierda 444">
            <a:extLst>
              <a:ext uri="{FF2B5EF4-FFF2-40B4-BE49-F238E27FC236}">
                <a16:creationId xmlns:a16="http://schemas.microsoft.com/office/drawing/2014/main" id="{0E5E6CA6-D514-5733-08A2-77F8B73EF1C5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46" name="Flecha: doblada hacia arriba 445">
            <a:extLst>
              <a:ext uri="{FF2B5EF4-FFF2-40B4-BE49-F238E27FC236}">
                <a16:creationId xmlns:a16="http://schemas.microsoft.com/office/drawing/2014/main" id="{30149291-CF37-EEEF-2541-5986D84AA410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108</xdr:col>
      <xdr:colOff>600638</xdr:colOff>
      <xdr:row>14</xdr:row>
      <xdr:rowOff>89650</xdr:rowOff>
    </xdr:from>
    <xdr:to>
      <xdr:col>110</xdr:col>
      <xdr:colOff>94368</xdr:colOff>
      <xdr:row>18</xdr:row>
      <xdr:rowOff>2</xdr:rowOff>
    </xdr:to>
    <xdr:grpSp>
      <xdr:nvGrpSpPr>
        <xdr:cNvPr id="447" name="Grupo 446">
          <a:extLst>
            <a:ext uri="{FF2B5EF4-FFF2-40B4-BE49-F238E27FC236}">
              <a16:creationId xmlns:a16="http://schemas.microsoft.com/office/drawing/2014/main" id="{C77C6023-CFAD-447C-AE86-B689099D1D4A}"/>
            </a:ext>
          </a:extLst>
        </xdr:cNvPr>
        <xdr:cNvGrpSpPr/>
      </xdr:nvGrpSpPr>
      <xdr:grpSpPr>
        <a:xfrm rot="16200000">
          <a:off x="80777885" y="2687375"/>
          <a:ext cx="715894" cy="810901"/>
          <a:chOff x="75151129" y="1877869"/>
          <a:chExt cx="708211" cy="811542"/>
        </a:xfrm>
      </xdr:grpSpPr>
      <xdr:sp macro="" textlink="">
        <xdr:nvSpPr>
          <xdr:cNvPr id="448" name="Flecha: doblada hacia arriba 447">
            <a:extLst>
              <a:ext uri="{FF2B5EF4-FFF2-40B4-BE49-F238E27FC236}">
                <a16:creationId xmlns:a16="http://schemas.microsoft.com/office/drawing/2014/main" id="{58DCADCF-26C9-BC79-E9CC-55042A79FF79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49" name="Flecha: hacia la izquierda 448">
            <a:extLst>
              <a:ext uri="{FF2B5EF4-FFF2-40B4-BE49-F238E27FC236}">
                <a16:creationId xmlns:a16="http://schemas.microsoft.com/office/drawing/2014/main" id="{6DC2F62B-EAAB-E454-EC90-D0EAB083A0AF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50" name="Flecha: doblada hacia arriba 449">
            <a:extLst>
              <a:ext uri="{FF2B5EF4-FFF2-40B4-BE49-F238E27FC236}">
                <a16:creationId xmlns:a16="http://schemas.microsoft.com/office/drawing/2014/main" id="{FF97982A-B5EF-C87A-C3AA-5DA06F5CB514}"/>
              </a:ext>
            </a:extLst>
          </xdr:cNvPr>
          <xdr:cNvSpPr/>
        </xdr:nvSpPr>
        <xdr:spPr>
          <a:xfrm>
            <a:off x="75174756" y="1877869"/>
            <a:ext cx="569994" cy="233321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107</xdr:col>
      <xdr:colOff>195103</xdr:colOff>
      <xdr:row>11</xdr:row>
      <xdr:rowOff>123386</xdr:rowOff>
    </xdr:from>
    <xdr:to>
      <xdr:col>108</xdr:col>
      <xdr:colOff>123385</xdr:colOff>
      <xdr:row>14</xdr:row>
      <xdr:rowOff>87527</xdr:rowOff>
    </xdr:to>
    <xdr:grpSp>
      <xdr:nvGrpSpPr>
        <xdr:cNvPr id="451" name="Grupo 450">
          <a:extLst>
            <a:ext uri="{FF2B5EF4-FFF2-40B4-BE49-F238E27FC236}">
              <a16:creationId xmlns:a16="http://schemas.microsoft.com/office/drawing/2014/main" id="{2F44F71F-7313-475A-BE5B-71C3CD646800}"/>
            </a:ext>
          </a:extLst>
        </xdr:cNvPr>
        <xdr:cNvGrpSpPr/>
      </xdr:nvGrpSpPr>
      <xdr:grpSpPr>
        <a:xfrm>
          <a:off x="79551960" y="2202557"/>
          <a:ext cx="701168" cy="530199"/>
          <a:chOff x="75151129" y="2178423"/>
          <a:chExt cx="708211" cy="510988"/>
        </a:xfrm>
      </xdr:grpSpPr>
      <xdr:sp macro="" textlink="">
        <xdr:nvSpPr>
          <xdr:cNvPr id="452" name="Flecha: doblada hacia arriba 451">
            <a:extLst>
              <a:ext uri="{FF2B5EF4-FFF2-40B4-BE49-F238E27FC236}">
                <a16:creationId xmlns:a16="http://schemas.microsoft.com/office/drawing/2014/main" id="{96CBCDB3-15D9-41B5-6756-736FCBA4BA30}"/>
              </a:ext>
            </a:extLst>
          </xdr:cNvPr>
          <xdr:cNvSpPr/>
        </xdr:nvSpPr>
        <xdr:spPr>
          <a:xfrm flipV="1">
            <a:off x="75174755" y="2451848"/>
            <a:ext cx="585973" cy="237563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453" name="Flecha: hacia la izquierda 452">
            <a:extLst>
              <a:ext uri="{FF2B5EF4-FFF2-40B4-BE49-F238E27FC236}">
                <a16:creationId xmlns:a16="http://schemas.microsoft.com/office/drawing/2014/main" id="{387C0BC3-970E-FAB3-5DAD-74DAF639D8CD}"/>
              </a:ext>
            </a:extLst>
          </xdr:cNvPr>
          <xdr:cNvSpPr/>
        </xdr:nvSpPr>
        <xdr:spPr>
          <a:xfrm rot="10800000">
            <a:off x="75151129" y="2178423"/>
            <a:ext cx="708211" cy="206187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90</xdr:col>
      <xdr:colOff>546846</xdr:colOff>
      <xdr:row>52</xdr:row>
      <xdr:rowOff>53789</xdr:rowOff>
    </xdr:from>
    <xdr:to>
      <xdr:col>91</xdr:col>
      <xdr:colOff>448234</xdr:colOff>
      <xdr:row>54</xdr:row>
      <xdr:rowOff>17930</xdr:rowOff>
    </xdr:to>
    <xdr:sp macro="" textlink="">
      <xdr:nvSpPr>
        <xdr:cNvPr id="455" name="Flecha: doblada hacia arriba 454">
          <a:extLst>
            <a:ext uri="{FF2B5EF4-FFF2-40B4-BE49-F238E27FC236}">
              <a16:creationId xmlns:a16="http://schemas.microsoft.com/office/drawing/2014/main" id="{13439D5C-C3A0-4061-84E8-424A7E40F356}"/>
            </a:ext>
          </a:extLst>
        </xdr:cNvPr>
        <xdr:cNvSpPr/>
      </xdr:nvSpPr>
      <xdr:spPr>
        <a:xfrm rot="10800000" flipV="1">
          <a:off x="69422681" y="9690848"/>
          <a:ext cx="690282" cy="32272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360831</xdr:colOff>
      <xdr:row>19</xdr:row>
      <xdr:rowOff>28016</xdr:rowOff>
    </xdr:from>
    <xdr:to>
      <xdr:col>20</xdr:col>
      <xdr:colOff>64996</xdr:colOff>
      <xdr:row>20</xdr:row>
      <xdr:rowOff>28016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0393054-8BDB-4DB6-82EE-145880ED167B}"/>
            </a:ext>
          </a:extLst>
        </xdr:cNvPr>
        <xdr:cNvSpPr txBox="1"/>
      </xdr:nvSpPr>
      <xdr:spPr>
        <a:xfrm>
          <a:off x="15381756" y="3599891"/>
          <a:ext cx="494740" cy="2286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771</a:t>
          </a:r>
        </a:p>
        <a:p>
          <a:pPr algn="ctr"/>
          <a:endParaRPr lang="es-MX" sz="1200"/>
        </a:p>
      </xdr:txBody>
    </xdr:sp>
    <xdr:clientData/>
  </xdr:twoCellAnchor>
  <xdr:twoCellAnchor>
    <xdr:from>
      <xdr:col>19</xdr:col>
      <xdr:colOff>360830</xdr:colOff>
      <xdr:row>17</xdr:row>
      <xdr:rowOff>151840</xdr:rowOff>
    </xdr:from>
    <xdr:to>
      <xdr:col>20</xdr:col>
      <xdr:colOff>64995</xdr:colOff>
      <xdr:row>18</xdr:row>
      <xdr:rowOff>151840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5EAFBCC-E0BA-40DD-B577-60E7FEE1B6E3}"/>
            </a:ext>
          </a:extLst>
        </xdr:cNvPr>
        <xdr:cNvSpPr txBox="1"/>
      </xdr:nvSpPr>
      <xdr:spPr>
        <a:xfrm>
          <a:off x="15381755" y="3304615"/>
          <a:ext cx="494740" cy="2286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200"/>
            <a:t>615</a:t>
          </a:r>
        </a:p>
        <a:p>
          <a:pPr algn="ctr"/>
          <a:endParaRPr lang="es-MX" sz="1200"/>
        </a:p>
      </xdr:txBody>
    </xdr:sp>
    <xdr:clientData/>
  </xdr:twoCellAnchor>
  <xdr:twoCellAnchor>
    <xdr:from>
      <xdr:col>59</xdr:col>
      <xdr:colOff>35858</xdr:colOff>
      <xdr:row>14</xdr:row>
      <xdr:rowOff>108220</xdr:rowOff>
    </xdr:from>
    <xdr:to>
      <xdr:col>59</xdr:col>
      <xdr:colOff>528917</xdr:colOff>
      <xdr:row>15</xdr:row>
      <xdr:rowOff>151123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BC6F0303-AB30-4131-B8C6-52B0BCBBEF5A}"/>
            </a:ext>
          </a:extLst>
        </xdr:cNvPr>
        <xdr:cNvSpPr txBox="1"/>
      </xdr:nvSpPr>
      <xdr:spPr>
        <a:xfrm>
          <a:off x="45461944" y="2753449"/>
          <a:ext cx="493059" cy="2388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231</a:t>
          </a:r>
        </a:p>
        <a:p>
          <a:pPr algn="ctr"/>
          <a:endParaRPr lang="es-MX" sz="1100"/>
        </a:p>
      </xdr:txBody>
    </xdr:sp>
    <xdr:clientData/>
  </xdr:twoCellAnchor>
  <xdr:twoCellAnchor>
    <xdr:from>
      <xdr:col>58</xdr:col>
      <xdr:colOff>141514</xdr:colOff>
      <xdr:row>14</xdr:row>
      <xdr:rowOff>43542</xdr:rowOff>
    </xdr:from>
    <xdr:to>
      <xdr:col>58</xdr:col>
      <xdr:colOff>707571</xdr:colOff>
      <xdr:row>15</xdr:row>
      <xdr:rowOff>153044</xdr:rowOff>
    </xdr:to>
    <xdr:sp macro="" textlink="">
      <xdr:nvSpPr>
        <xdr:cNvPr id="21" name="Flecha: doblada hacia arriba 20">
          <a:extLst>
            <a:ext uri="{FF2B5EF4-FFF2-40B4-BE49-F238E27FC236}">
              <a16:creationId xmlns:a16="http://schemas.microsoft.com/office/drawing/2014/main" id="{1AEFB587-ECDB-4EB1-825E-A97EBFF07751}"/>
            </a:ext>
          </a:extLst>
        </xdr:cNvPr>
        <xdr:cNvSpPr/>
      </xdr:nvSpPr>
      <xdr:spPr>
        <a:xfrm rot="10800000" flipV="1">
          <a:off x="44772943" y="2688771"/>
          <a:ext cx="566057" cy="3054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25</xdr:col>
      <xdr:colOff>664527</xdr:colOff>
      <xdr:row>13</xdr:row>
      <xdr:rowOff>36698</xdr:rowOff>
    </xdr:from>
    <xdr:to>
      <xdr:col>26</xdr:col>
      <xdr:colOff>83671</xdr:colOff>
      <xdr:row>15</xdr:row>
      <xdr:rowOff>85164</xdr:rowOff>
    </xdr:to>
    <xdr:sp macro="" textlink="">
      <xdr:nvSpPr>
        <xdr:cNvPr id="24" name="Flecha: doblada hacia arriba 23">
          <a:extLst>
            <a:ext uri="{FF2B5EF4-FFF2-40B4-BE49-F238E27FC236}">
              <a16:creationId xmlns:a16="http://schemas.microsoft.com/office/drawing/2014/main" id="{A57CBF9A-E00B-460D-8E3D-867316E9ECD1}"/>
            </a:ext>
          </a:extLst>
        </xdr:cNvPr>
        <xdr:cNvSpPr/>
      </xdr:nvSpPr>
      <xdr:spPr>
        <a:xfrm rot="5400000">
          <a:off x="20231716" y="2516709"/>
          <a:ext cx="442166" cy="2065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26</xdr:col>
      <xdr:colOff>50800</xdr:colOff>
      <xdr:row>12</xdr:row>
      <xdr:rowOff>50800</xdr:rowOff>
    </xdr:from>
    <xdr:to>
      <xdr:col>26</xdr:col>
      <xdr:colOff>542365</xdr:colOff>
      <xdr:row>13</xdr:row>
      <xdr:rowOff>108323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A4D6CB72-680D-4250-84FF-E9355B3FAB81}"/>
            </a:ext>
          </a:extLst>
        </xdr:cNvPr>
        <xdr:cNvSpPr txBox="1"/>
      </xdr:nvSpPr>
      <xdr:spPr>
        <a:xfrm>
          <a:off x="20523200" y="2235200"/>
          <a:ext cx="491565" cy="23532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200</a:t>
          </a:r>
        </a:p>
        <a:p>
          <a:pPr algn="ctr"/>
          <a:endParaRPr lang="es-MX" sz="1100"/>
        </a:p>
      </xdr:txBody>
    </xdr:sp>
    <xdr:clientData/>
  </xdr:twoCellAnchor>
  <xdr:twoCellAnchor>
    <xdr:from>
      <xdr:col>72</xdr:col>
      <xdr:colOff>658158</xdr:colOff>
      <xdr:row>7</xdr:row>
      <xdr:rowOff>185274</xdr:rowOff>
    </xdr:from>
    <xdr:to>
      <xdr:col>73</xdr:col>
      <xdr:colOff>138205</xdr:colOff>
      <xdr:row>10</xdr:row>
      <xdr:rowOff>125505</xdr:rowOff>
    </xdr:to>
    <xdr:sp macro="" textlink="">
      <xdr:nvSpPr>
        <xdr:cNvPr id="26" name="Flecha: doblada hacia arriba 25">
          <a:extLst>
            <a:ext uri="{FF2B5EF4-FFF2-40B4-BE49-F238E27FC236}">
              <a16:creationId xmlns:a16="http://schemas.microsoft.com/office/drawing/2014/main" id="{80D85EFF-815E-4187-8D9B-8B3769DD2595}"/>
            </a:ext>
          </a:extLst>
        </xdr:cNvPr>
        <xdr:cNvSpPr/>
      </xdr:nvSpPr>
      <xdr:spPr>
        <a:xfrm rot="5400000" flipV="1">
          <a:off x="55507966" y="1558366"/>
          <a:ext cx="499031" cy="26744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72</xdr:col>
      <xdr:colOff>304800</xdr:colOff>
      <xdr:row>6</xdr:row>
      <xdr:rowOff>165100</xdr:rowOff>
    </xdr:from>
    <xdr:to>
      <xdr:col>73</xdr:col>
      <xdr:colOff>8965</xdr:colOff>
      <xdr:row>8</xdr:row>
      <xdr:rowOff>28388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766C777E-55DE-4A73-829D-5D3F5E4F75D3}"/>
            </a:ext>
          </a:extLst>
        </xdr:cNvPr>
        <xdr:cNvSpPr txBox="1"/>
      </xdr:nvSpPr>
      <xdr:spPr>
        <a:xfrm>
          <a:off x="55270400" y="1244600"/>
          <a:ext cx="491565" cy="23158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61</a:t>
          </a:r>
        </a:p>
        <a:p>
          <a:pPr algn="ctr"/>
          <a:endParaRPr lang="es-MX" sz="1100"/>
        </a:p>
      </xdr:txBody>
    </xdr:sp>
    <xdr:clientData/>
  </xdr:twoCellAnchor>
  <xdr:twoCellAnchor>
    <xdr:from>
      <xdr:col>73</xdr:col>
      <xdr:colOff>530413</xdr:colOff>
      <xdr:row>40</xdr:row>
      <xdr:rowOff>139422</xdr:rowOff>
    </xdr:from>
    <xdr:to>
      <xdr:col>74</xdr:col>
      <xdr:colOff>2241</xdr:colOff>
      <xdr:row>43</xdr:row>
      <xdr:rowOff>143434</xdr:rowOff>
    </xdr:to>
    <xdr:sp macro="" textlink="">
      <xdr:nvSpPr>
        <xdr:cNvPr id="28" name="Flecha: doblada hacia arriba 27">
          <a:extLst>
            <a:ext uri="{FF2B5EF4-FFF2-40B4-BE49-F238E27FC236}">
              <a16:creationId xmlns:a16="http://schemas.microsoft.com/office/drawing/2014/main" id="{A7144C4E-D2DA-4E6F-BF3D-15E0A2D1751F}"/>
            </a:ext>
          </a:extLst>
        </xdr:cNvPr>
        <xdr:cNvSpPr/>
      </xdr:nvSpPr>
      <xdr:spPr>
        <a:xfrm rot="5400000">
          <a:off x="56144321" y="7746114"/>
          <a:ext cx="537412" cy="259228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74</xdr:col>
      <xdr:colOff>25400</xdr:colOff>
      <xdr:row>39</xdr:row>
      <xdr:rowOff>139700</xdr:rowOff>
    </xdr:from>
    <xdr:to>
      <xdr:col>74</xdr:col>
      <xdr:colOff>519953</xdr:colOff>
      <xdr:row>41</xdr:row>
      <xdr:rowOff>17929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28195148-D06D-44FF-967C-17310BA7918C}"/>
            </a:ext>
          </a:extLst>
        </xdr:cNvPr>
        <xdr:cNvSpPr txBox="1"/>
      </xdr:nvSpPr>
      <xdr:spPr>
        <a:xfrm>
          <a:off x="56565800" y="7429500"/>
          <a:ext cx="494553" cy="23382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95</a:t>
          </a:r>
        </a:p>
        <a:p>
          <a:pPr algn="ctr"/>
          <a:endParaRPr lang="es-MX" sz="1100"/>
        </a:p>
      </xdr:txBody>
    </xdr:sp>
    <xdr:clientData/>
  </xdr:twoCellAnchor>
  <xdr:twoCellAnchor>
    <xdr:from>
      <xdr:col>7</xdr:col>
      <xdr:colOff>330200</xdr:colOff>
      <xdr:row>12</xdr:row>
      <xdr:rowOff>1</xdr:rowOff>
    </xdr:from>
    <xdr:to>
      <xdr:col>7</xdr:col>
      <xdr:colOff>542887</xdr:colOff>
      <xdr:row>14</xdr:row>
      <xdr:rowOff>159797</xdr:rowOff>
    </xdr:to>
    <xdr:sp macro="" textlink="">
      <xdr:nvSpPr>
        <xdr:cNvPr id="457" name="Flecha: hacia la izquierda 456">
          <a:extLst>
            <a:ext uri="{FF2B5EF4-FFF2-40B4-BE49-F238E27FC236}">
              <a16:creationId xmlns:a16="http://schemas.microsoft.com/office/drawing/2014/main" id="{30D71715-2BD6-4829-8C44-A82E397AA4E2}"/>
            </a:ext>
          </a:extLst>
        </xdr:cNvPr>
        <xdr:cNvSpPr/>
      </xdr:nvSpPr>
      <xdr:spPr>
        <a:xfrm rot="5400000">
          <a:off x="5684296" y="2342105"/>
          <a:ext cx="528096" cy="21268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177800</xdr:colOff>
      <xdr:row>16</xdr:row>
      <xdr:rowOff>64248</xdr:rowOff>
    </xdr:from>
    <xdr:to>
      <xdr:col>7</xdr:col>
      <xdr:colOff>670859</xdr:colOff>
      <xdr:row>17</xdr:row>
      <xdr:rowOff>116542</xdr:rowOff>
    </xdr:to>
    <xdr:sp macro="" textlink="">
      <xdr:nvSpPr>
        <xdr:cNvPr id="458" name="CuadroTexto 457">
          <a:extLst>
            <a:ext uri="{FF2B5EF4-FFF2-40B4-BE49-F238E27FC236}">
              <a16:creationId xmlns:a16="http://schemas.microsoft.com/office/drawing/2014/main" id="{12FA28C0-A765-4EA0-BDF2-B074DFA1D15E}"/>
            </a:ext>
          </a:extLst>
        </xdr:cNvPr>
        <xdr:cNvSpPr txBox="1"/>
      </xdr:nvSpPr>
      <xdr:spPr>
        <a:xfrm>
          <a:off x="5689600" y="3010648"/>
          <a:ext cx="493059" cy="23009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400"/>
            <a:t>100</a:t>
          </a:r>
        </a:p>
        <a:p>
          <a:pPr algn="ctr"/>
          <a:endParaRPr lang="es-MX" sz="1400"/>
        </a:p>
      </xdr:txBody>
    </xdr:sp>
    <xdr:clientData/>
  </xdr:twoCellAnchor>
  <xdr:twoCellAnchor>
    <xdr:from>
      <xdr:col>6</xdr:col>
      <xdr:colOff>729343</xdr:colOff>
      <xdr:row>73</xdr:row>
      <xdr:rowOff>130629</xdr:rowOff>
    </xdr:from>
    <xdr:to>
      <xdr:col>15</xdr:col>
      <xdr:colOff>300172</xdr:colOff>
      <xdr:row>99</xdr:row>
      <xdr:rowOff>145307</xdr:rowOff>
    </xdr:to>
    <xdr:grpSp>
      <xdr:nvGrpSpPr>
        <xdr:cNvPr id="470" name="Grupo 469">
          <a:extLst>
            <a:ext uri="{FF2B5EF4-FFF2-40B4-BE49-F238E27FC236}">
              <a16:creationId xmlns:a16="http://schemas.microsoft.com/office/drawing/2014/main" id="{ED4CF4A7-9EFB-0FBE-5ABA-7C5153FFE901}"/>
            </a:ext>
          </a:extLst>
        </xdr:cNvPr>
        <xdr:cNvGrpSpPr/>
      </xdr:nvGrpSpPr>
      <xdr:grpSpPr>
        <a:xfrm>
          <a:off x="5497286" y="13803086"/>
          <a:ext cx="5612400" cy="4826164"/>
          <a:chOff x="5497286" y="13803086"/>
          <a:chExt cx="5612400" cy="4826164"/>
        </a:xfrm>
      </xdr:grpSpPr>
      <xdr:pic>
        <xdr:nvPicPr>
          <xdr:cNvPr id="468" name="Imagen 467">
            <a:extLst>
              <a:ext uri="{FF2B5EF4-FFF2-40B4-BE49-F238E27FC236}">
                <a16:creationId xmlns:a16="http://schemas.microsoft.com/office/drawing/2014/main" id="{2AE71245-CDC9-C3D0-9D25-7EAC237B12B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4394"/>
          <a:stretch/>
        </xdr:blipFill>
        <xdr:spPr>
          <a:xfrm>
            <a:off x="5497286" y="13803086"/>
            <a:ext cx="5612130" cy="2131514"/>
          </a:xfrm>
          <a:prstGeom prst="rect">
            <a:avLst/>
          </a:prstGeom>
        </xdr:spPr>
      </xdr:pic>
      <xdr:pic>
        <xdr:nvPicPr>
          <xdr:cNvPr id="469" name="Imagen 468">
            <a:extLst>
              <a:ext uri="{FF2B5EF4-FFF2-40B4-BE49-F238E27FC236}">
                <a16:creationId xmlns:a16="http://schemas.microsoft.com/office/drawing/2014/main" id="{C893377D-CAD3-EDAF-2BDB-A77D3226DC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497286" y="15936685"/>
            <a:ext cx="5612400" cy="269256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179294</xdr:colOff>
      <xdr:row>16</xdr:row>
      <xdr:rowOff>80682</xdr:rowOff>
    </xdr:from>
    <xdr:to>
      <xdr:col>91</xdr:col>
      <xdr:colOff>609600</xdr:colOff>
      <xdr:row>20</xdr:row>
      <xdr:rowOff>80682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FFA2A59B-30A4-4B9B-9C1F-398F9E07F541}"/>
            </a:ext>
          </a:extLst>
        </xdr:cNvPr>
        <xdr:cNvCxnSpPr/>
      </xdr:nvCxnSpPr>
      <xdr:spPr>
        <a:xfrm flipH="1">
          <a:off x="61166188" y="2465294"/>
          <a:ext cx="1219200" cy="7261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376518</xdr:colOff>
      <xdr:row>17</xdr:row>
      <xdr:rowOff>0</xdr:rowOff>
    </xdr:from>
    <xdr:to>
      <xdr:col>92</xdr:col>
      <xdr:colOff>268942</xdr:colOff>
      <xdr:row>21</xdr:row>
      <xdr:rowOff>134471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D30CB71-A671-497E-9458-5CAC83F0C833}"/>
            </a:ext>
          </a:extLst>
        </xdr:cNvPr>
        <xdr:cNvCxnSpPr/>
      </xdr:nvCxnSpPr>
      <xdr:spPr>
        <a:xfrm flipH="1">
          <a:off x="61363412" y="2563906"/>
          <a:ext cx="1470212" cy="8606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119680</xdr:colOff>
      <xdr:row>16</xdr:row>
      <xdr:rowOff>34513</xdr:rowOff>
    </xdr:from>
    <xdr:to>
      <xdr:col>1</xdr:col>
      <xdr:colOff>310180</xdr:colOff>
      <xdr:row>17</xdr:row>
      <xdr:rowOff>61407</xdr:rowOff>
    </xdr:to>
    <xdr:sp macro="" textlink="">
      <xdr:nvSpPr>
        <xdr:cNvPr id="2" name="Flecha: hacia la izquierda 1">
          <a:extLst>
            <a:ext uri="{FF2B5EF4-FFF2-40B4-BE49-F238E27FC236}">
              <a16:creationId xmlns:a16="http://schemas.microsoft.com/office/drawing/2014/main" id="{C7FD0563-A3A7-76BD-9497-251371A5525A}"/>
            </a:ext>
          </a:extLst>
        </xdr:cNvPr>
        <xdr:cNvSpPr/>
      </xdr:nvSpPr>
      <xdr:spPr>
        <a:xfrm>
          <a:off x="119680" y="2957007"/>
          <a:ext cx="979394" cy="20618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146125</xdr:colOff>
      <xdr:row>20</xdr:row>
      <xdr:rowOff>62306</xdr:rowOff>
    </xdr:from>
    <xdr:to>
      <xdr:col>1</xdr:col>
      <xdr:colOff>336625</xdr:colOff>
      <xdr:row>21</xdr:row>
      <xdr:rowOff>92786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AAAD82D9-34B6-4B8F-9272-35754BDCD92F}"/>
            </a:ext>
          </a:extLst>
        </xdr:cNvPr>
        <xdr:cNvSpPr/>
      </xdr:nvSpPr>
      <xdr:spPr>
        <a:xfrm rot="10800000">
          <a:off x="146125" y="3710941"/>
          <a:ext cx="979394" cy="2097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</xdr:col>
      <xdr:colOff>678180</xdr:colOff>
      <xdr:row>17</xdr:row>
      <xdr:rowOff>76200</xdr:rowOff>
    </xdr:from>
    <xdr:to>
      <xdr:col>15</xdr:col>
      <xdr:colOff>76200</xdr:colOff>
      <xdr:row>18</xdr:row>
      <xdr:rowOff>106680</xdr:rowOff>
    </xdr:to>
    <xdr:sp macro="" textlink="">
      <xdr:nvSpPr>
        <xdr:cNvPr id="8" name="Flecha: hacia la izquierda 7">
          <a:extLst>
            <a:ext uri="{FF2B5EF4-FFF2-40B4-BE49-F238E27FC236}">
              <a16:creationId xmlns:a16="http://schemas.microsoft.com/office/drawing/2014/main" id="{BEE6F696-94F5-45F7-81F7-D50B2C5EA264}"/>
            </a:ext>
          </a:extLst>
        </xdr:cNvPr>
        <xdr:cNvSpPr/>
      </xdr:nvSpPr>
      <xdr:spPr>
        <a:xfrm>
          <a:off x="10980420" y="266700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</xdr:col>
      <xdr:colOff>731520</xdr:colOff>
      <xdr:row>19</xdr:row>
      <xdr:rowOff>152400</xdr:rowOff>
    </xdr:from>
    <xdr:to>
      <xdr:col>15</xdr:col>
      <xdr:colOff>129540</xdr:colOff>
      <xdr:row>21</xdr:row>
      <xdr:rowOff>0</xdr:rowOff>
    </xdr:to>
    <xdr:sp macro="" textlink="">
      <xdr:nvSpPr>
        <xdr:cNvPr id="9" name="Flecha: hacia la izquierda 8">
          <a:extLst>
            <a:ext uri="{FF2B5EF4-FFF2-40B4-BE49-F238E27FC236}">
              <a16:creationId xmlns:a16="http://schemas.microsoft.com/office/drawing/2014/main" id="{8AEDA3EB-10AB-4124-AA20-3C02084864E5}"/>
            </a:ext>
          </a:extLst>
        </xdr:cNvPr>
        <xdr:cNvSpPr/>
      </xdr:nvSpPr>
      <xdr:spPr>
        <a:xfrm rot="10800000">
          <a:off x="11033760" y="311658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41</xdr:col>
      <xdr:colOff>708660</xdr:colOff>
      <xdr:row>17</xdr:row>
      <xdr:rowOff>38100</xdr:rowOff>
    </xdr:from>
    <xdr:to>
      <xdr:col>43</xdr:col>
      <xdr:colOff>106680</xdr:colOff>
      <xdr:row>18</xdr:row>
      <xdr:rowOff>68580</xdr:rowOff>
    </xdr:to>
    <xdr:sp macro="" textlink="">
      <xdr:nvSpPr>
        <xdr:cNvPr id="10" name="Flecha: hacia la izquierda 9">
          <a:extLst>
            <a:ext uri="{FF2B5EF4-FFF2-40B4-BE49-F238E27FC236}">
              <a16:creationId xmlns:a16="http://schemas.microsoft.com/office/drawing/2014/main" id="{647A7361-9068-40AF-B4E2-FE5F0BF5053F}"/>
            </a:ext>
          </a:extLst>
        </xdr:cNvPr>
        <xdr:cNvSpPr/>
      </xdr:nvSpPr>
      <xdr:spPr>
        <a:xfrm>
          <a:off x="30076140" y="262890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41</xdr:col>
      <xdr:colOff>762000</xdr:colOff>
      <xdr:row>19</xdr:row>
      <xdr:rowOff>114300</xdr:rowOff>
    </xdr:from>
    <xdr:to>
      <xdr:col>43</xdr:col>
      <xdr:colOff>160020</xdr:colOff>
      <xdr:row>20</xdr:row>
      <xdr:rowOff>144780</xdr:rowOff>
    </xdr:to>
    <xdr:sp macro="" textlink="">
      <xdr:nvSpPr>
        <xdr:cNvPr id="11" name="Flecha: hacia la izquierda 10">
          <a:extLst>
            <a:ext uri="{FF2B5EF4-FFF2-40B4-BE49-F238E27FC236}">
              <a16:creationId xmlns:a16="http://schemas.microsoft.com/office/drawing/2014/main" id="{81966DA1-DB01-4632-B807-CC09A0400E90}"/>
            </a:ext>
          </a:extLst>
        </xdr:cNvPr>
        <xdr:cNvSpPr/>
      </xdr:nvSpPr>
      <xdr:spPr>
        <a:xfrm rot="10800000">
          <a:off x="30129480" y="307848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122</xdr:col>
      <xdr:colOff>554915</xdr:colOff>
      <xdr:row>8</xdr:row>
      <xdr:rowOff>69028</xdr:rowOff>
    </xdr:from>
    <xdr:to>
      <xdr:col>123</xdr:col>
      <xdr:colOff>745415</xdr:colOff>
      <xdr:row>9</xdr:row>
      <xdr:rowOff>90543</xdr:rowOff>
    </xdr:to>
    <xdr:sp macro="" textlink="">
      <xdr:nvSpPr>
        <xdr:cNvPr id="14" name="Flecha: hacia la izquierda 13">
          <a:extLst>
            <a:ext uri="{FF2B5EF4-FFF2-40B4-BE49-F238E27FC236}">
              <a16:creationId xmlns:a16="http://schemas.microsoft.com/office/drawing/2014/main" id="{149579FE-41E5-4757-8149-C0AF15991D8A}"/>
            </a:ext>
          </a:extLst>
        </xdr:cNvPr>
        <xdr:cNvSpPr/>
      </xdr:nvSpPr>
      <xdr:spPr>
        <a:xfrm>
          <a:off x="93940256" y="1521310"/>
          <a:ext cx="979394" cy="2097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122</xdr:col>
      <xdr:colOff>617220</xdr:colOff>
      <xdr:row>12</xdr:row>
      <xdr:rowOff>73509</xdr:rowOff>
    </xdr:from>
    <xdr:to>
      <xdr:col>124</xdr:col>
      <xdr:colOff>15240</xdr:colOff>
      <xdr:row>13</xdr:row>
      <xdr:rowOff>103989</xdr:rowOff>
    </xdr:to>
    <xdr:sp macro="" textlink="">
      <xdr:nvSpPr>
        <xdr:cNvPr id="15" name="Flecha: hacia la izquierda 14">
          <a:extLst>
            <a:ext uri="{FF2B5EF4-FFF2-40B4-BE49-F238E27FC236}">
              <a16:creationId xmlns:a16="http://schemas.microsoft.com/office/drawing/2014/main" id="{7978B6F3-7E31-4C70-88ED-B86D3A0A0E9F}"/>
            </a:ext>
          </a:extLst>
        </xdr:cNvPr>
        <xdr:cNvSpPr/>
      </xdr:nvSpPr>
      <xdr:spPr>
        <a:xfrm rot="10800000">
          <a:off x="94002561" y="2260897"/>
          <a:ext cx="975808" cy="2097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259752</xdr:colOff>
      <xdr:row>15</xdr:row>
      <xdr:rowOff>77323</xdr:rowOff>
    </xdr:from>
    <xdr:to>
      <xdr:col>100</xdr:col>
      <xdr:colOff>385482</xdr:colOff>
      <xdr:row>17</xdr:row>
      <xdr:rowOff>71722</xdr:rowOff>
    </xdr:to>
    <xdr:sp macro="" textlink="">
      <xdr:nvSpPr>
        <xdr:cNvPr id="16" name="Flecha: hacia la izquierda 15">
          <a:extLst>
            <a:ext uri="{FF2B5EF4-FFF2-40B4-BE49-F238E27FC236}">
              <a16:creationId xmlns:a16="http://schemas.microsoft.com/office/drawing/2014/main" id="{E5579448-EDFB-46C8-B063-CC95D7CDF032}"/>
            </a:ext>
          </a:extLst>
        </xdr:cNvPr>
        <xdr:cNvSpPr/>
      </xdr:nvSpPr>
      <xdr:spPr>
        <a:xfrm rot="5400000">
          <a:off x="75077617" y="2929669"/>
          <a:ext cx="361952" cy="12573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220308</xdr:colOff>
      <xdr:row>17</xdr:row>
      <xdr:rowOff>138281</xdr:rowOff>
    </xdr:from>
    <xdr:to>
      <xdr:col>99</xdr:col>
      <xdr:colOff>412377</xdr:colOff>
      <xdr:row>20</xdr:row>
      <xdr:rowOff>116542</xdr:rowOff>
    </xdr:to>
    <xdr:sp macro="" textlink="">
      <xdr:nvSpPr>
        <xdr:cNvPr id="17" name="Flecha: hacia la izquierda 16">
          <a:extLst>
            <a:ext uri="{FF2B5EF4-FFF2-40B4-BE49-F238E27FC236}">
              <a16:creationId xmlns:a16="http://schemas.microsoft.com/office/drawing/2014/main" id="{6391069E-A70E-4D40-AD25-161D42517FD1}"/>
            </a:ext>
          </a:extLst>
        </xdr:cNvPr>
        <xdr:cNvSpPr/>
      </xdr:nvSpPr>
      <xdr:spPr>
        <a:xfrm rot="16200000">
          <a:off x="75240777" y="3406588"/>
          <a:ext cx="525108" cy="19206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52</xdr:col>
      <xdr:colOff>487680</xdr:colOff>
      <xdr:row>17</xdr:row>
      <xdr:rowOff>22860</xdr:rowOff>
    </xdr:from>
    <xdr:to>
      <xdr:col>53</xdr:col>
      <xdr:colOff>678180</xdr:colOff>
      <xdr:row>18</xdr:row>
      <xdr:rowOff>53340</xdr:rowOff>
    </xdr:to>
    <xdr:sp macro="" textlink="">
      <xdr:nvSpPr>
        <xdr:cNvPr id="18" name="Flecha: hacia la izquierda 17">
          <a:extLst>
            <a:ext uri="{FF2B5EF4-FFF2-40B4-BE49-F238E27FC236}">
              <a16:creationId xmlns:a16="http://schemas.microsoft.com/office/drawing/2014/main" id="{12988CFA-8B36-457E-82EC-EEF5FA05D978}"/>
            </a:ext>
          </a:extLst>
        </xdr:cNvPr>
        <xdr:cNvSpPr/>
      </xdr:nvSpPr>
      <xdr:spPr>
        <a:xfrm>
          <a:off x="38572440" y="262890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52</xdr:col>
      <xdr:colOff>541020</xdr:colOff>
      <xdr:row>19</xdr:row>
      <xdr:rowOff>99060</xdr:rowOff>
    </xdr:from>
    <xdr:to>
      <xdr:col>53</xdr:col>
      <xdr:colOff>731520</xdr:colOff>
      <xdr:row>20</xdr:row>
      <xdr:rowOff>129540</xdr:rowOff>
    </xdr:to>
    <xdr:sp macro="" textlink="">
      <xdr:nvSpPr>
        <xdr:cNvPr id="19" name="Flecha: hacia la izquierda 18">
          <a:extLst>
            <a:ext uri="{FF2B5EF4-FFF2-40B4-BE49-F238E27FC236}">
              <a16:creationId xmlns:a16="http://schemas.microsoft.com/office/drawing/2014/main" id="{F5E67AE4-4B38-4EC7-B342-709B74AD61AC}"/>
            </a:ext>
          </a:extLst>
        </xdr:cNvPr>
        <xdr:cNvSpPr/>
      </xdr:nvSpPr>
      <xdr:spPr>
        <a:xfrm rot="10800000">
          <a:off x="38625780" y="307848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327660</xdr:colOff>
      <xdr:row>9</xdr:row>
      <xdr:rowOff>167640</xdr:rowOff>
    </xdr:from>
    <xdr:to>
      <xdr:col>68</xdr:col>
      <xdr:colOff>685800</xdr:colOff>
      <xdr:row>11</xdr:row>
      <xdr:rowOff>7620</xdr:rowOff>
    </xdr:to>
    <xdr:sp macro="" textlink="">
      <xdr:nvSpPr>
        <xdr:cNvPr id="20" name="Flecha: hacia la izquierda 19">
          <a:extLst>
            <a:ext uri="{FF2B5EF4-FFF2-40B4-BE49-F238E27FC236}">
              <a16:creationId xmlns:a16="http://schemas.microsoft.com/office/drawing/2014/main" id="{DB049750-F338-4B8A-B9EE-9861E7A2A92E}"/>
            </a:ext>
          </a:extLst>
        </xdr:cNvPr>
        <xdr:cNvSpPr/>
      </xdr:nvSpPr>
      <xdr:spPr>
        <a:xfrm>
          <a:off x="47061120" y="127254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457200</xdr:colOff>
      <xdr:row>11</xdr:row>
      <xdr:rowOff>0</xdr:rowOff>
    </xdr:from>
    <xdr:to>
      <xdr:col>70</xdr:col>
      <xdr:colOff>22860</xdr:colOff>
      <xdr:row>12</xdr:row>
      <xdr:rowOff>30480</xdr:rowOff>
    </xdr:to>
    <xdr:sp macro="" textlink="">
      <xdr:nvSpPr>
        <xdr:cNvPr id="21" name="Flecha: hacia la izquierda 20">
          <a:extLst>
            <a:ext uri="{FF2B5EF4-FFF2-40B4-BE49-F238E27FC236}">
              <a16:creationId xmlns:a16="http://schemas.microsoft.com/office/drawing/2014/main" id="{236E18DF-727D-4766-BA6F-528527BB58CF}"/>
            </a:ext>
          </a:extLst>
        </xdr:cNvPr>
        <xdr:cNvSpPr/>
      </xdr:nvSpPr>
      <xdr:spPr>
        <a:xfrm rot="10800000">
          <a:off x="47190660" y="147828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81</xdr:col>
      <xdr:colOff>464820</xdr:colOff>
      <xdr:row>10</xdr:row>
      <xdr:rowOff>68580</xdr:rowOff>
    </xdr:from>
    <xdr:to>
      <xdr:col>82</xdr:col>
      <xdr:colOff>655320</xdr:colOff>
      <xdr:row>11</xdr:row>
      <xdr:rowOff>91440</xdr:rowOff>
    </xdr:to>
    <xdr:sp macro="" textlink="">
      <xdr:nvSpPr>
        <xdr:cNvPr id="22" name="Flecha: hacia la izquierda 21">
          <a:extLst>
            <a:ext uri="{FF2B5EF4-FFF2-40B4-BE49-F238E27FC236}">
              <a16:creationId xmlns:a16="http://schemas.microsoft.com/office/drawing/2014/main" id="{E38F3761-4665-43CF-9208-FBBE91CD2457}"/>
            </a:ext>
          </a:extLst>
        </xdr:cNvPr>
        <xdr:cNvSpPr/>
      </xdr:nvSpPr>
      <xdr:spPr>
        <a:xfrm rot="10800000">
          <a:off x="55366920" y="135636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220980</xdr:colOff>
      <xdr:row>40</xdr:row>
      <xdr:rowOff>160020</xdr:rowOff>
    </xdr:from>
    <xdr:to>
      <xdr:col>100</xdr:col>
      <xdr:colOff>434340</xdr:colOff>
      <xdr:row>46</xdr:row>
      <xdr:rowOff>45720</xdr:rowOff>
    </xdr:to>
    <xdr:sp macro="" textlink="">
      <xdr:nvSpPr>
        <xdr:cNvPr id="23" name="Flecha: hacia la izquierda 22">
          <a:extLst>
            <a:ext uri="{FF2B5EF4-FFF2-40B4-BE49-F238E27FC236}">
              <a16:creationId xmlns:a16="http://schemas.microsoft.com/office/drawing/2014/main" id="{7646BE24-6213-4AF7-B579-6E56035C21B9}"/>
            </a:ext>
          </a:extLst>
        </xdr:cNvPr>
        <xdr:cNvSpPr/>
      </xdr:nvSpPr>
      <xdr:spPr>
        <a:xfrm rot="5400000">
          <a:off x="65573910" y="738759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190500</xdr:colOff>
      <xdr:row>41</xdr:row>
      <xdr:rowOff>38100</xdr:rowOff>
    </xdr:from>
    <xdr:to>
      <xdr:col>99</xdr:col>
      <xdr:colOff>403860</xdr:colOff>
      <xdr:row>46</xdr:row>
      <xdr:rowOff>106680</xdr:rowOff>
    </xdr:to>
    <xdr:sp macro="" textlink="">
      <xdr:nvSpPr>
        <xdr:cNvPr id="24" name="Flecha: hacia la izquierda 23">
          <a:extLst>
            <a:ext uri="{FF2B5EF4-FFF2-40B4-BE49-F238E27FC236}">
              <a16:creationId xmlns:a16="http://schemas.microsoft.com/office/drawing/2014/main" id="{9E97AE2E-B99A-4A4D-8329-BF62FD3BD902}"/>
            </a:ext>
          </a:extLst>
        </xdr:cNvPr>
        <xdr:cNvSpPr/>
      </xdr:nvSpPr>
      <xdr:spPr>
        <a:xfrm rot="16200000">
          <a:off x="65010030" y="744855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92</xdr:col>
      <xdr:colOff>201930</xdr:colOff>
      <xdr:row>50</xdr:row>
      <xdr:rowOff>80010</xdr:rowOff>
    </xdr:from>
    <xdr:to>
      <xdr:col>93</xdr:col>
      <xdr:colOff>392430</xdr:colOff>
      <xdr:row>51</xdr:row>
      <xdr:rowOff>110490</xdr:rowOff>
    </xdr:to>
    <xdr:sp macro="" textlink="">
      <xdr:nvSpPr>
        <xdr:cNvPr id="25" name="Flecha: hacia la izquierda 24">
          <a:extLst>
            <a:ext uri="{FF2B5EF4-FFF2-40B4-BE49-F238E27FC236}">
              <a16:creationId xmlns:a16="http://schemas.microsoft.com/office/drawing/2014/main" id="{50B6F4A7-165F-417D-9694-B9829C84BF7D}"/>
            </a:ext>
          </a:extLst>
        </xdr:cNvPr>
        <xdr:cNvSpPr/>
      </xdr:nvSpPr>
      <xdr:spPr>
        <a:xfrm>
          <a:off x="63028830" y="875157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76</xdr:col>
      <xdr:colOff>30480</xdr:colOff>
      <xdr:row>43</xdr:row>
      <xdr:rowOff>68580</xdr:rowOff>
    </xdr:from>
    <xdr:to>
      <xdr:col>77</xdr:col>
      <xdr:colOff>220980</xdr:colOff>
      <xdr:row>44</xdr:row>
      <xdr:rowOff>99060</xdr:rowOff>
    </xdr:to>
    <xdr:sp macro="" textlink="">
      <xdr:nvSpPr>
        <xdr:cNvPr id="27" name="Flecha: hacia la izquierda 26">
          <a:extLst>
            <a:ext uri="{FF2B5EF4-FFF2-40B4-BE49-F238E27FC236}">
              <a16:creationId xmlns:a16="http://schemas.microsoft.com/office/drawing/2014/main" id="{72C88946-C146-4C47-9F27-191DA2FCF194}"/>
            </a:ext>
          </a:extLst>
        </xdr:cNvPr>
        <xdr:cNvSpPr/>
      </xdr:nvSpPr>
      <xdr:spPr>
        <a:xfrm>
          <a:off x="51351180" y="7459980"/>
          <a:ext cx="982980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285750</xdr:colOff>
      <xdr:row>31</xdr:row>
      <xdr:rowOff>6500</xdr:rowOff>
    </xdr:from>
    <xdr:to>
      <xdr:col>62</xdr:col>
      <xdr:colOff>499110</xdr:colOff>
      <xdr:row>36</xdr:row>
      <xdr:rowOff>71495</xdr:rowOff>
    </xdr:to>
    <xdr:sp macro="" textlink="">
      <xdr:nvSpPr>
        <xdr:cNvPr id="28" name="Flecha: hacia la izquierda 27">
          <a:extLst>
            <a:ext uri="{FF2B5EF4-FFF2-40B4-BE49-F238E27FC236}">
              <a16:creationId xmlns:a16="http://schemas.microsoft.com/office/drawing/2014/main" id="{65B406C5-A493-4435-8FB5-846745CD0AEA}"/>
            </a:ext>
          </a:extLst>
        </xdr:cNvPr>
        <xdr:cNvSpPr/>
      </xdr:nvSpPr>
      <xdr:spPr>
        <a:xfrm rot="5400000">
          <a:off x="46599885" y="6028318"/>
          <a:ext cx="961465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63</xdr:col>
      <xdr:colOff>295836</xdr:colOff>
      <xdr:row>30</xdr:row>
      <xdr:rowOff>148814</xdr:rowOff>
    </xdr:from>
    <xdr:to>
      <xdr:col>65</xdr:col>
      <xdr:colOff>242496</xdr:colOff>
      <xdr:row>35</xdr:row>
      <xdr:rowOff>16585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481B48D4-C44A-4799-BBAB-CEE845464D99}"/>
            </a:ext>
          </a:extLst>
        </xdr:cNvPr>
        <xdr:cNvCxnSpPr/>
      </xdr:nvCxnSpPr>
      <xdr:spPr>
        <a:xfrm>
          <a:off x="44617342" y="5079402"/>
          <a:ext cx="735554" cy="7642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623496</xdr:colOff>
      <xdr:row>30</xdr:row>
      <xdr:rowOff>0</xdr:rowOff>
    </xdr:from>
    <xdr:to>
      <xdr:col>65</xdr:col>
      <xdr:colOff>570156</xdr:colOff>
      <xdr:row>34</xdr:row>
      <xdr:rowOff>43479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3FA60799-0EE6-417A-9E1D-2CBF2B41E32A}"/>
            </a:ext>
          </a:extLst>
        </xdr:cNvPr>
        <xdr:cNvCxnSpPr/>
      </xdr:nvCxnSpPr>
      <xdr:spPr>
        <a:xfrm>
          <a:off x="44945002" y="4930588"/>
          <a:ext cx="735554" cy="7606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502023</xdr:colOff>
      <xdr:row>42</xdr:row>
      <xdr:rowOff>134470</xdr:rowOff>
    </xdr:from>
    <xdr:to>
      <xdr:col>66</xdr:col>
      <xdr:colOff>71271</xdr:colOff>
      <xdr:row>44</xdr:row>
      <xdr:rowOff>0</xdr:rowOff>
    </xdr:to>
    <xdr:sp macro="" textlink="">
      <xdr:nvSpPr>
        <xdr:cNvPr id="31" name="Flecha: hacia la izquierda 30">
          <a:extLst>
            <a:ext uri="{FF2B5EF4-FFF2-40B4-BE49-F238E27FC236}">
              <a16:creationId xmlns:a16="http://schemas.microsoft.com/office/drawing/2014/main" id="{F4A0513D-F2F4-47BC-A4CF-40E586FB1FBC}"/>
            </a:ext>
          </a:extLst>
        </xdr:cNvPr>
        <xdr:cNvSpPr/>
      </xdr:nvSpPr>
      <xdr:spPr>
        <a:xfrm>
          <a:off x="49556894" y="7754470"/>
          <a:ext cx="358142" cy="22411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690281</xdr:colOff>
      <xdr:row>44</xdr:row>
      <xdr:rowOff>26893</xdr:rowOff>
    </xdr:from>
    <xdr:to>
      <xdr:col>66</xdr:col>
      <xdr:colOff>197224</xdr:colOff>
      <xdr:row>45</xdr:row>
      <xdr:rowOff>6274</xdr:rowOff>
    </xdr:to>
    <xdr:sp macro="" textlink="">
      <xdr:nvSpPr>
        <xdr:cNvPr id="32" name="Flecha: hacia la izquierda 31">
          <a:extLst>
            <a:ext uri="{FF2B5EF4-FFF2-40B4-BE49-F238E27FC236}">
              <a16:creationId xmlns:a16="http://schemas.microsoft.com/office/drawing/2014/main" id="{B1EE3A50-2727-4E0E-80D9-6FC633B4C9F7}"/>
            </a:ext>
          </a:extLst>
        </xdr:cNvPr>
        <xdr:cNvSpPr/>
      </xdr:nvSpPr>
      <xdr:spPr>
        <a:xfrm rot="10800000">
          <a:off x="49745152" y="8005481"/>
          <a:ext cx="295837" cy="1586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71720</xdr:colOff>
      <xdr:row>40</xdr:row>
      <xdr:rowOff>35858</xdr:rowOff>
    </xdr:from>
    <xdr:to>
      <xdr:col>67</xdr:col>
      <xdr:colOff>246980</xdr:colOff>
      <xdr:row>42</xdr:row>
      <xdr:rowOff>67683</xdr:rowOff>
    </xdr:to>
    <xdr:sp macro="" textlink="">
      <xdr:nvSpPr>
        <xdr:cNvPr id="33" name="Flecha: hacia la izquierda 32">
          <a:extLst>
            <a:ext uri="{FF2B5EF4-FFF2-40B4-BE49-F238E27FC236}">
              <a16:creationId xmlns:a16="http://schemas.microsoft.com/office/drawing/2014/main" id="{13D48888-E348-4823-8F66-4E09FC97D10B}"/>
            </a:ext>
          </a:extLst>
        </xdr:cNvPr>
        <xdr:cNvSpPr/>
      </xdr:nvSpPr>
      <xdr:spPr>
        <a:xfrm rot="16200000">
          <a:off x="50444402" y="7404847"/>
          <a:ext cx="390413" cy="1752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408119</xdr:colOff>
      <xdr:row>47</xdr:row>
      <xdr:rowOff>145453</xdr:rowOff>
    </xdr:from>
    <xdr:to>
      <xdr:col>67</xdr:col>
      <xdr:colOff>537882</xdr:colOff>
      <xdr:row>49</xdr:row>
      <xdr:rowOff>116544</xdr:rowOff>
    </xdr:to>
    <xdr:sp macro="" textlink="">
      <xdr:nvSpPr>
        <xdr:cNvPr id="34" name="Flecha: hacia la izquierda 33">
          <a:extLst>
            <a:ext uri="{FF2B5EF4-FFF2-40B4-BE49-F238E27FC236}">
              <a16:creationId xmlns:a16="http://schemas.microsoft.com/office/drawing/2014/main" id="{3F48B1D9-AB6A-41D0-A3CD-D7FB84553591}"/>
            </a:ext>
          </a:extLst>
        </xdr:cNvPr>
        <xdr:cNvSpPr/>
      </xdr:nvSpPr>
      <xdr:spPr>
        <a:xfrm rot="5400000">
          <a:off x="50788420" y="8761882"/>
          <a:ext cx="329679" cy="12976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87</xdr:col>
      <xdr:colOff>295836</xdr:colOff>
      <xdr:row>42</xdr:row>
      <xdr:rowOff>152400</xdr:rowOff>
    </xdr:from>
    <xdr:to>
      <xdr:col>88</xdr:col>
      <xdr:colOff>492612</xdr:colOff>
      <xdr:row>44</xdr:row>
      <xdr:rowOff>1345</xdr:rowOff>
    </xdr:to>
    <xdr:sp macro="" textlink="">
      <xdr:nvSpPr>
        <xdr:cNvPr id="35" name="Flecha: hacia la izquierda 34">
          <a:extLst>
            <a:ext uri="{FF2B5EF4-FFF2-40B4-BE49-F238E27FC236}">
              <a16:creationId xmlns:a16="http://schemas.microsoft.com/office/drawing/2014/main" id="{389170C9-BA88-4A05-AD75-4E949BE6F8AE}"/>
            </a:ext>
          </a:extLst>
        </xdr:cNvPr>
        <xdr:cNvSpPr/>
      </xdr:nvSpPr>
      <xdr:spPr>
        <a:xfrm>
          <a:off x="58916048" y="7234518"/>
          <a:ext cx="985670" cy="20753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85</xdr:col>
      <xdr:colOff>246082</xdr:colOff>
      <xdr:row>43</xdr:row>
      <xdr:rowOff>164054</xdr:rowOff>
    </xdr:from>
    <xdr:to>
      <xdr:col>86</xdr:col>
      <xdr:colOff>439272</xdr:colOff>
      <xdr:row>45</xdr:row>
      <xdr:rowOff>15240</xdr:rowOff>
    </xdr:to>
    <xdr:sp macro="" textlink="">
      <xdr:nvSpPr>
        <xdr:cNvPr id="36" name="Flecha: hacia la izquierda 35">
          <a:extLst>
            <a:ext uri="{FF2B5EF4-FFF2-40B4-BE49-F238E27FC236}">
              <a16:creationId xmlns:a16="http://schemas.microsoft.com/office/drawing/2014/main" id="{38E39C0B-4006-4B90-8D70-9F23C382A185}"/>
            </a:ext>
          </a:extLst>
        </xdr:cNvPr>
        <xdr:cNvSpPr/>
      </xdr:nvSpPr>
      <xdr:spPr>
        <a:xfrm rot="10800000">
          <a:off x="57288506" y="7425466"/>
          <a:ext cx="982084" cy="20977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82</xdr:col>
      <xdr:colOff>510990</xdr:colOff>
      <xdr:row>42</xdr:row>
      <xdr:rowOff>143434</xdr:rowOff>
    </xdr:from>
    <xdr:to>
      <xdr:col>83</xdr:col>
      <xdr:colOff>391766</xdr:colOff>
      <xdr:row>43</xdr:row>
      <xdr:rowOff>174335</xdr:rowOff>
    </xdr:to>
    <xdr:sp macro="" textlink="">
      <xdr:nvSpPr>
        <xdr:cNvPr id="37" name="Flecha: hacia la izquierda 36">
          <a:extLst>
            <a:ext uri="{FF2B5EF4-FFF2-40B4-BE49-F238E27FC236}">
              <a16:creationId xmlns:a16="http://schemas.microsoft.com/office/drawing/2014/main" id="{F15E9734-E7E6-478E-AC5B-FFF2F29AC511}"/>
            </a:ext>
          </a:extLst>
        </xdr:cNvPr>
        <xdr:cNvSpPr/>
      </xdr:nvSpPr>
      <xdr:spPr>
        <a:xfrm>
          <a:off x="62286778" y="7763434"/>
          <a:ext cx="669670" cy="210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82</xdr:col>
      <xdr:colOff>640530</xdr:colOff>
      <xdr:row>43</xdr:row>
      <xdr:rowOff>164052</xdr:rowOff>
    </xdr:from>
    <xdr:to>
      <xdr:col>83</xdr:col>
      <xdr:colOff>519953</xdr:colOff>
      <xdr:row>45</xdr:row>
      <xdr:rowOff>17929</xdr:rowOff>
    </xdr:to>
    <xdr:sp macro="" textlink="">
      <xdr:nvSpPr>
        <xdr:cNvPr id="38" name="Flecha: hacia la izquierda 37">
          <a:extLst>
            <a:ext uri="{FF2B5EF4-FFF2-40B4-BE49-F238E27FC236}">
              <a16:creationId xmlns:a16="http://schemas.microsoft.com/office/drawing/2014/main" id="{B4DD56EF-DA33-454D-9208-5EE0BFB9362A}"/>
            </a:ext>
          </a:extLst>
        </xdr:cNvPr>
        <xdr:cNvSpPr/>
      </xdr:nvSpPr>
      <xdr:spPr>
        <a:xfrm rot="10800000">
          <a:off x="62416318" y="7963346"/>
          <a:ext cx="668317" cy="2124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101</xdr:col>
      <xdr:colOff>143435</xdr:colOff>
      <xdr:row>9</xdr:row>
      <xdr:rowOff>116541</xdr:rowOff>
    </xdr:from>
    <xdr:to>
      <xdr:col>101</xdr:col>
      <xdr:colOff>475129</xdr:colOff>
      <xdr:row>10</xdr:row>
      <xdr:rowOff>44823</xdr:rowOff>
    </xdr:to>
    <xdr:sp macro="" textlink="">
      <xdr:nvSpPr>
        <xdr:cNvPr id="39" name="Flecha: hacia la izquierda 38">
          <a:extLst>
            <a:ext uri="{FF2B5EF4-FFF2-40B4-BE49-F238E27FC236}">
              <a16:creationId xmlns:a16="http://schemas.microsoft.com/office/drawing/2014/main" id="{8EE92558-7674-4B9D-901B-00C7B33C3A1F}"/>
            </a:ext>
          </a:extLst>
        </xdr:cNvPr>
        <xdr:cNvSpPr/>
      </xdr:nvSpPr>
      <xdr:spPr>
        <a:xfrm>
          <a:off x="75653153" y="1739153"/>
          <a:ext cx="331694" cy="10757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93</xdr:col>
      <xdr:colOff>102647</xdr:colOff>
      <xdr:row>12</xdr:row>
      <xdr:rowOff>8965</xdr:rowOff>
    </xdr:from>
    <xdr:to>
      <xdr:col>94</xdr:col>
      <xdr:colOff>448235</xdr:colOff>
      <xdr:row>13</xdr:row>
      <xdr:rowOff>51099</xdr:rowOff>
    </xdr:to>
    <xdr:sp macro="" textlink="">
      <xdr:nvSpPr>
        <xdr:cNvPr id="40" name="Flecha: hacia la izquierda 39">
          <a:extLst>
            <a:ext uri="{FF2B5EF4-FFF2-40B4-BE49-F238E27FC236}">
              <a16:creationId xmlns:a16="http://schemas.microsoft.com/office/drawing/2014/main" id="{36B47DF3-606B-4355-97C8-D87F3AFB906D}"/>
            </a:ext>
          </a:extLst>
        </xdr:cNvPr>
        <xdr:cNvSpPr/>
      </xdr:nvSpPr>
      <xdr:spPr>
        <a:xfrm rot="10800000">
          <a:off x="65034012" y="1640541"/>
          <a:ext cx="1134482" cy="2214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91</xdr:col>
      <xdr:colOff>412153</xdr:colOff>
      <xdr:row>17</xdr:row>
      <xdr:rowOff>166967</xdr:rowOff>
    </xdr:from>
    <xdr:to>
      <xdr:col>92</xdr:col>
      <xdr:colOff>589654</xdr:colOff>
      <xdr:row>19</xdr:row>
      <xdr:rowOff>12774</xdr:rowOff>
    </xdr:to>
    <xdr:sp macro="" textlink="">
      <xdr:nvSpPr>
        <xdr:cNvPr id="41" name="Flecha: hacia la izquierda 40">
          <a:extLst>
            <a:ext uri="{FF2B5EF4-FFF2-40B4-BE49-F238E27FC236}">
              <a16:creationId xmlns:a16="http://schemas.microsoft.com/office/drawing/2014/main" id="{A8FB2212-C31E-444F-A0A5-3654F4FA08F7}"/>
            </a:ext>
          </a:extLst>
        </xdr:cNvPr>
        <xdr:cNvSpPr/>
      </xdr:nvSpPr>
      <xdr:spPr>
        <a:xfrm rot="8856386">
          <a:off x="62187941" y="2730873"/>
          <a:ext cx="966395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90</xdr:col>
      <xdr:colOff>248322</xdr:colOff>
      <xdr:row>17</xdr:row>
      <xdr:rowOff>20618</xdr:rowOff>
    </xdr:from>
    <xdr:to>
      <xdr:col>91</xdr:col>
      <xdr:colOff>423582</xdr:colOff>
      <xdr:row>18</xdr:row>
      <xdr:rowOff>54684</xdr:rowOff>
    </xdr:to>
    <xdr:sp macro="" textlink="">
      <xdr:nvSpPr>
        <xdr:cNvPr id="42" name="Flecha: hacia la izquierda 41">
          <a:extLst>
            <a:ext uri="{FF2B5EF4-FFF2-40B4-BE49-F238E27FC236}">
              <a16:creationId xmlns:a16="http://schemas.microsoft.com/office/drawing/2014/main" id="{119CB9A2-9D86-48D0-BC94-A69863A7DB2C}"/>
            </a:ext>
          </a:extLst>
        </xdr:cNvPr>
        <xdr:cNvSpPr/>
      </xdr:nvSpPr>
      <xdr:spPr>
        <a:xfrm rot="19656386">
          <a:off x="61235216" y="2584524"/>
          <a:ext cx="964154" cy="21336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449836</xdr:colOff>
      <xdr:row>22</xdr:row>
      <xdr:rowOff>100408</xdr:rowOff>
    </xdr:from>
    <xdr:to>
      <xdr:col>19</xdr:col>
      <xdr:colOff>762001</xdr:colOff>
      <xdr:row>23</xdr:row>
      <xdr:rowOff>98612</xdr:rowOff>
    </xdr:to>
    <xdr:sp macro="" textlink="">
      <xdr:nvSpPr>
        <xdr:cNvPr id="13" name="Flecha: doblada hacia arriba 12">
          <a:extLst>
            <a:ext uri="{FF2B5EF4-FFF2-40B4-BE49-F238E27FC236}">
              <a16:creationId xmlns:a16="http://schemas.microsoft.com/office/drawing/2014/main" id="{F12D58C6-726F-2EBD-3EB7-F7E7D8EF6B9A}"/>
            </a:ext>
          </a:extLst>
        </xdr:cNvPr>
        <xdr:cNvSpPr/>
      </xdr:nvSpPr>
      <xdr:spPr>
        <a:xfrm rot="10800000" flipH="1">
          <a:off x="15438824" y="4116596"/>
          <a:ext cx="312165" cy="177498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392654</xdr:colOff>
      <xdr:row>21</xdr:row>
      <xdr:rowOff>59614</xdr:rowOff>
    </xdr:from>
    <xdr:to>
      <xdr:col>19</xdr:col>
      <xdr:colOff>779929</xdr:colOff>
      <xdr:row>21</xdr:row>
      <xdr:rowOff>170329</xdr:rowOff>
    </xdr:to>
    <xdr:sp macro="" textlink="">
      <xdr:nvSpPr>
        <xdr:cNvPr id="26" name="Flecha: hacia la izquierda 25">
          <a:extLst>
            <a:ext uri="{FF2B5EF4-FFF2-40B4-BE49-F238E27FC236}">
              <a16:creationId xmlns:a16="http://schemas.microsoft.com/office/drawing/2014/main" id="{1146545B-D51E-4606-9484-313588E0F031}"/>
            </a:ext>
          </a:extLst>
        </xdr:cNvPr>
        <xdr:cNvSpPr/>
      </xdr:nvSpPr>
      <xdr:spPr>
        <a:xfrm rot="10800000">
          <a:off x="15381642" y="3887543"/>
          <a:ext cx="387275" cy="11071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575342</xdr:colOff>
      <xdr:row>14</xdr:row>
      <xdr:rowOff>127302</xdr:rowOff>
    </xdr:from>
    <xdr:to>
      <xdr:col>21</xdr:col>
      <xdr:colOff>699248</xdr:colOff>
      <xdr:row>15</xdr:row>
      <xdr:rowOff>125507</xdr:rowOff>
    </xdr:to>
    <xdr:sp macro="" textlink="">
      <xdr:nvSpPr>
        <xdr:cNvPr id="44" name="Flecha: doblada hacia arriba 43">
          <a:extLst>
            <a:ext uri="{FF2B5EF4-FFF2-40B4-BE49-F238E27FC236}">
              <a16:creationId xmlns:a16="http://schemas.microsoft.com/office/drawing/2014/main" id="{8CDF1B3D-04D1-42C2-8CCB-5046B73EF3D1}"/>
            </a:ext>
          </a:extLst>
        </xdr:cNvPr>
        <xdr:cNvSpPr/>
      </xdr:nvSpPr>
      <xdr:spPr>
        <a:xfrm flipH="1">
          <a:off x="17142118" y="2664314"/>
          <a:ext cx="123906" cy="195428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347830</xdr:colOff>
      <xdr:row>16</xdr:row>
      <xdr:rowOff>41686</xdr:rowOff>
    </xdr:from>
    <xdr:to>
      <xdr:col>21</xdr:col>
      <xdr:colOff>735106</xdr:colOff>
      <xdr:row>16</xdr:row>
      <xdr:rowOff>143435</xdr:rowOff>
    </xdr:to>
    <xdr:sp macro="" textlink="">
      <xdr:nvSpPr>
        <xdr:cNvPr id="45" name="Flecha: hacia la izquierda 44">
          <a:extLst>
            <a:ext uri="{FF2B5EF4-FFF2-40B4-BE49-F238E27FC236}">
              <a16:creationId xmlns:a16="http://schemas.microsoft.com/office/drawing/2014/main" id="{7A9085A5-7B61-4A6B-834E-4100C3D66F76}"/>
            </a:ext>
          </a:extLst>
        </xdr:cNvPr>
        <xdr:cNvSpPr/>
      </xdr:nvSpPr>
      <xdr:spPr>
        <a:xfrm>
          <a:off x="16914606" y="2964180"/>
          <a:ext cx="387276" cy="10174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21</xdr:col>
      <xdr:colOff>322730</xdr:colOff>
      <xdr:row>24</xdr:row>
      <xdr:rowOff>35859</xdr:rowOff>
    </xdr:from>
    <xdr:to>
      <xdr:col>21</xdr:col>
      <xdr:colOff>535417</xdr:colOff>
      <xdr:row>27</xdr:row>
      <xdr:rowOff>32049</xdr:rowOff>
    </xdr:to>
    <xdr:sp macro="" textlink="">
      <xdr:nvSpPr>
        <xdr:cNvPr id="46" name="Flecha: hacia la izquierda 45">
          <a:extLst>
            <a:ext uri="{FF2B5EF4-FFF2-40B4-BE49-F238E27FC236}">
              <a16:creationId xmlns:a16="http://schemas.microsoft.com/office/drawing/2014/main" id="{BC8BEC2B-8A48-43DE-8FD5-B72F18CAD4B4}"/>
            </a:ext>
          </a:extLst>
        </xdr:cNvPr>
        <xdr:cNvSpPr/>
      </xdr:nvSpPr>
      <xdr:spPr>
        <a:xfrm rot="5400000">
          <a:off x="16728814" y="4589257"/>
          <a:ext cx="534072" cy="21268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289203</xdr:colOff>
      <xdr:row>26</xdr:row>
      <xdr:rowOff>120668</xdr:rowOff>
    </xdr:from>
    <xdr:to>
      <xdr:col>20</xdr:col>
      <xdr:colOff>672358</xdr:colOff>
      <xdr:row>28</xdr:row>
      <xdr:rowOff>8966</xdr:rowOff>
    </xdr:to>
    <xdr:sp macro="" textlink="">
      <xdr:nvSpPr>
        <xdr:cNvPr id="47" name="Flecha: doblada hacia arriba 46">
          <a:extLst>
            <a:ext uri="{FF2B5EF4-FFF2-40B4-BE49-F238E27FC236}">
              <a16:creationId xmlns:a16="http://schemas.microsoft.com/office/drawing/2014/main" id="{80E18F4A-A32A-4533-B20D-3E0524A56B28}"/>
            </a:ext>
          </a:extLst>
        </xdr:cNvPr>
        <xdr:cNvSpPr/>
      </xdr:nvSpPr>
      <xdr:spPr>
        <a:xfrm rot="16200000">
          <a:off x="16135220" y="4803827"/>
          <a:ext cx="246886" cy="38315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35</xdr:col>
      <xdr:colOff>134471</xdr:colOff>
      <xdr:row>16</xdr:row>
      <xdr:rowOff>143434</xdr:rowOff>
    </xdr:from>
    <xdr:to>
      <xdr:col>35</xdr:col>
      <xdr:colOff>439271</xdr:colOff>
      <xdr:row>17</xdr:row>
      <xdr:rowOff>134469</xdr:rowOff>
    </xdr:to>
    <xdr:sp macro="" textlink="">
      <xdr:nvSpPr>
        <xdr:cNvPr id="48" name="Flecha: hacia la izquierda 47">
          <a:extLst>
            <a:ext uri="{FF2B5EF4-FFF2-40B4-BE49-F238E27FC236}">
              <a16:creationId xmlns:a16="http://schemas.microsoft.com/office/drawing/2014/main" id="{BECA837E-C2FF-4BC3-8BB5-386EC1329386}"/>
            </a:ext>
          </a:extLst>
        </xdr:cNvPr>
        <xdr:cNvSpPr/>
      </xdr:nvSpPr>
      <xdr:spPr>
        <a:xfrm>
          <a:off x="25800424" y="2528046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35</xdr:col>
      <xdr:colOff>143979</xdr:colOff>
      <xdr:row>17</xdr:row>
      <xdr:rowOff>154284</xdr:rowOff>
    </xdr:from>
    <xdr:to>
      <xdr:col>35</xdr:col>
      <xdr:colOff>412377</xdr:colOff>
      <xdr:row>19</xdr:row>
      <xdr:rowOff>71718</xdr:rowOff>
    </xdr:to>
    <xdr:sp macro="" textlink="">
      <xdr:nvSpPr>
        <xdr:cNvPr id="49" name="Flecha: doblada hacia arriba 48">
          <a:extLst>
            <a:ext uri="{FF2B5EF4-FFF2-40B4-BE49-F238E27FC236}">
              <a16:creationId xmlns:a16="http://schemas.microsoft.com/office/drawing/2014/main" id="{61D77064-C659-4EF6-B0E2-3858978F24A2}"/>
            </a:ext>
          </a:extLst>
        </xdr:cNvPr>
        <xdr:cNvSpPr/>
      </xdr:nvSpPr>
      <xdr:spPr>
        <a:xfrm rot="10800000">
          <a:off x="25809932" y="2718190"/>
          <a:ext cx="268398" cy="28498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282390</xdr:colOff>
      <xdr:row>8</xdr:row>
      <xdr:rowOff>147918</xdr:rowOff>
    </xdr:from>
    <xdr:to>
      <xdr:col>32</xdr:col>
      <xdr:colOff>452719</xdr:colOff>
      <xdr:row>10</xdr:row>
      <xdr:rowOff>94129</xdr:rowOff>
    </xdr:to>
    <xdr:sp macro="" textlink="">
      <xdr:nvSpPr>
        <xdr:cNvPr id="50" name="Flecha: hacia la izquierda 49">
          <a:extLst>
            <a:ext uri="{FF2B5EF4-FFF2-40B4-BE49-F238E27FC236}">
              <a16:creationId xmlns:a16="http://schemas.microsoft.com/office/drawing/2014/main" id="{9381F19F-1B13-4917-AE64-74A110AE17E5}"/>
            </a:ext>
          </a:extLst>
        </xdr:cNvPr>
        <xdr:cNvSpPr/>
      </xdr:nvSpPr>
      <xdr:spPr>
        <a:xfrm rot="16200000">
          <a:off x="23881979" y="1120588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530132</xdr:colOff>
      <xdr:row>8</xdr:row>
      <xdr:rowOff>126723</xdr:rowOff>
    </xdr:from>
    <xdr:to>
      <xdr:col>33</xdr:col>
      <xdr:colOff>232414</xdr:colOff>
      <xdr:row>10</xdr:row>
      <xdr:rowOff>36532</xdr:rowOff>
    </xdr:to>
    <xdr:sp macro="" textlink="">
      <xdr:nvSpPr>
        <xdr:cNvPr id="51" name="Flecha: doblada hacia arriba 50">
          <a:extLst>
            <a:ext uri="{FF2B5EF4-FFF2-40B4-BE49-F238E27FC236}">
              <a16:creationId xmlns:a16="http://schemas.microsoft.com/office/drawing/2014/main" id="{491920EA-7EBE-4897-A9EC-32F29568A991}"/>
            </a:ext>
          </a:extLst>
        </xdr:cNvPr>
        <xdr:cNvSpPr/>
      </xdr:nvSpPr>
      <xdr:spPr>
        <a:xfrm rot="5400000">
          <a:off x="24205251" y="1023863"/>
          <a:ext cx="268398" cy="28498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762002</xdr:colOff>
      <xdr:row>9</xdr:row>
      <xdr:rowOff>19150</xdr:rowOff>
    </xdr:from>
    <xdr:to>
      <xdr:col>32</xdr:col>
      <xdr:colOff>189474</xdr:colOff>
      <xdr:row>10</xdr:row>
      <xdr:rowOff>44825</xdr:rowOff>
    </xdr:to>
    <xdr:sp macro="" textlink="">
      <xdr:nvSpPr>
        <xdr:cNvPr id="52" name="Flecha: doblada hacia arriba 51">
          <a:extLst>
            <a:ext uri="{FF2B5EF4-FFF2-40B4-BE49-F238E27FC236}">
              <a16:creationId xmlns:a16="http://schemas.microsoft.com/office/drawing/2014/main" id="{33B9FCC7-E1BF-431E-BB9F-1655BBBAC547}"/>
            </a:ext>
          </a:extLst>
        </xdr:cNvPr>
        <xdr:cNvSpPr/>
      </xdr:nvSpPr>
      <xdr:spPr>
        <a:xfrm rot="5400000" flipV="1">
          <a:off x="23645630" y="1098180"/>
          <a:ext cx="204970" cy="21636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33</xdr:col>
      <xdr:colOff>201709</xdr:colOff>
      <xdr:row>27</xdr:row>
      <xdr:rowOff>103094</xdr:rowOff>
    </xdr:from>
    <xdr:to>
      <xdr:col>33</xdr:col>
      <xdr:colOff>372038</xdr:colOff>
      <xdr:row>29</xdr:row>
      <xdr:rowOff>49306</xdr:rowOff>
    </xdr:to>
    <xdr:sp macro="" textlink="">
      <xdr:nvSpPr>
        <xdr:cNvPr id="53" name="Flecha: hacia la izquierda 52">
          <a:extLst>
            <a:ext uri="{FF2B5EF4-FFF2-40B4-BE49-F238E27FC236}">
              <a16:creationId xmlns:a16="http://schemas.microsoft.com/office/drawing/2014/main" id="{9EC9732B-C655-4EF7-90B0-CE40B1DF041A}"/>
            </a:ext>
          </a:extLst>
        </xdr:cNvPr>
        <xdr:cNvSpPr/>
      </xdr:nvSpPr>
      <xdr:spPr>
        <a:xfrm rot="5400000">
          <a:off x="24384003" y="4563035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33</xdr:col>
      <xdr:colOff>591673</xdr:colOff>
      <xdr:row>28</xdr:row>
      <xdr:rowOff>28114</xdr:rowOff>
    </xdr:from>
    <xdr:to>
      <xdr:col>34</xdr:col>
      <xdr:colOff>180510</xdr:colOff>
      <xdr:row>29</xdr:row>
      <xdr:rowOff>53790</xdr:rowOff>
    </xdr:to>
    <xdr:sp macro="" textlink="">
      <xdr:nvSpPr>
        <xdr:cNvPr id="54" name="Flecha: doblada hacia arriba 53">
          <a:extLst>
            <a:ext uri="{FF2B5EF4-FFF2-40B4-BE49-F238E27FC236}">
              <a16:creationId xmlns:a16="http://schemas.microsoft.com/office/drawing/2014/main" id="{86D92A11-C6DA-4D82-A6AA-8E1B736873D1}"/>
            </a:ext>
          </a:extLst>
        </xdr:cNvPr>
        <xdr:cNvSpPr/>
      </xdr:nvSpPr>
      <xdr:spPr>
        <a:xfrm rot="16200000" flipV="1">
          <a:off x="24846901" y="4594415"/>
          <a:ext cx="204970" cy="21636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32</xdr:col>
      <xdr:colOff>304803</xdr:colOff>
      <xdr:row>27</xdr:row>
      <xdr:rowOff>126723</xdr:rowOff>
    </xdr:from>
    <xdr:to>
      <xdr:col>32</xdr:col>
      <xdr:colOff>528917</xdr:colOff>
      <xdr:row>29</xdr:row>
      <xdr:rowOff>98610</xdr:rowOff>
    </xdr:to>
    <xdr:sp macro="" textlink="">
      <xdr:nvSpPr>
        <xdr:cNvPr id="55" name="Flecha: doblada hacia arriba 54">
          <a:extLst>
            <a:ext uri="{FF2B5EF4-FFF2-40B4-BE49-F238E27FC236}">
              <a16:creationId xmlns:a16="http://schemas.microsoft.com/office/drawing/2014/main" id="{B747EC14-BB6A-4810-965C-8726C042D0AC}"/>
            </a:ext>
          </a:extLst>
        </xdr:cNvPr>
        <xdr:cNvSpPr/>
      </xdr:nvSpPr>
      <xdr:spPr>
        <a:xfrm rot="16200000">
          <a:off x="23918446" y="4572610"/>
          <a:ext cx="330475" cy="2241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188261</xdr:colOff>
      <xdr:row>19</xdr:row>
      <xdr:rowOff>1</xdr:rowOff>
    </xdr:from>
    <xdr:to>
      <xdr:col>31</xdr:col>
      <xdr:colOff>493061</xdr:colOff>
      <xdr:row>19</xdr:row>
      <xdr:rowOff>170330</xdr:rowOff>
    </xdr:to>
    <xdr:sp macro="" textlink="">
      <xdr:nvSpPr>
        <xdr:cNvPr id="56" name="Flecha: hacia la izquierda 55">
          <a:extLst>
            <a:ext uri="{FF2B5EF4-FFF2-40B4-BE49-F238E27FC236}">
              <a16:creationId xmlns:a16="http://schemas.microsoft.com/office/drawing/2014/main" id="{825D85AE-0549-44B2-BFAD-C05D35B5014B}"/>
            </a:ext>
          </a:extLst>
        </xdr:cNvPr>
        <xdr:cNvSpPr/>
      </xdr:nvSpPr>
      <xdr:spPr>
        <a:xfrm rot="10800000">
          <a:off x="23855085" y="3469342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229820</xdr:colOff>
      <xdr:row>19</xdr:row>
      <xdr:rowOff>174816</xdr:rowOff>
    </xdr:from>
    <xdr:to>
      <xdr:col>31</xdr:col>
      <xdr:colOff>434790</xdr:colOff>
      <xdr:row>21</xdr:row>
      <xdr:rowOff>32595</xdr:rowOff>
    </xdr:to>
    <xdr:sp macro="" textlink="">
      <xdr:nvSpPr>
        <xdr:cNvPr id="57" name="Flecha: doblada hacia arriba 56">
          <a:extLst>
            <a:ext uri="{FF2B5EF4-FFF2-40B4-BE49-F238E27FC236}">
              <a16:creationId xmlns:a16="http://schemas.microsoft.com/office/drawing/2014/main" id="{4A300182-3119-48B9-B458-6275EEEC675D}"/>
            </a:ext>
          </a:extLst>
        </xdr:cNvPr>
        <xdr:cNvSpPr/>
      </xdr:nvSpPr>
      <xdr:spPr>
        <a:xfrm flipV="1">
          <a:off x="23896644" y="3644157"/>
          <a:ext cx="204970" cy="21636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31</xdr:col>
      <xdr:colOff>170941</xdr:colOff>
      <xdr:row>17</xdr:row>
      <xdr:rowOff>54398</xdr:rowOff>
    </xdr:from>
    <xdr:to>
      <xdr:col>31</xdr:col>
      <xdr:colOff>501415</xdr:colOff>
      <xdr:row>18</xdr:row>
      <xdr:rowOff>99218</xdr:rowOff>
    </xdr:to>
    <xdr:sp macro="" textlink="">
      <xdr:nvSpPr>
        <xdr:cNvPr id="58" name="Flecha: doblada hacia arriba 57">
          <a:extLst>
            <a:ext uri="{FF2B5EF4-FFF2-40B4-BE49-F238E27FC236}">
              <a16:creationId xmlns:a16="http://schemas.microsoft.com/office/drawing/2014/main" id="{6712C834-3C2D-465E-9CCB-9A666DF12802}"/>
            </a:ext>
          </a:extLst>
        </xdr:cNvPr>
        <xdr:cNvSpPr/>
      </xdr:nvSpPr>
      <xdr:spPr>
        <a:xfrm>
          <a:off x="23837765" y="3156186"/>
          <a:ext cx="330474" cy="2241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336178</xdr:colOff>
      <xdr:row>25</xdr:row>
      <xdr:rowOff>53789</xdr:rowOff>
    </xdr:from>
    <xdr:to>
      <xdr:col>62</xdr:col>
      <xdr:colOff>506507</xdr:colOff>
      <xdr:row>27</xdr:row>
      <xdr:rowOff>1</xdr:rowOff>
    </xdr:to>
    <xdr:sp macro="" textlink="">
      <xdr:nvSpPr>
        <xdr:cNvPr id="59" name="Flecha: hacia la izquierda 58">
          <a:extLst>
            <a:ext uri="{FF2B5EF4-FFF2-40B4-BE49-F238E27FC236}">
              <a16:creationId xmlns:a16="http://schemas.microsoft.com/office/drawing/2014/main" id="{D5E27B3B-B262-4CF1-BBC0-DDD06C910130}"/>
            </a:ext>
          </a:extLst>
        </xdr:cNvPr>
        <xdr:cNvSpPr/>
      </xdr:nvSpPr>
      <xdr:spPr>
        <a:xfrm rot="5400000">
          <a:off x="46168237" y="4155142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63</xdr:col>
      <xdr:colOff>152400</xdr:colOff>
      <xdr:row>25</xdr:row>
      <xdr:rowOff>32595</xdr:rowOff>
    </xdr:from>
    <xdr:to>
      <xdr:col>63</xdr:col>
      <xdr:colOff>368766</xdr:colOff>
      <xdr:row>26</xdr:row>
      <xdr:rowOff>58271</xdr:rowOff>
    </xdr:to>
    <xdr:sp macro="" textlink="">
      <xdr:nvSpPr>
        <xdr:cNvPr id="60" name="Flecha: doblada hacia arriba 59">
          <a:extLst>
            <a:ext uri="{FF2B5EF4-FFF2-40B4-BE49-F238E27FC236}">
              <a16:creationId xmlns:a16="http://schemas.microsoft.com/office/drawing/2014/main" id="{764849A8-3D02-4EA1-BD58-FBFDFBA112B4}"/>
            </a:ext>
          </a:extLst>
        </xdr:cNvPr>
        <xdr:cNvSpPr/>
      </xdr:nvSpPr>
      <xdr:spPr>
        <a:xfrm rot="16200000" flipV="1">
          <a:off x="46846286" y="4061015"/>
          <a:ext cx="204970" cy="21636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367555</xdr:colOff>
      <xdr:row>25</xdr:row>
      <xdr:rowOff>5698</xdr:rowOff>
    </xdr:from>
    <xdr:to>
      <xdr:col>61</xdr:col>
      <xdr:colOff>591669</xdr:colOff>
      <xdr:row>26</xdr:row>
      <xdr:rowOff>156879</xdr:rowOff>
    </xdr:to>
    <xdr:sp macro="" textlink="">
      <xdr:nvSpPr>
        <xdr:cNvPr id="61" name="Flecha: doblada hacia arriba 60">
          <a:extLst>
            <a:ext uri="{FF2B5EF4-FFF2-40B4-BE49-F238E27FC236}">
              <a16:creationId xmlns:a16="http://schemas.microsoft.com/office/drawing/2014/main" id="{D8621168-18E6-4D1F-837E-0B49CB83988E}"/>
            </a:ext>
          </a:extLst>
        </xdr:cNvPr>
        <xdr:cNvSpPr/>
      </xdr:nvSpPr>
      <xdr:spPr>
        <a:xfrm rot="16200000">
          <a:off x="45424774" y="4092997"/>
          <a:ext cx="330475" cy="2241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158099</xdr:colOff>
      <xdr:row>21</xdr:row>
      <xdr:rowOff>98616</xdr:rowOff>
    </xdr:from>
    <xdr:to>
      <xdr:col>61</xdr:col>
      <xdr:colOff>363069</xdr:colOff>
      <xdr:row>22</xdr:row>
      <xdr:rowOff>126723</xdr:rowOff>
    </xdr:to>
    <xdr:sp macro="" textlink="">
      <xdr:nvSpPr>
        <xdr:cNvPr id="62" name="Flecha: doblada hacia arriba 61">
          <a:extLst>
            <a:ext uri="{FF2B5EF4-FFF2-40B4-BE49-F238E27FC236}">
              <a16:creationId xmlns:a16="http://schemas.microsoft.com/office/drawing/2014/main" id="{DF2135AA-5880-4F2F-A012-7507D64D06A8}"/>
            </a:ext>
          </a:extLst>
        </xdr:cNvPr>
        <xdr:cNvSpPr/>
      </xdr:nvSpPr>
      <xdr:spPr>
        <a:xfrm flipV="1">
          <a:off x="46057393" y="3388663"/>
          <a:ext cx="204970" cy="21636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71719</xdr:colOff>
      <xdr:row>20</xdr:row>
      <xdr:rowOff>67236</xdr:rowOff>
    </xdr:from>
    <xdr:to>
      <xdr:col>61</xdr:col>
      <xdr:colOff>376519</xdr:colOff>
      <xdr:row>21</xdr:row>
      <xdr:rowOff>58271</xdr:rowOff>
    </xdr:to>
    <xdr:sp macro="" textlink="">
      <xdr:nvSpPr>
        <xdr:cNvPr id="63" name="Flecha: hacia la izquierda 62">
          <a:extLst>
            <a:ext uri="{FF2B5EF4-FFF2-40B4-BE49-F238E27FC236}">
              <a16:creationId xmlns:a16="http://schemas.microsoft.com/office/drawing/2014/main" id="{5000577A-15D3-4584-8B19-003467F591C7}"/>
            </a:ext>
          </a:extLst>
        </xdr:cNvPr>
        <xdr:cNvSpPr/>
      </xdr:nvSpPr>
      <xdr:spPr>
        <a:xfrm rot="10800000">
          <a:off x="45971013" y="3177989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61</xdr:col>
      <xdr:colOff>89644</xdr:colOff>
      <xdr:row>19</xdr:row>
      <xdr:rowOff>40341</xdr:rowOff>
    </xdr:from>
    <xdr:to>
      <xdr:col>61</xdr:col>
      <xdr:colOff>394444</xdr:colOff>
      <xdr:row>20</xdr:row>
      <xdr:rowOff>31376</xdr:rowOff>
    </xdr:to>
    <xdr:sp macro="" textlink="">
      <xdr:nvSpPr>
        <xdr:cNvPr id="64" name="Flecha: hacia la izquierda 63">
          <a:extLst>
            <a:ext uri="{FF2B5EF4-FFF2-40B4-BE49-F238E27FC236}">
              <a16:creationId xmlns:a16="http://schemas.microsoft.com/office/drawing/2014/main" id="{DD81B606-1493-4F30-8C74-57FBEC50D426}"/>
            </a:ext>
          </a:extLst>
        </xdr:cNvPr>
        <xdr:cNvSpPr/>
      </xdr:nvSpPr>
      <xdr:spPr>
        <a:xfrm rot="10800000">
          <a:off x="45988938" y="2971800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64</xdr:col>
      <xdr:colOff>220852</xdr:colOff>
      <xdr:row>18</xdr:row>
      <xdr:rowOff>72934</xdr:rowOff>
    </xdr:from>
    <xdr:to>
      <xdr:col>64</xdr:col>
      <xdr:colOff>394447</xdr:colOff>
      <xdr:row>19</xdr:row>
      <xdr:rowOff>35858</xdr:rowOff>
    </xdr:to>
    <xdr:sp macro="" textlink="">
      <xdr:nvSpPr>
        <xdr:cNvPr id="65" name="Flecha: doblada hacia arriba 64">
          <a:extLst>
            <a:ext uri="{FF2B5EF4-FFF2-40B4-BE49-F238E27FC236}">
              <a16:creationId xmlns:a16="http://schemas.microsoft.com/office/drawing/2014/main" id="{2B1694B6-68A5-4277-9DD0-0AB6676EE8DA}"/>
            </a:ext>
          </a:extLst>
        </xdr:cNvPr>
        <xdr:cNvSpPr/>
      </xdr:nvSpPr>
      <xdr:spPr>
        <a:xfrm rot="10800000">
          <a:off x="48486828" y="2816134"/>
          <a:ext cx="173595" cy="15118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64</xdr:col>
      <xdr:colOff>161366</xdr:colOff>
      <xdr:row>16</xdr:row>
      <xdr:rowOff>156882</xdr:rowOff>
    </xdr:from>
    <xdr:to>
      <xdr:col>64</xdr:col>
      <xdr:colOff>466166</xdr:colOff>
      <xdr:row>17</xdr:row>
      <xdr:rowOff>147917</xdr:rowOff>
    </xdr:to>
    <xdr:sp macro="" textlink="">
      <xdr:nvSpPr>
        <xdr:cNvPr id="66" name="Flecha: hacia la izquierda 65">
          <a:extLst>
            <a:ext uri="{FF2B5EF4-FFF2-40B4-BE49-F238E27FC236}">
              <a16:creationId xmlns:a16="http://schemas.microsoft.com/office/drawing/2014/main" id="{0D409313-B17D-4CA0-A58A-373FD2853880}"/>
            </a:ext>
          </a:extLst>
        </xdr:cNvPr>
        <xdr:cNvSpPr/>
      </xdr:nvSpPr>
      <xdr:spPr>
        <a:xfrm>
          <a:off x="48427342" y="2541494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78</xdr:col>
      <xdr:colOff>196198</xdr:colOff>
      <xdr:row>3</xdr:row>
      <xdr:rowOff>102070</xdr:rowOff>
    </xdr:from>
    <xdr:to>
      <xdr:col>78</xdr:col>
      <xdr:colOff>347381</xdr:colOff>
      <xdr:row>4</xdr:row>
      <xdr:rowOff>96371</xdr:rowOff>
    </xdr:to>
    <xdr:sp macro="" textlink="">
      <xdr:nvSpPr>
        <xdr:cNvPr id="67" name="Flecha: doblada hacia arriba 66">
          <a:extLst>
            <a:ext uri="{FF2B5EF4-FFF2-40B4-BE49-F238E27FC236}">
              <a16:creationId xmlns:a16="http://schemas.microsoft.com/office/drawing/2014/main" id="{087A7777-39E5-4632-B9A0-E19D1F22C530}"/>
            </a:ext>
          </a:extLst>
        </xdr:cNvPr>
        <xdr:cNvSpPr/>
      </xdr:nvSpPr>
      <xdr:spPr>
        <a:xfrm rot="5400000">
          <a:off x="57397745" y="651158"/>
          <a:ext cx="173595" cy="15118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77</xdr:col>
      <xdr:colOff>237565</xdr:colOff>
      <xdr:row>3</xdr:row>
      <xdr:rowOff>40341</xdr:rowOff>
    </xdr:from>
    <xdr:to>
      <xdr:col>77</xdr:col>
      <xdr:colOff>407894</xdr:colOff>
      <xdr:row>4</xdr:row>
      <xdr:rowOff>165848</xdr:rowOff>
    </xdr:to>
    <xdr:sp macro="" textlink="">
      <xdr:nvSpPr>
        <xdr:cNvPr id="68" name="Flecha: hacia la izquierda 67">
          <a:extLst>
            <a:ext uri="{FF2B5EF4-FFF2-40B4-BE49-F238E27FC236}">
              <a16:creationId xmlns:a16="http://schemas.microsoft.com/office/drawing/2014/main" id="{2AEFE62A-7687-44D8-8102-8D564D4AE11B}"/>
            </a:ext>
          </a:extLst>
        </xdr:cNvPr>
        <xdr:cNvSpPr/>
      </xdr:nvSpPr>
      <xdr:spPr>
        <a:xfrm rot="16200000">
          <a:off x="56800376" y="645459"/>
          <a:ext cx="304801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78</xdr:col>
      <xdr:colOff>192741</xdr:colOff>
      <xdr:row>19</xdr:row>
      <xdr:rowOff>13446</xdr:rowOff>
    </xdr:from>
    <xdr:to>
      <xdr:col>78</xdr:col>
      <xdr:colOff>403411</xdr:colOff>
      <xdr:row>20</xdr:row>
      <xdr:rowOff>161364</xdr:rowOff>
    </xdr:to>
    <xdr:sp macro="" textlink="">
      <xdr:nvSpPr>
        <xdr:cNvPr id="69" name="Flecha: hacia la izquierda 68">
          <a:extLst>
            <a:ext uri="{FF2B5EF4-FFF2-40B4-BE49-F238E27FC236}">
              <a16:creationId xmlns:a16="http://schemas.microsoft.com/office/drawing/2014/main" id="{EC13B45B-E0F5-4801-A236-809C5C812C67}"/>
            </a:ext>
          </a:extLst>
        </xdr:cNvPr>
        <xdr:cNvSpPr/>
      </xdr:nvSpPr>
      <xdr:spPr>
        <a:xfrm rot="5400000">
          <a:off x="57347223" y="3541058"/>
          <a:ext cx="327212" cy="21067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77</xdr:col>
      <xdr:colOff>294810</xdr:colOff>
      <xdr:row>19</xdr:row>
      <xdr:rowOff>26895</xdr:rowOff>
    </xdr:from>
    <xdr:to>
      <xdr:col>77</xdr:col>
      <xdr:colOff>457200</xdr:colOff>
      <xdr:row>20</xdr:row>
      <xdr:rowOff>150160</xdr:rowOff>
    </xdr:to>
    <xdr:sp macro="" textlink="">
      <xdr:nvSpPr>
        <xdr:cNvPr id="70" name="Flecha: doblada hacia arriba 69">
          <a:extLst>
            <a:ext uri="{FF2B5EF4-FFF2-40B4-BE49-F238E27FC236}">
              <a16:creationId xmlns:a16="http://schemas.microsoft.com/office/drawing/2014/main" id="{632D5498-AE8C-470E-BCBB-8EC846A4B1C5}"/>
            </a:ext>
          </a:extLst>
        </xdr:cNvPr>
        <xdr:cNvSpPr/>
      </xdr:nvSpPr>
      <xdr:spPr>
        <a:xfrm rot="16200000">
          <a:off x="56854772" y="3566321"/>
          <a:ext cx="302559" cy="16239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79</xdr:col>
      <xdr:colOff>224117</xdr:colOff>
      <xdr:row>19</xdr:row>
      <xdr:rowOff>26895</xdr:rowOff>
    </xdr:from>
    <xdr:to>
      <xdr:col>79</xdr:col>
      <xdr:colOff>367555</xdr:colOff>
      <xdr:row>20</xdr:row>
      <xdr:rowOff>134470</xdr:rowOff>
    </xdr:to>
    <xdr:sp macro="" textlink="">
      <xdr:nvSpPr>
        <xdr:cNvPr id="71" name="Flecha: doblada hacia arriba 70">
          <a:extLst>
            <a:ext uri="{FF2B5EF4-FFF2-40B4-BE49-F238E27FC236}">
              <a16:creationId xmlns:a16="http://schemas.microsoft.com/office/drawing/2014/main" id="{9DFD53C1-0A48-4421-B325-D3ECBC2A99C1}"/>
            </a:ext>
          </a:extLst>
        </xdr:cNvPr>
        <xdr:cNvSpPr/>
      </xdr:nvSpPr>
      <xdr:spPr>
        <a:xfrm rot="16200000" flipV="1">
          <a:off x="57983719" y="3567952"/>
          <a:ext cx="286869" cy="143438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75</xdr:col>
      <xdr:colOff>394448</xdr:colOff>
      <xdr:row>11</xdr:row>
      <xdr:rowOff>44823</xdr:rowOff>
    </xdr:from>
    <xdr:to>
      <xdr:col>75</xdr:col>
      <xdr:colOff>721660</xdr:colOff>
      <xdr:row>12</xdr:row>
      <xdr:rowOff>76199</xdr:rowOff>
    </xdr:to>
    <xdr:sp macro="" textlink="">
      <xdr:nvSpPr>
        <xdr:cNvPr id="72" name="Flecha: hacia la izquierda 71">
          <a:extLst>
            <a:ext uri="{FF2B5EF4-FFF2-40B4-BE49-F238E27FC236}">
              <a16:creationId xmlns:a16="http://schemas.microsoft.com/office/drawing/2014/main" id="{C5ECBFD1-E3BA-47D0-93F3-7965619AAFFD}"/>
            </a:ext>
          </a:extLst>
        </xdr:cNvPr>
        <xdr:cNvSpPr/>
      </xdr:nvSpPr>
      <xdr:spPr>
        <a:xfrm rot="10800000">
          <a:off x="56235601" y="2034988"/>
          <a:ext cx="327212" cy="21067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75</xdr:col>
      <xdr:colOff>430914</xdr:colOff>
      <xdr:row>9</xdr:row>
      <xdr:rowOff>123875</xdr:rowOff>
    </xdr:from>
    <xdr:to>
      <xdr:col>75</xdr:col>
      <xdr:colOff>733473</xdr:colOff>
      <xdr:row>10</xdr:row>
      <xdr:rowOff>106971</xdr:rowOff>
    </xdr:to>
    <xdr:sp macro="" textlink="">
      <xdr:nvSpPr>
        <xdr:cNvPr id="73" name="Flecha: doblada hacia arriba 72">
          <a:extLst>
            <a:ext uri="{FF2B5EF4-FFF2-40B4-BE49-F238E27FC236}">
              <a16:creationId xmlns:a16="http://schemas.microsoft.com/office/drawing/2014/main" id="{CFFE1FFA-AD1D-4E11-A0B4-22C588B11769}"/>
            </a:ext>
          </a:extLst>
        </xdr:cNvPr>
        <xdr:cNvSpPr/>
      </xdr:nvSpPr>
      <xdr:spPr>
        <a:xfrm>
          <a:off x="56272067" y="1746487"/>
          <a:ext cx="302559" cy="16239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90</xdr:col>
      <xdr:colOff>89648</xdr:colOff>
      <xdr:row>9</xdr:row>
      <xdr:rowOff>125504</xdr:rowOff>
    </xdr:from>
    <xdr:to>
      <xdr:col>90</xdr:col>
      <xdr:colOff>439270</xdr:colOff>
      <xdr:row>10</xdr:row>
      <xdr:rowOff>80681</xdr:rowOff>
    </xdr:to>
    <xdr:sp macro="" textlink="">
      <xdr:nvSpPr>
        <xdr:cNvPr id="74" name="Flecha: doblada hacia arriba 73">
          <a:extLst>
            <a:ext uri="{FF2B5EF4-FFF2-40B4-BE49-F238E27FC236}">
              <a16:creationId xmlns:a16="http://schemas.microsoft.com/office/drawing/2014/main" id="{1C82CE25-416F-4F7A-A0CD-8BC690223E63}"/>
            </a:ext>
          </a:extLst>
        </xdr:cNvPr>
        <xdr:cNvSpPr/>
      </xdr:nvSpPr>
      <xdr:spPr>
        <a:xfrm>
          <a:off x="67387695" y="1748116"/>
          <a:ext cx="349622" cy="13447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776662</xdr:colOff>
      <xdr:row>13</xdr:row>
      <xdr:rowOff>85167</xdr:rowOff>
    </xdr:from>
    <xdr:to>
      <xdr:col>98</xdr:col>
      <xdr:colOff>192738</xdr:colOff>
      <xdr:row>14</xdr:row>
      <xdr:rowOff>113274</xdr:rowOff>
    </xdr:to>
    <xdr:sp macro="" textlink="">
      <xdr:nvSpPr>
        <xdr:cNvPr id="75" name="Flecha: doblada hacia arriba 74">
          <a:extLst>
            <a:ext uri="{FF2B5EF4-FFF2-40B4-BE49-F238E27FC236}">
              <a16:creationId xmlns:a16="http://schemas.microsoft.com/office/drawing/2014/main" id="{F717446F-F3F9-4B32-BE5A-CC6B071A4CF1}"/>
            </a:ext>
          </a:extLst>
        </xdr:cNvPr>
        <xdr:cNvSpPr/>
      </xdr:nvSpPr>
      <xdr:spPr>
        <a:xfrm flipV="1">
          <a:off x="73596968" y="2433920"/>
          <a:ext cx="204970" cy="21636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753036</xdr:colOff>
      <xdr:row>12</xdr:row>
      <xdr:rowOff>26894</xdr:rowOff>
    </xdr:from>
    <xdr:to>
      <xdr:col>98</xdr:col>
      <xdr:colOff>268942</xdr:colOff>
      <xdr:row>13</xdr:row>
      <xdr:rowOff>17929</xdr:rowOff>
    </xdr:to>
    <xdr:sp macro="" textlink="">
      <xdr:nvSpPr>
        <xdr:cNvPr id="76" name="Flecha: hacia la izquierda 75">
          <a:extLst>
            <a:ext uri="{FF2B5EF4-FFF2-40B4-BE49-F238E27FC236}">
              <a16:creationId xmlns:a16="http://schemas.microsoft.com/office/drawing/2014/main" id="{D825970C-2B73-4629-BE53-743F0A8B9C57}"/>
            </a:ext>
          </a:extLst>
        </xdr:cNvPr>
        <xdr:cNvSpPr/>
      </xdr:nvSpPr>
      <xdr:spPr>
        <a:xfrm rot="10800000">
          <a:off x="73573342" y="2196353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776662</xdr:colOff>
      <xdr:row>10</xdr:row>
      <xdr:rowOff>98611</xdr:rowOff>
    </xdr:from>
    <xdr:to>
      <xdr:col>98</xdr:col>
      <xdr:colOff>233082</xdr:colOff>
      <xdr:row>11</xdr:row>
      <xdr:rowOff>103096</xdr:rowOff>
    </xdr:to>
    <xdr:sp macro="" textlink="">
      <xdr:nvSpPr>
        <xdr:cNvPr id="77" name="Flecha: doblada hacia arriba 76">
          <a:extLst>
            <a:ext uri="{FF2B5EF4-FFF2-40B4-BE49-F238E27FC236}">
              <a16:creationId xmlns:a16="http://schemas.microsoft.com/office/drawing/2014/main" id="{F3DBB8C6-DEE1-48D5-A428-61DFAA625925}"/>
            </a:ext>
          </a:extLst>
        </xdr:cNvPr>
        <xdr:cNvSpPr/>
      </xdr:nvSpPr>
      <xdr:spPr>
        <a:xfrm>
          <a:off x="73596968" y="1900517"/>
          <a:ext cx="245314" cy="1927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211886</xdr:colOff>
      <xdr:row>7</xdr:row>
      <xdr:rowOff>85167</xdr:rowOff>
    </xdr:from>
    <xdr:to>
      <xdr:col>102</xdr:col>
      <xdr:colOff>416856</xdr:colOff>
      <xdr:row>8</xdr:row>
      <xdr:rowOff>113274</xdr:rowOff>
    </xdr:to>
    <xdr:sp macro="" textlink="">
      <xdr:nvSpPr>
        <xdr:cNvPr id="78" name="Flecha: doblada hacia arriba 77">
          <a:extLst>
            <a:ext uri="{FF2B5EF4-FFF2-40B4-BE49-F238E27FC236}">
              <a16:creationId xmlns:a16="http://schemas.microsoft.com/office/drawing/2014/main" id="{C360FBBB-EA9C-40D8-83EC-A898FF0FAD4C}"/>
            </a:ext>
          </a:extLst>
        </xdr:cNvPr>
        <xdr:cNvSpPr/>
      </xdr:nvSpPr>
      <xdr:spPr>
        <a:xfrm rot="10800000" flipV="1">
          <a:off x="76510498" y="1340226"/>
          <a:ext cx="204970" cy="21636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152400</xdr:colOff>
      <xdr:row>9</xdr:row>
      <xdr:rowOff>17929</xdr:rowOff>
    </xdr:from>
    <xdr:to>
      <xdr:col>102</xdr:col>
      <xdr:colOff>457200</xdr:colOff>
      <xdr:row>10</xdr:row>
      <xdr:rowOff>8964</xdr:rowOff>
    </xdr:to>
    <xdr:sp macro="" textlink="">
      <xdr:nvSpPr>
        <xdr:cNvPr id="79" name="Flecha: hacia la izquierda 78">
          <a:extLst>
            <a:ext uri="{FF2B5EF4-FFF2-40B4-BE49-F238E27FC236}">
              <a16:creationId xmlns:a16="http://schemas.microsoft.com/office/drawing/2014/main" id="{0E28C78A-78C9-4585-A1B9-BB50FBE6BEE3}"/>
            </a:ext>
          </a:extLst>
        </xdr:cNvPr>
        <xdr:cNvSpPr/>
      </xdr:nvSpPr>
      <xdr:spPr>
        <a:xfrm>
          <a:off x="76451012" y="1640541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179294</xdr:colOff>
      <xdr:row>10</xdr:row>
      <xdr:rowOff>68451</xdr:rowOff>
    </xdr:from>
    <xdr:to>
      <xdr:col>102</xdr:col>
      <xdr:colOff>425821</xdr:colOff>
      <xdr:row>11</xdr:row>
      <xdr:rowOff>71718</xdr:rowOff>
    </xdr:to>
    <xdr:sp macro="" textlink="">
      <xdr:nvSpPr>
        <xdr:cNvPr id="80" name="Flecha: doblada hacia arriba 79">
          <a:extLst>
            <a:ext uri="{FF2B5EF4-FFF2-40B4-BE49-F238E27FC236}">
              <a16:creationId xmlns:a16="http://schemas.microsoft.com/office/drawing/2014/main" id="{701CDA6D-CAC4-4598-8DF8-D3F42E2744DE}"/>
            </a:ext>
          </a:extLst>
        </xdr:cNvPr>
        <xdr:cNvSpPr/>
      </xdr:nvSpPr>
      <xdr:spPr>
        <a:xfrm rot="10800000">
          <a:off x="76477906" y="1870357"/>
          <a:ext cx="246527" cy="19152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101</xdr:col>
      <xdr:colOff>210671</xdr:colOff>
      <xdr:row>18</xdr:row>
      <xdr:rowOff>121025</xdr:rowOff>
    </xdr:from>
    <xdr:to>
      <xdr:col>101</xdr:col>
      <xdr:colOff>381000</xdr:colOff>
      <xdr:row>20</xdr:row>
      <xdr:rowOff>58272</xdr:rowOff>
    </xdr:to>
    <xdr:sp macro="" textlink="">
      <xdr:nvSpPr>
        <xdr:cNvPr id="81" name="Flecha: hacia la izquierda 80">
          <a:extLst>
            <a:ext uri="{FF2B5EF4-FFF2-40B4-BE49-F238E27FC236}">
              <a16:creationId xmlns:a16="http://schemas.microsoft.com/office/drawing/2014/main" id="{2D142958-29AE-43AB-A7FD-7EAF42549F8E}"/>
            </a:ext>
          </a:extLst>
        </xdr:cNvPr>
        <xdr:cNvSpPr/>
      </xdr:nvSpPr>
      <xdr:spPr>
        <a:xfrm rot="5400000">
          <a:off x="75653154" y="3469342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229207</xdr:colOff>
      <xdr:row>18</xdr:row>
      <xdr:rowOff>135079</xdr:rowOff>
    </xdr:from>
    <xdr:to>
      <xdr:col>100</xdr:col>
      <xdr:colOff>421951</xdr:colOff>
      <xdr:row>20</xdr:row>
      <xdr:rowOff>12840</xdr:rowOff>
    </xdr:to>
    <xdr:sp macro="" textlink="">
      <xdr:nvSpPr>
        <xdr:cNvPr id="82" name="Flecha: doblada hacia arriba 81">
          <a:extLst>
            <a:ext uri="{FF2B5EF4-FFF2-40B4-BE49-F238E27FC236}">
              <a16:creationId xmlns:a16="http://schemas.microsoft.com/office/drawing/2014/main" id="{BE050ED3-814C-4D77-B864-495DCE5FFBBB}"/>
            </a:ext>
          </a:extLst>
        </xdr:cNvPr>
        <xdr:cNvSpPr/>
      </xdr:nvSpPr>
      <xdr:spPr>
        <a:xfrm rot="16200000">
          <a:off x="75138898" y="3442446"/>
          <a:ext cx="245314" cy="1927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81292</xdr:colOff>
      <xdr:row>18</xdr:row>
      <xdr:rowOff>135079</xdr:rowOff>
    </xdr:from>
    <xdr:to>
      <xdr:col>102</xdr:col>
      <xdr:colOff>277906</xdr:colOff>
      <xdr:row>20</xdr:row>
      <xdr:rowOff>0</xdr:rowOff>
    </xdr:to>
    <xdr:sp macro="" textlink="">
      <xdr:nvSpPr>
        <xdr:cNvPr id="83" name="Flecha: doblada hacia arriba 82">
          <a:extLst>
            <a:ext uri="{FF2B5EF4-FFF2-40B4-BE49-F238E27FC236}">
              <a16:creationId xmlns:a16="http://schemas.microsoft.com/office/drawing/2014/main" id="{94EEBE6E-026A-494C-A6D3-DFC835865AE9}"/>
            </a:ext>
          </a:extLst>
        </xdr:cNvPr>
        <xdr:cNvSpPr/>
      </xdr:nvSpPr>
      <xdr:spPr>
        <a:xfrm rot="16200000" flipV="1">
          <a:off x="76361974" y="3434091"/>
          <a:ext cx="232474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165849</xdr:colOff>
      <xdr:row>3</xdr:row>
      <xdr:rowOff>31379</xdr:rowOff>
    </xdr:from>
    <xdr:to>
      <xdr:col>99</xdr:col>
      <xdr:colOff>336178</xdr:colOff>
      <xdr:row>4</xdr:row>
      <xdr:rowOff>156885</xdr:rowOff>
    </xdr:to>
    <xdr:sp macro="" textlink="">
      <xdr:nvSpPr>
        <xdr:cNvPr id="84" name="Flecha: hacia la izquierda 83">
          <a:extLst>
            <a:ext uri="{FF2B5EF4-FFF2-40B4-BE49-F238E27FC236}">
              <a16:creationId xmlns:a16="http://schemas.microsoft.com/office/drawing/2014/main" id="{36FE39BE-3C1F-46E1-B182-A7E8D9162A78}"/>
            </a:ext>
          </a:extLst>
        </xdr:cNvPr>
        <xdr:cNvSpPr/>
      </xdr:nvSpPr>
      <xdr:spPr>
        <a:xfrm rot="16200000">
          <a:off x="74496708" y="636496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98</xdr:col>
      <xdr:colOff>296445</xdr:colOff>
      <xdr:row>3</xdr:row>
      <xdr:rowOff>36468</xdr:rowOff>
    </xdr:from>
    <xdr:to>
      <xdr:col>98</xdr:col>
      <xdr:colOff>493059</xdr:colOff>
      <xdr:row>4</xdr:row>
      <xdr:rowOff>89648</xdr:rowOff>
    </xdr:to>
    <xdr:sp macro="" textlink="">
      <xdr:nvSpPr>
        <xdr:cNvPr id="85" name="Flecha: doblada hacia arriba 84">
          <a:extLst>
            <a:ext uri="{FF2B5EF4-FFF2-40B4-BE49-F238E27FC236}">
              <a16:creationId xmlns:a16="http://schemas.microsoft.com/office/drawing/2014/main" id="{C8BB8572-8A39-4F05-9BA9-7062DC5637AB}"/>
            </a:ext>
          </a:extLst>
        </xdr:cNvPr>
        <xdr:cNvSpPr/>
      </xdr:nvSpPr>
      <xdr:spPr>
        <a:xfrm rot="5400000" flipV="1">
          <a:off x="73887715" y="592280"/>
          <a:ext cx="232474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233083</xdr:colOff>
      <xdr:row>3</xdr:row>
      <xdr:rowOff>63362</xdr:rowOff>
    </xdr:from>
    <xdr:to>
      <xdr:col>100</xdr:col>
      <xdr:colOff>439271</xdr:colOff>
      <xdr:row>4</xdr:row>
      <xdr:rowOff>143436</xdr:rowOff>
    </xdr:to>
    <xdr:sp macro="" textlink="">
      <xdr:nvSpPr>
        <xdr:cNvPr id="86" name="Flecha: doblada hacia arriba 85">
          <a:extLst>
            <a:ext uri="{FF2B5EF4-FFF2-40B4-BE49-F238E27FC236}">
              <a16:creationId xmlns:a16="http://schemas.microsoft.com/office/drawing/2014/main" id="{855465D7-5952-48F1-9270-E3AABC94FA12}"/>
            </a:ext>
          </a:extLst>
        </xdr:cNvPr>
        <xdr:cNvSpPr/>
      </xdr:nvSpPr>
      <xdr:spPr>
        <a:xfrm rot="5400000">
          <a:off x="75142469" y="627834"/>
          <a:ext cx="259368" cy="206188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109</xdr:col>
      <xdr:colOff>228601</xdr:colOff>
      <xdr:row>15</xdr:row>
      <xdr:rowOff>58272</xdr:rowOff>
    </xdr:from>
    <xdr:to>
      <xdr:col>109</xdr:col>
      <xdr:colOff>398930</xdr:colOff>
      <xdr:row>16</xdr:row>
      <xdr:rowOff>174813</xdr:rowOff>
    </xdr:to>
    <xdr:sp macro="" textlink="">
      <xdr:nvSpPr>
        <xdr:cNvPr id="87" name="Flecha: hacia la izquierda 86">
          <a:extLst>
            <a:ext uri="{FF2B5EF4-FFF2-40B4-BE49-F238E27FC236}">
              <a16:creationId xmlns:a16="http://schemas.microsoft.com/office/drawing/2014/main" id="{8B8E964B-0E1B-454F-8276-2494ABEABC4E}"/>
            </a:ext>
          </a:extLst>
        </xdr:cNvPr>
        <xdr:cNvSpPr/>
      </xdr:nvSpPr>
      <xdr:spPr>
        <a:xfrm rot="5400000">
          <a:off x="79454190" y="2859742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110</xdr:col>
      <xdr:colOff>188870</xdr:colOff>
      <xdr:row>15</xdr:row>
      <xdr:rowOff>63362</xdr:rowOff>
    </xdr:from>
    <xdr:to>
      <xdr:col>110</xdr:col>
      <xdr:colOff>385484</xdr:colOff>
      <xdr:row>16</xdr:row>
      <xdr:rowOff>107577</xdr:rowOff>
    </xdr:to>
    <xdr:sp macro="" textlink="">
      <xdr:nvSpPr>
        <xdr:cNvPr id="88" name="Flecha: doblada hacia arriba 87">
          <a:extLst>
            <a:ext uri="{FF2B5EF4-FFF2-40B4-BE49-F238E27FC236}">
              <a16:creationId xmlns:a16="http://schemas.microsoft.com/office/drawing/2014/main" id="{C23C639E-C924-494A-B7B1-6DEB533A8194}"/>
            </a:ext>
          </a:extLst>
        </xdr:cNvPr>
        <xdr:cNvSpPr/>
      </xdr:nvSpPr>
      <xdr:spPr>
        <a:xfrm rot="16039098" flipV="1">
          <a:off x="80145081" y="2815527"/>
          <a:ext cx="232474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107</xdr:col>
      <xdr:colOff>107580</xdr:colOff>
      <xdr:row>12</xdr:row>
      <xdr:rowOff>8966</xdr:rowOff>
    </xdr:from>
    <xdr:to>
      <xdr:col>107</xdr:col>
      <xdr:colOff>412380</xdr:colOff>
      <xdr:row>13</xdr:row>
      <xdr:rowOff>1</xdr:rowOff>
    </xdr:to>
    <xdr:sp macro="" textlink="">
      <xdr:nvSpPr>
        <xdr:cNvPr id="89" name="Flecha: hacia la izquierda 88">
          <a:extLst>
            <a:ext uri="{FF2B5EF4-FFF2-40B4-BE49-F238E27FC236}">
              <a16:creationId xmlns:a16="http://schemas.microsoft.com/office/drawing/2014/main" id="{24FADF33-36BC-4AB5-9DCF-7CA36142C286}"/>
            </a:ext>
          </a:extLst>
        </xdr:cNvPr>
        <xdr:cNvSpPr/>
      </xdr:nvSpPr>
      <xdr:spPr>
        <a:xfrm rot="10800000">
          <a:off x="81928451" y="2178425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107</xdr:col>
      <xdr:colOff>117150</xdr:colOff>
      <xdr:row>14</xdr:row>
      <xdr:rowOff>63363</xdr:rowOff>
    </xdr:from>
    <xdr:to>
      <xdr:col>107</xdr:col>
      <xdr:colOff>412377</xdr:colOff>
      <xdr:row>15</xdr:row>
      <xdr:rowOff>44824</xdr:rowOff>
    </xdr:to>
    <xdr:sp macro="" textlink="">
      <xdr:nvSpPr>
        <xdr:cNvPr id="90" name="Flecha: doblada hacia arriba 89">
          <a:extLst>
            <a:ext uri="{FF2B5EF4-FFF2-40B4-BE49-F238E27FC236}">
              <a16:creationId xmlns:a16="http://schemas.microsoft.com/office/drawing/2014/main" id="{1F36742E-DEF1-4B05-8A59-7DB3416FBC17}"/>
            </a:ext>
          </a:extLst>
        </xdr:cNvPr>
        <xdr:cNvSpPr/>
      </xdr:nvSpPr>
      <xdr:spPr>
        <a:xfrm flipV="1">
          <a:off x="81938021" y="2600375"/>
          <a:ext cx="295227" cy="17868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110</xdr:col>
      <xdr:colOff>0</xdr:colOff>
      <xdr:row>9</xdr:row>
      <xdr:rowOff>1</xdr:rowOff>
    </xdr:from>
    <xdr:to>
      <xdr:col>110</xdr:col>
      <xdr:colOff>519956</xdr:colOff>
      <xdr:row>9</xdr:row>
      <xdr:rowOff>143435</xdr:rowOff>
    </xdr:to>
    <xdr:sp macro="" textlink="">
      <xdr:nvSpPr>
        <xdr:cNvPr id="91" name="Flecha: hacia la izquierda 90">
          <a:extLst>
            <a:ext uri="{FF2B5EF4-FFF2-40B4-BE49-F238E27FC236}">
              <a16:creationId xmlns:a16="http://schemas.microsoft.com/office/drawing/2014/main" id="{72852544-40EE-4675-8C95-766E8A3E5BCD}"/>
            </a:ext>
          </a:extLst>
        </xdr:cNvPr>
        <xdr:cNvSpPr/>
      </xdr:nvSpPr>
      <xdr:spPr>
        <a:xfrm rot="10800000" flipH="1">
          <a:off x="79974141" y="1622613"/>
          <a:ext cx="519956" cy="143434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110</xdr:col>
      <xdr:colOff>44891</xdr:colOff>
      <xdr:row>10</xdr:row>
      <xdr:rowOff>27407</xdr:rowOff>
    </xdr:from>
    <xdr:to>
      <xdr:col>110</xdr:col>
      <xdr:colOff>502635</xdr:colOff>
      <xdr:row>11</xdr:row>
      <xdr:rowOff>26893</xdr:rowOff>
    </xdr:to>
    <xdr:sp macro="" textlink="">
      <xdr:nvSpPr>
        <xdr:cNvPr id="92" name="Flecha: doblada hacia arriba 91">
          <a:extLst>
            <a:ext uri="{FF2B5EF4-FFF2-40B4-BE49-F238E27FC236}">
              <a16:creationId xmlns:a16="http://schemas.microsoft.com/office/drawing/2014/main" id="{6F21ED99-787F-447E-B750-BCE6CAB16F3E}"/>
            </a:ext>
          </a:extLst>
        </xdr:cNvPr>
        <xdr:cNvSpPr/>
      </xdr:nvSpPr>
      <xdr:spPr>
        <a:xfrm flipH="1" flipV="1">
          <a:off x="80019032" y="1829313"/>
          <a:ext cx="457744" cy="18774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108</xdr:col>
      <xdr:colOff>264462</xdr:colOff>
      <xdr:row>2</xdr:row>
      <xdr:rowOff>174813</xdr:rowOff>
    </xdr:from>
    <xdr:to>
      <xdr:col>108</xdr:col>
      <xdr:colOff>434791</xdr:colOff>
      <xdr:row>4</xdr:row>
      <xdr:rowOff>121025</xdr:rowOff>
    </xdr:to>
    <xdr:sp macro="" textlink="">
      <xdr:nvSpPr>
        <xdr:cNvPr id="93" name="Flecha: hacia la izquierda 92">
          <a:extLst>
            <a:ext uri="{FF2B5EF4-FFF2-40B4-BE49-F238E27FC236}">
              <a16:creationId xmlns:a16="http://schemas.microsoft.com/office/drawing/2014/main" id="{D16B9A72-FD89-4552-B903-2DF0D743903A}"/>
            </a:ext>
          </a:extLst>
        </xdr:cNvPr>
        <xdr:cNvSpPr/>
      </xdr:nvSpPr>
      <xdr:spPr>
        <a:xfrm rot="16200000">
          <a:off x="78853556" y="600636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107</xdr:col>
      <xdr:colOff>457812</xdr:colOff>
      <xdr:row>3</xdr:row>
      <xdr:rowOff>45434</xdr:rowOff>
    </xdr:from>
    <xdr:to>
      <xdr:col>107</xdr:col>
      <xdr:colOff>654426</xdr:colOff>
      <xdr:row>4</xdr:row>
      <xdr:rowOff>98614</xdr:rowOff>
    </xdr:to>
    <xdr:sp macro="" textlink="">
      <xdr:nvSpPr>
        <xdr:cNvPr id="94" name="Flecha: doblada hacia arriba 93">
          <a:extLst>
            <a:ext uri="{FF2B5EF4-FFF2-40B4-BE49-F238E27FC236}">
              <a16:creationId xmlns:a16="http://schemas.microsoft.com/office/drawing/2014/main" id="{40FD97EE-E2E9-4E54-A24E-7770B3CC8CEE}"/>
            </a:ext>
          </a:extLst>
        </xdr:cNvPr>
        <xdr:cNvSpPr/>
      </xdr:nvSpPr>
      <xdr:spPr>
        <a:xfrm rot="5400000" flipV="1">
          <a:off x="78316282" y="601246"/>
          <a:ext cx="232474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66</xdr:col>
      <xdr:colOff>331694</xdr:colOff>
      <xdr:row>35</xdr:row>
      <xdr:rowOff>89650</xdr:rowOff>
    </xdr:from>
    <xdr:to>
      <xdr:col>66</xdr:col>
      <xdr:colOff>493061</xdr:colOff>
      <xdr:row>36</xdr:row>
      <xdr:rowOff>161365</xdr:rowOff>
    </xdr:to>
    <xdr:sp macro="" textlink="">
      <xdr:nvSpPr>
        <xdr:cNvPr id="95" name="Flecha: doblada hacia arriba 94">
          <a:extLst>
            <a:ext uri="{FF2B5EF4-FFF2-40B4-BE49-F238E27FC236}">
              <a16:creationId xmlns:a16="http://schemas.microsoft.com/office/drawing/2014/main" id="{6F065EDC-C7D3-4D18-AC72-85F0048E2A99}"/>
            </a:ext>
          </a:extLst>
        </xdr:cNvPr>
        <xdr:cNvSpPr/>
      </xdr:nvSpPr>
      <xdr:spPr>
        <a:xfrm rot="5400000" flipV="1">
          <a:off x="50130638" y="6499412"/>
          <a:ext cx="251009" cy="16136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156884</xdr:colOff>
      <xdr:row>35</xdr:row>
      <xdr:rowOff>40342</xdr:rowOff>
    </xdr:from>
    <xdr:to>
      <xdr:col>67</xdr:col>
      <xdr:colOff>327213</xdr:colOff>
      <xdr:row>36</xdr:row>
      <xdr:rowOff>165848</xdr:rowOff>
    </xdr:to>
    <xdr:sp macro="" textlink="">
      <xdr:nvSpPr>
        <xdr:cNvPr id="96" name="Flecha: hacia la izquierda 95">
          <a:extLst>
            <a:ext uri="{FF2B5EF4-FFF2-40B4-BE49-F238E27FC236}">
              <a16:creationId xmlns:a16="http://schemas.microsoft.com/office/drawing/2014/main" id="{BA96C22F-B148-4399-AE9D-284A43377A67}"/>
            </a:ext>
          </a:extLst>
        </xdr:cNvPr>
        <xdr:cNvSpPr/>
      </xdr:nvSpPr>
      <xdr:spPr>
        <a:xfrm rot="16200000">
          <a:off x="50569908" y="6472518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53788</xdr:colOff>
      <xdr:row>51</xdr:row>
      <xdr:rowOff>4484</xdr:rowOff>
    </xdr:from>
    <xdr:to>
      <xdr:col>67</xdr:col>
      <xdr:colOff>286871</xdr:colOff>
      <xdr:row>52</xdr:row>
      <xdr:rowOff>134470</xdr:rowOff>
    </xdr:to>
    <xdr:sp macro="" textlink="">
      <xdr:nvSpPr>
        <xdr:cNvPr id="97" name="Flecha: doblada hacia arriba 96">
          <a:extLst>
            <a:ext uri="{FF2B5EF4-FFF2-40B4-BE49-F238E27FC236}">
              <a16:creationId xmlns:a16="http://schemas.microsoft.com/office/drawing/2014/main" id="{640251F1-8977-40E3-84F7-0CB2A4C44B02}"/>
            </a:ext>
          </a:extLst>
        </xdr:cNvPr>
        <xdr:cNvSpPr/>
      </xdr:nvSpPr>
      <xdr:spPr>
        <a:xfrm rot="16200000">
          <a:off x="50495949" y="9276229"/>
          <a:ext cx="309280" cy="23308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68</xdr:col>
      <xdr:colOff>156885</xdr:colOff>
      <xdr:row>51</xdr:row>
      <xdr:rowOff>8966</xdr:rowOff>
    </xdr:from>
    <xdr:to>
      <xdr:col>68</xdr:col>
      <xdr:colOff>327214</xdr:colOff>
      <xdr:row>52</xdr:row>
      <xdr:rowOff>134472</xdr:rowOff>
    </xdr:to>
    <xdr:sp macro="" textlink="">
      <xdr:nvSpPr>
        <xdr:cNvPr id="98" name="Flecha: hacia la izquierda 97">
          <a:extLst>
            <a:ext uri="{FF2B5EF4-FFF2-40B4-BE49-F238E27FC236}">
              <a16:creationId xmlns:a16="http://schemas.microsoft.com/office/drawing/2014/main" id="{8C45343B-2D9F-4560-B681-E9E03C7ABB64}"/>
            </a:ext>
          </a:extLst>
        </xdr:cNvPr>
        <xdr:cNvSpPr/>
      </xdr:nvSpPr>
      <xdr:spPr>
        <a:xfrm rot="5400000">
          <a:off x="51197438" y="9309848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87409</xdr:colOff>
      <xdr:row>43</xdr:row>
      <xdr:rowOff>96370</xdr:rowOff>
    </xdr:from>
    <xdr:to>
      <xdr:col>65</xdr:col>
      <xdr:colOff>396689</xdr:colOff>
      <xdr:row>44</xdr:row>
      <xdr:rowOff>150159</xdr:rowOff>
    </xdr:to>
    <xdr:sp macro="" textlink="">
      <xdr:nvSpPr>
        <xdr:cNvPr id="99" name="Flecha: doblada hacia arriba 98">
          <a:extLst>
            <a:ext uri="{FF2B5EF4-FFF2-40B4-BE49-F238E27FC236}">
              <a16:creationId xmlns:a16="http://schemas.microsoft.com/office/drawing/2014/main" id="{1DBCB86B-E4B0-40B1-A857-37A96BBA8270}"/>
            </a:ext>
          </a:extLst>
        </xdr:cNvPr>
        <xdr:cNvSpPr/>
      </xdr:nvSpPr>
      <xdr:spPr>
        <a:xfrm>
          <a:off x="49142280" y="7895664"/>
          <a:ext cx="309280" cy="23308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65</xdr:col>
      <xdr:colOff>96373</xdr:colOff>
      <xdr:row>45</xdr:row>
      <xdr:rowOff>96371</xdr:rowOff>
    </xdr:from>
    <xdr:to>
      <xdr:col>65</xdr:col>
      <xdr:colOff>367552</xdr:colOff>
      <xdr:row>46</xdr:row>
      <xdr:rowOff>89648</xdr:rowOff>
    </xdr:to>
    <xdr:sp macro="" textlink="">
      <xdr:nvSpPr>
        <xdr:cNvPr id="100" name="Flecha: doblada hacia arriba 99">
          <a:extLst>
            <a:ext uri="{FF2B5EF4-FFF2-40B4-BE49-F238E27FC236}">
              <a16:creationId xmlns:a16="http://schemas.microsoft.com/office/drawing/2014/main" id="{5E351F48-49A7-4809-BFB3-4F04CB866DDD}"/>
            </a:ext>
          </a:extLst>
        </xdr:cNvPr>
        <xdr:cNvSpPr/>
      </xdr:nvSpPr>
      <xdr:spPr>
        <a:xfrm flipV="1">
          <a:off x="49151244" y="8254253"/>
          <a:ext cx="271179" cy="17257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105339</xdr:colOff>
      <xdr:row>44</xdr:row>
      <xdr:rowOff>78440</xdr:rowOff>
    </xdr:from>
    <xdr:to>
      <xdr:col>69</xdr:col>
      <xdr:colOff>414619</xdr:colOff>
      <xdr:row>45</xdr:row>
      <xdr:rowOff>132229</xdr:rowOff>
    </xdr:to>
    <xdr:sp macro="" textlink="">
      <xdr:nvSpPr>
        <xdr:cNvPr id="101" name="Flecha: doblada hacia arriba 100">
          <a:extLst>
            <a:ext uri="{FF2B5EF4-FFF2-40B4-BE49-F238E27FC236}">
              <a16:creationId xmlns:a16="http://schemas.microsoft.com/office/drawing/2014/main" id="{CB5A8AD2-6C6E-47DA-9B0C-DE89BFDF3575}"/>
            </a:ext>
          </a:extLst>
        </xdr:cNvPr>
        <xdr:cNvSpPr/>
      </xdr:nvSpPr>
      <xdr:spPr>
        <a:xfrm rot="10800000">
          <a:off x="52002021" y="8057028"/>
          <a:ext cx="309280" cy="23308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80683</xdr:colOff>
      <xdr:row>42</xdr:row>
      <xdr:rowOff>152399</xdr:rowOff>
    </xdr:from>
    <xdr:to>
      <xdr:col>69</xdr:col>
      <xdr:colOff>438825</xdr:colOff>
      <xdr:row>44</xdr:row>
      <xdr:rowOff>17929</xdr:rowOff>
    </xdr:to>
    <xdr:sp macro="" textlink="">
      <xdr:nvSpPr>
        <xdr:cNvPr id="102" name="Flecha: hacia la izquierda 101">
          <a:extLst>
            <a:ext uri="{FF2B5EF4-FFF2-40B4-BE49-F238E27FC236}">
              <a16:creationId xmlns:a16="http://schemas.microsoft.com/office/drawing/2014/main" id="{83812B7A-ED7A-4983-A967-9F43AC04A48E}"/>
            </a:ext>
          </a:extLst>
        </xdr:cNvPr>
        <xdr:cNvSpPr/>
      </xdr:nvSpPr>
      <xdr:spPr>
        <a:xfrm>
          <a:off x="51977365" y="7772399"/>
          <a:ext cx="358142" cy="22411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69</xdr:col>
      <xdr:colOff>161365</xdr:colOff>
      <xdr:row>41</xdr:row>
      <xdr:rowOff>80683</xdr:rowOff>
    </xdr:from>
    <xdr:to>
      <xdr:col>69</xdr:col>
      <xdr:colOff>432544</xdr:colOff>
      <xdr:row>42</xdr:row>
      <xdr:rowOff>73960</xdr:rowOff>
    </xdr:to>
    <xdr:sp macro="" textlink="">
      <xdr:nvSpPr>
        <xdr:cNvPr id="103" name="Flecha: doblada hacia arriba 102">
          <a:extLst>
            <a:ext uri="{FF2B5EF4-FFF2-40B4-BE49-F238E27FC236}">
              <a16:creationId xmlns:a16="http://schemas.microsoft.com/office/drawing/2014/main" id="{56A90266-A287-449E-881C-B69C7889870B}"/>
            </a:ext>
          </a:extLst>
        </xdr:cNvPr>
        <xdr:cNvSpPr/>
      </xdr:nvSpPr>
      <xdr:spPr>
        <a:xfrm rot="10800000" flipV="1">
          <a:off x="52058047" y="7521389"/>
          <a:ext cx="271179" cy="17257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517487</xdr:colOff>
      <xdr:row>9</xdr:row>
      <xdr:rowOff>51323</xdr:rowOff>
    </xdr:from>
    <xdr:to>
      <xdr:col>19</xdr:col>
      <xdr:colOff>708212</xdr:colOff>
      <xdr:row>12</xdr:row>
      <xdr:rowOff>35859</xdr:rowOff>
    </xdr:to>
    <xdr:sp macro="" textlink="">
      <xdr:nvSpPr>
        <xdr:cNvPr id="104" name="Flecha: hacia la izquierda 103">
          <a:extLst>
            <a:ext uri="{FF2B5EF4-FFF2-40B4-BE49-F238E27FC236}">
              <a16:creationId xmlns:a16="http://schemas.microsoft.com/office/drawing/2014/main" id="{99F45231-8CED-42E0-B979-70C75710CA41}"/>
            </a:ext>
          </a:extLst>
        </xdr:cNvPr>
        <xdr:cNvSpPr/>
      </xdr:nvSpPr>
      <xdr:spPr>
        <a:xfrm rot="16200000">
          <a:off x="15336146" y="1844264"/>
          <a:ext cx="531383" cy="1907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20</xdr:col>
      <xdr:colOff>304444</xdr:colOff>
      <xdr:row>9</xdr:row>
      <xdr:rowOff>168182</xdr:rowOff>
    </xdr:from>
    <xdr:to>
      <xdr:col>20</xdr:col>
      <xdr:colOff>513093</xdr:colOff>
      <xdr:row>11</xdr:row>
      <xdr:rowOff>28999</xdr:rowOff>
    </xdr:to>
    <xdr:sp macro="" textlink="">
      <xdr:nvSpPr>
        <xdr:cNvPr id="105" name="Flecha: doblada hacia arriba 104">
          <a:extLst>
            <a:ext uri="{FF2B5EF4-FFF2-40B4-BE49-F238E27FC236}">
              <a16:creationId xmlns:a16="http://schemas.microsoft.com/office/drawing/2014/main" id="{8B0E78F1-2417-448C-993C-810CAE81401D}"/>
            </a:ext>
          </a:extLst>
        </xdr:cNvPr>
        <xdr:cNvSpPr/>
      </xdr:nvSpPr>
      <xdr:spPr>
        <a:xfrm rot="5400000">
          <a:off x="16072466" y="1800654"/>
          <a:ext cx="228370" cy="20864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22</xdr:col>
      <xdr:colOff>244508</xdr:colOff>
      <xdr:row>25</xdr:row>
      <xdr:rowOff>62753</xdr:rowOff>
    </xdr:from>
    <xdr:to>
      <xdr:col>22</xdr:col>
      <xdr:colOff>484094</xdr:colOff>
      <xdr:row>27</xdr:row>
      <xdr:rowOff>134470</xdr:rowOff>
    </xdr:to>
    <xdr:sp macro="" textlink="">
      <xdr:nvSpPr>
        <xdr:cNvPr id="106" name="Flecha: doblada hacia arriba 105">
          <a:extLst>
            <a:ext uri="{FF2B5EF4-FFF2-40B4-BE49-F238E27FC236}">
              <a16:creationId xmlns:a16="http://schemas.microsoft.com/office/drawing/2014/main" id="{098D7C59-CE8E-4DE4-B636-655D84D0E0EA}"/>
            </a:ext>
          </a:extLst>
        </xdr:cNvPr>
        <xdr:cNvSpPr/>
      </xdr:nvSpPr>
      <xdr:spPr>
        <a:xfrm rot="16200000" flipV="1">
          <a:off x="17504819" y="4730113"/>
          <a:ext cx="430305" cy="239586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18</xdr:col>
      <xdr:colOff>475131</xdr:colOff>
      <xdr:row>9</xdr:row>
      <xdr:rowOff>168182</xdr:rowOff>
    </xdr:from>
    <xdr:to>
      <xdr:col>18</xdr:col>
      <xdr:colOff>770611</xdr:colOff>
      <xdr:row>11</xdr:row>
      <xdr:rowOff>53792</xdr:rowOff>
    </xdr:to>
    <xdr:sp macro="" textlink="">
      <xdr:nvSpPr>
        <xdr:cNvPr id="107" name="Flecha: doblada hacia arriba 106">
          <a:extLst>
            <a:ext uri="{FF2B5EF4-FFF2-40B4-BE49-F238E27FC236}">
              <a16:creationId xmlns:a16="http://schemas.microsoft.com/office/drawing/2014/main" id="{3260D0BB-5CDA-4CFB-8188-B22EAE0E700F}"/>
            </a:ext>
          </a:extLst>
        </xdr:cNvPr>
        <xdr:cNvSpPr/>
      </xdr:nvSpPr>
      <xdr:spPr>
        <a:xfrm rot="5400000" flipV="1">
          <a:off x="14696383" y="1769636"/>
          <a:ext cx="253163" cy="29548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55</xdr:col>
      <xdr:colOff>19142</xdr:colOff>
      <xdr:row>30</xdr:row>
      <xdr:rowOff>86383</xdr:rowOff>
    </xdr:from>
    <xdr:to>
      <xdr:col>55</xdr:col>
      <xdr:colOff>277905</xdr:colOff>
      <xdr:row>32</xdr:row>
      <xdr:rowOff>35858</xdr:rowOff>
    </xdr:to>
    <xdr:sp macro="" textlink="">
      <xdr:nvSpPr>
        <xdr:cNvPr id="108" name="Flecha: doblada hacia arriba 107">
          <a:extLst>
            <a:ext uri="{FF2B5EF4-FFF2-40B4-BE49-F238E27FC236}">
              <a16:creationId xmlns:a16="http://schemas.microsoft.com/office/drawing/2014/main" id="{418C1279-DD87-425F-A0CB-B84515FC5578}"/>
            </a:ext>
          </a:extLst>
        </xdr:cNvPr>
        <xdr:cNvSpPr/>
      </xdr:nvSpPr>
      <xdr:spPr>
        <a:xfrm rot="5400000">
          <a:off x="41689339" y="5579504"/>
          <a:ext cx="308063" cy="258763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54</xdr:col>
      <xdr:colOff>345137</xdr:colOff>
      <xdr:row>30</xdr:row>
      <xdr:rowOff>107576</xdr:rowOff>
    </xdr:from>
    <xdr:to>
      <xdr:col>54</xdr:col>
      <xdr:colOff>515466</xdr:colOff>
      <xdr:row>32</xdr:row>
      <xdr:rowOff>53788</xdr:rowOff>
    </xdr:to>
    <xdr:sp macro="" textlink="">
      <xdr:nvSpPr>
        <xdr:cNvPr id="109" name="Flecha: hacia la izquierda 108">
          <a:extLst>
            <a:ext uri="{FF2B5EF4-FFF2-40B4-BE49-F238E27FC236}">
              <a16:creationId xmlns:a16="http://schemas.microsoft.com/office/drawing/2014/main" id="{7A0CEBFD-1A7F-48EA-BA0C-9CFB064C4E98}"/>
            </a:ext>
          </a:extLst>
        </xdr:cNvPr>
        <xdr:cNvSpPr/>
      </xdr:nvSpPr>
      <xdr:spPr>
        <a:xfrm rot="16200000">
          <a:off x="41354184" y="5643282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57</xdr:col>
      <xdr:colOff>313764</xdr:colOff>
      <xdr:row>23</xdr:row>
      <xdr:rowOff>113277</xdr:rowOff>
    </xdr:from>
    <xdr:to>
      <xdr:col>57</xdr:col>
      <xdr:colOff>512201</xdr:colOff>
      <xdr:row>25</xdr:row>
      <xdr:rowOff>44822</xdr:rowOff>
    </xdr:to>
    <xdr:sp macro="" textlink="">
      <xdr:nvSpPr>
        <xdr:cNvPr id="110" name="Flecha: doblada hacia arriba 109">
          <a:extLst>
            <a:ext uri="{FF2B5EF4-FFF2-40B4-BE49-F238E27FC236}">
              <a16:creationId xmlns:a16="http://schemas.microsoft.com/office/drawing/2014/main" id="{58231243-E54A-4F3A-9E42-B44B6B7D9B47}"/>
            </a:ext>
          </a:extLst>
        </xdr:cNvPr>
        <xdr:cNvSpPr/>
      </xdr:nvSpPr>
      <xdr:spPr>
        <a:xfrm rot="16200000" flipV="1">
          <a:off x="43155069" y="4363572"/>
          <a:ext cx="308063" cy="19843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58</xdr:col>
      <xdr:colOff>143435</xdr:colOff>
      <xdr:row>23</xdr:row>
      <xdr:rowOff>86383</xdr:rowOff>
    </xdr:from>
    <xdr:to>
      <xdr:col>58</xdr:col>
      <xdr:colOff>341872</xdr:colOff>
      <xdr:row>25</xdr:row>
      <xdr:rowOff>17928</xdr:rowOff>
    </xdr:to>
    <xdr:sp macro="" textlink="">
      <xdr:nvSpPr>
        <xdr:cNvPr id="111" name="Flecha: doblada hacia arriba 110">
          <a:extLst>
            <a:ext uri="{FF2B5EF4-FFF2-40B4-BE49-F238E27FC236}">
              <a16:creationId xmlns:a16="http://schemas.microsoft.com/office/drawing/2014/main" id="{26E703B5-75A2-4EA7-AD44-57CD83776B73}"/>
            </a:ext>
          </a:extLst>
        </xdr:cNvPr>
        <xdr:cNvSpPr/>
      </xdr:nvSpPr>
      <xdr:spPr>
        <a:xfrm rot="16200000" flipV="1">
          <a:off x="43621234" y="4336678"/>
          <a:ext cx="308063" cy="19843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54</xdr:col>
      <xdr:colOff>86958</xdr:colOff>
      <xdr:row>16</xdr:row>
      <xdr:rowOff>64994</xdr:rowOff>
    </xdr:from>
    <xdr:to>
      <xdr:col>54</xdr:col>
      <xdr:colOff>385483</xdr:colOff>
      <xdr:row>16</xdr:row>
      <xdr:rowOff>152400</xdr:rowOff>
    </xdr:to>
    <xdr:sp macro="" textlink="">
      <xdr:nvSpPr>
        <xdr:cNvPr id="112" name="Flecha: hacia la izquierda 111">
          <a:extLst>
            <a:ext uri="{FF2B5EF4-FFF2-40B4-BE49-F238E27FC236}">
              <a16:creationId xmlns:a16="http://schemas.microsoft.com/office/drawing/2014/main" id="{95EAF814-AE3E-491E-8DCE-E97246FBDEDA}"/>
            </a:ext>
          </a:extLst>
        </xdr:cNvPr>
        <xdr:cNvSpPr/>
      </xdr:nvSpPr>
      <xdr:spPr>
        <a:xfrm>
          <a:off x="41163240" y="2987488"/>
          <a:ext cx="298525" cy="87406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54</xdr:col>
      <xdr:colOff>68582</xdr:colOff>
      <xdr:row>18</xdr:row>
      <xdr:rowOff>29110</xdr:rowOff>
    </xdr:from>
    <xdr:to>
      <xdr:col>54</xdr:col>
      <xdr:colOff>327417</xdr:colOff>
      <xdr:row>19</xdr:row>
      <xdr:rowOff>11200</xdr:rowOff>
    </xdr:to>
    <xdr:sp macro="" textlink="">
      <xdr:nvSpPr>
        <xdr:cNvPr id="113" name="Flecha: doblada hacia arriba 112">
          <a:extLst>
            <a:ext uri="{FF2B5EF4-FFF2-40B4-BE49-F238E27FC236}">
              <a16:creationId xmlns:a16="http://schemas.microsoft.com/office/drawing/2014/main" id="{98DED812-582D-4F94-90DB-2A0C6FD11D1D}"/>
            </a:ext>
          </a:extLst>
        </xdr:cNvPr>
        <xdr:cNvSpPr/>
      </xdr:nvSpPr>
      <xdr:spPr>
        <a:xfrm rot="10800000">
          <a:off x="41144864" y="3310192"/>
          <a:ext cx="258835" cy="17034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56</xdr:col>
      <xdr:colOff>103861</xdr:colOff>
      <xdr:row>23</xdr:row>
      <xdr:rowOff>101408</xdr:rowOff>
    </xdr:from>
    <xdr:to>
      <xdr:col>56</xdr:col>
      <xdr:colOff>274210</xdr:colOff>
      <xdr:row>24</xdr:row>
      <xdr:rowOff>163019</xdr:rowOff>
    </xdr:to>
    <xdr:sp macro="" textlink="">
      <xdr:nvSpPr>
        <xdr:cNvPr id="114" name="Flecha: doblada hacia arriba 113">
          <a:extLst>
            <a:ext uri="{FF2B5EF4-FFF2-40B4-BE49-F238E27FC236}">
              <a16:creationId xmlns:a16="http://schemas.microsoft.com/office/drawing/2014/main" id="{F9369F9A-C885-4D30-81CE-88616D38809A}"/>
            </a:ext>
          </a:extLst>
        </xdr:cNvPr>
        <xdr:cNvSpPr/>
      </xdr:nvSpPr>
      <xdr:spPr>
        <a:xfrm rot="16200000">
          <a:off x="42364065" y="4341133"/>
          <a:ext cx="258835" cy="17034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56</xdr:col>
      <xdr:colOff>44824</xdr:colOff>
      <xdr:row>13</xdr:row>
      <xdr:rowOff>134470</xdr:rowOff>
    </xdr:from>
    <xdr:to>
      <xdr:col>56</xdr:col>
      <xdr:colOff>243261</xdr:colOff>
      <xdr:row>15</xdr:row>
      <xdr:rowOff>57051</xdr:rowOff>
    </xdr:to>
    <xdr:sp macro="" textlink="">
      <xdr:nvSpPr>
        <xdr:cNvPr id="115" name="Flecha: doblada hacia arriba 114">
          <a:extLst>
            <a:ext uri="{FF2B5EF4-FFF2-40B4-BE49-F238E27FC236}">
              <a16:creationId xmlns:a16="http://schemas.microsoft.com/office/drawing/2014/main" id="{6A9EFFA1-1FF7-4085-B77D-037ECF869D3C}"/>
            </a:ext>
          </a:extLst>
        </xdr:cNvPr>
        <xdr:cNvSpPr/>
      </xdr:nvSpPr>
      <xdr:spPr>
        <a:xfrm rot="5400000" flipV="1">
          <a:off x="42294458" y="2538036"/>
          <a:ext cx="308063" cy="19843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176025</xdr:colOff>
      <xdr:row>18</xdr:row>
      <xdr:rowOff>53789</xdr:rowOff>
    </xdr:from>
    <xdr:to>
      <xdr:col>67</xdr:col>
      <xdr:colOff>457198</xdr:colOff>
      <xdr:row>19</xdr:row>
      <xdr:rowOff>112062</xdr:rowOff>
    </xdr:to>
    <xdr:sp macro="" textlink="">
      <xdr:nvSpPr>
        <xdr:cNvPr id="116" name="Flecha: doblada hacia arriba 115">
          <a:extLst>
            <a:ext uri="{FF2B5EF4-FFF2-40B4-BE49-F238E27FC236}">
              <a16:creationId xmlns:a16="http://schemas.microsoft.com/office/drawing/2014/main" id="{69B82923-6BA2-421B-B58F-52CCACC59341}"/>
            </a:ext>
          </a:extLst>
        </xdr:cNvPr>
        <xdr:cNvSpPr/>
      </xdr:nvSpPr>
      <xdr:spPr>
        <a:xfrm>
          <a:off x="50656284" y="3334871"/>
          <a:ext cx="281173" cy="246532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67</xdr:col>
      <xdr:colOff>143435</xdr:colOff>
      <xdr:row>20</xdr:row>
      <xdr:rowOff>26894</xdr:rowOff>
    </xdr:from>
    <xdr:to>
      <xdr:col>67</xdr:col>
      <xdr:colOff>448235</xdr:colOff>
      <xdr:row>21</xdr:row>
      <xdr:rowOff>17929</xdr:rowOff>
    </xdr:to>
    <xdr:sp macro="" textlink="">
      <xdr:nvSpPr>
        <xdr:cNvPr id="117" name="Flecha: hacia la izquierda 116">
          <a:extLst>
            <a:ext uri="{FF2B5EF4-FFF2-40B4-BE49-F238E27FC236}">
              <a16:creationId xmlns:a16="http://schemas.microsoft.com/office/drawing/2014/main" id="{BB14CBC8-3EBA-49ED-9F44-13C73854A335}"/>
            </a:ext>
          </a:extLst>
        </xdr:cNvPr>
        <xdr:cNvSpPr/>
      </xdr:nvSpPr>
      <xdr:spPr>
        <a:xfrm rot="10800000">
          <a:off x="50623694" y="3675529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68</xdr:col>
      <xdr:colOff>89647</xdr:colOff>
      <xdr:row>14</xdr:row>
      <xdr:rowOff>161363</xdr:rowOff>
    </xdr:from>
    <xdr:to>
      <xdr:col>68</xdr:col>
      <xdr:colOff>259977</xdr:colOff>
      <xdr:row>16</xdr:row>
      <xdr:rowOff>44822</xdr:rowOff>
    </xdr:to>
    <xdr:sp macro="" textlink="">
      <xdr:nvSpPr>
        <xdr:cNvPr id="12" name="Flecha: doblada hacia arriba 11">
          <a:extLst>
            <a:ext uri="{FF2B5EF4-FFF2-40B4-BE49-F238E27FC236}">
              <a16:creationId xmlns:a16="http://schemas.microsoft.com/office/drawing/2014/main" id="{831B6604-C69C-485A-89D4-1E86230A851D}"/>
            </a:ext>
          </a:extLst>
        </xdr:cNvPr>
        <xdr:cNvSpPr/>
      </xdr:nvSpPr>
      <xdr:spPr>
        <a:xfrm rot="10800000" flipV="1">
          <a:off x="51197435" y="2698375"/>
          <a:ext cx="170330" cy="268941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72</xdr:col>
      <xdr:colOff>367553</xdr:colOff>
      <xdr:row>17</xdr:row>
      <xdr:rowOff>170329</xdr:rowOff>
    </xdr:from>
    <xdr:to>
      <xdr:col>72</xdr:col>
      <xdr:colOff>694765</xdr:colOff>
      <xdr:row>19</xdr:row>
      <xdr:rowOff>13446</xdr:rowOff>
    </xdr:to>
    <xdr:sp macro="" textlink="">
      <xdr:nvSpPr>
        <xdr:cNvPr id="118" name="Flecha: hacia la izquierda 117">
          <a:extLst>
            <a:ext uri="{FF2B5EF4-FFF2-40B4-BE49-F238E27FC236}">
              <a16:creationId xmlns:a16="http://schemas.microsoft.com/office/drawing/2014/main" id="{94CC46B8-3AFE-4DC2-90B0-77DBA0395EB0}"/>
            </a:ext>
          </a:extLst>
        </xdr:cNvPr>
        <xdr:cNvSpPr/>
      </xdr:nvSpPr>
      <xdr:spPr>
        <a:xfrm rot="10800000">
          <a:off x="54630918" y="3272117"/>
          <a:ext cx="327212" cy="21067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72</xdr:col>
      <xdr:colOff>377125</xdr:colOff>
      <xdr:row>20</xdr:row>
      <xdr:rowOff>8359</xdr:rowOff>
    </xdr:from>
    <xdr:to>
      <xdr:col>72</xdr:col>
      <xdr:colOff>679684</xdr:colOff>
      <xdr:row>21</xdr:row>
      <xdr:rowOff>26894</xdr:rowOff>
    </xdr:to>
    <xdr:sp macro="" textlink="">
      <xdr:nvSpPr>
        <xdr:cNvPr id="119" name="Flecha: doblada hacia arriba 118">
          <a:extLst>
            <a:ext uri="{FF2B5EF4-FFF2-40B4-BE49-F238E27FC236}">
              <a16:creationId xmlns:a16="http://schemas.microsoft.com/office/drawing/2014/main" id="{6D8C8E42-F9BE-4618-B1EA-35BA27CA220D}"/>
            </a:ext>
          </a:extLst>
        </xdr:cNvPr>
        <xdr:cNvSpPr/>
      </xdr:nvSpPr>
      <xdr:spPr>
        <a:xfrm flipV="1">
          <a:off x="54640490" y="3656994"/>
          <a:ext cx="302559" cy="19782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488577</xdr:colOff>
      <xdr:row>17</xdr:row>
      <xdr:rowOff>138952</xdr:rowOff>
    </xdr:from>
    <xdr:to>
      <xdr:col>73</xdr:col>
      <xdr:colOff>699247</xdr:colOff>
      <xdr:row>19</xdr:row>
      <xdr:rowOff>98611</xdr:rowOff>
    </xdr:to>
    <xdr:sp macro="" textlink="">
      <xdr:nvSpPr>
        <xdr:cNvPr id="120" name="Flecha: hacia la izquierda 119">
          <a:extLst>
            <a:ext uri="{FF2B5EF4-FFF2-40B4-BE49-F238E27FC236}">
              <a16:creationId xmlns:a16="http://schemas.microsoft.com/office/drawing/2014/main" id="{73998C0D-20F7-46A6-8E06-FBF73C0CCF3C}"/>
            </a:ext>
          </a:extLst>
        </xdr:cNvPr>
        <xdr:cNvSpPr/>
      </xdr:nvSpPr>
      <xdr:spPr>
        <a:xfrm rot="5247438">
          <a:off x="55482565" y="3299011"/>
          <a:ext cx="327212" cy="21067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74</xdr:col>
      <xdr:colOff>106761</xdr:colOff>
      <xdr:row>17</xdr:row>
      <xdr:rowOff>108393</xdr:rowOff>
    </xdr:from>
    <xdr:to>
      <xdr:col>74</xdr:col>
      <xdr:colOff>304590</xdr:colOff>
      <xdr:row>19</xdr:row>
      <xdr:rowOff>43399</xdr:rowOff>
    </xdr:to>
    <xdr:sp macro="" textlink="">
      <xdr:nvSpPr>
        <xdr:cNvPr id="121" name="Flecha: doblada hacia arriba 120">
          <a:extLst>
            <a:ext uri="{FF2B5EF4-FFF2-40B4-BE49-F238E27FC236}">
              <a16:creationId xmlns:a16="http://schemas.microsoft.com/office/drawing/2014/main" id="{2174C4B7-F088-4C02-ADA3-B8ECBB5954B5}"/>
            </a:ext>
          </a:extLst>
        </xdr:cNvPr>
        <xdr:cNvSpPr/>
      </xdr:nvSpPr>
      <xdr:spPr>
        <a:xfrm rot="16047438" flipV="1">
          <a:off x="55895549" y="3262546"/>
          <a:ext cx="302559" cy="197829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28</xdr:col>
      <xdr:colOff>591670</xdr:colOff>
      <xdr:row>16</xdr:row>
      <xdr:rowOff>125503</xdr:rowOff>
    </xdr:from>
    <xdr:to>
      <xdr:col>29</xdr:col>
      <xdr:colOff>295835</xdr:colOff>
      <xdr:row>18</xdr:row>
      <xdr:rowOff>44822</xdr:rowOff>
    </xdr:to>
    <xdr:sp macro="" textlink="">
      <xdr:nvSpPr>
        <xdr:cNvPr id="122" name="Flecha: hacia la izquierda 121">
          <a:extLst>
            <a:ext uri="{FF2B5EF4-FFF2-40B4-BE49-F238E27FC236}">
              <a16:creationId xmlns:a16="http://schemas.microsoft.com/office/drawing/2014/main" id="{41AB5EFC-04D4-4B70-A3BC-38796987805E}"/>
            </a:ext>
          </a:extLst>
        </xdr:cNvPr>
        <xdr:cNvSpPr/>
      </xdr:nvSpPr>
      <xdr:spPr>
        <a:xfrm rot="10800000" flipH="1">
          <a:off x="21891811" y="3047997"/>
          <a:ext cx="493059" cy="277907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109</xdr:col>
      <xdr:colOff>152402</xdr:colOff>
      <xdr:row>3</xdr:row>
      <xdr:rowOff>125505</xdr:rowOff>
    </xdr:from>
    <xdr:to>
      <xdr:col>109</xdr:col>
      <xdr:colOff>304799</xdr:colOff>
      <xdr:row>4</xdr:row>
      <xdr:rowOff>134472</xdr:rowOff>
    </xdr:to>
    <xdr:sp macro="" textlink="">
      <xdr:nvSpPr>
        <xdr:cNvPr id="123" name="Flecha: doblada hacia arriba 122">
          <a:extLst>
            <a:ext uri="{FF2B5EF4-FFF2-40B4-BE49-F238E27FC236}">
              <a16:creationId xmlns:a16="http://schemas.microsoft.com/office/drawing/2014/main" id="{4F9FEADF-7787-472B-B097-0CFA1F4EDBEC}"/>
            </a:ext>
          </a:extLst>
        </xdr:cNvPr>
        <xdr:cNvSpPr/>
      </xdr:nvSpPr>
      <xdr:spPr>
        <a:xfrm rot="5400000">
          <a:off x="82582870" y="681319"/>
          <a:ext cx="188261" cy="152397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108</xdr:col>
      <xdr:colOff>469103</xdr:colOff>
      <xdr:row>19</xdr:row>
      <xdr:rowOff>20415</xdr:rowOff>
    </xdr:from>
    <xdr:to>
      <xdr:col>109</xdr:col>
      <xdr:colOff>99919</xdr:colOff>
      <xdr:row>20</xdr:row>
      <xdr:rowOff>92495</xdr:rowOff>
    </xdr:to>
    <xdr:sp macro="" textlink="">
      <xdr:nvSpPr>
        <xdr:cNvPr id="124" name="Flecha: doblada hacia arriba 123">
          <a:extLst>
            <a:ext uri="{FF2B5EF4-FFF2-40B4-BE49-F238E27FC236}">
              <a16:creationId xmlns:a16="http://schemas.microsoft.com/office/drawing/2014/main" id="{23AAA815-05BA-4C60-8E91-D039F5BA83B4}"/>
            </a:ext>
          </a:extLst>
        </xdr:cNvPr>
        <xdr:cNvSpPr/>
      </xdr:nvSpPr>
      <xdr:spPr>
        <a:xfrm rot="16200000">
          <a:off x="82288977" y="3481788"/>
          <a:ext cx="251374" cy="26731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110</xdr:col>
      <xdr:colOff>125505</xdr:colOff>
      <xdr:row>6</xdr:row>
      <xdr:rowOff>107577</xdr:rowOff>
    </xdr:from>
    <xdr:to>
      <xdr:col>110</xdr:col>
      <xdr:colOff>357979</xdr:colOff>
      <xdr:row>7</xdr:row>
      <xdr:rowOff>124897</xdr:rowOff>
    </xdr:to>
    <xdr:sp macro="" textlink="">
      <xdr:nvSpPr>
        <xdr:cNvPr id="125" name="Flecha: doblada hacia arriba 124">
          <a:extLst>
            <a:ext uri="{FF2B5EF4-FFF2-40B4-BE49-F238E27FC236}">
              <a16:creationId xmlns:a16="http://schemas.microsoft.com/office/drawing/2014/main" id="{A605C364-E2D4-4249-9B17-AB2610F47918}"/>
            </a:ext>
          </a:extLst>
        </xdr:cNvPr>
        <xdr:cNvSpPr/>
      </xdr:nvSpPr>
      <xdr:spPr>
        <a:xfrm rot="10800000" flipV="1">
          <a:off x="83255223" y="1183342"/>
          <a:ext cx="232474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528917</xdr:colOff>
      <xdr:row>33</xdr:row>
      <xdr:rowOff>62754</xdr:rowOff>
    </xdr:from>
    <xdr:to>
      <xdr:col>97</xdr:col>
      <xdr:colOff>761391</xdr:colOff>
      <xdr:row>34</xdr:row>
      <xdr:rowOff>80074</xdr:rowOff>
    </xdr:to>
    <xdr:sp macro="" textlink="">
      <xdr:nvSpPr>
        <xdr:cNvPr id="126" name="Flecha: doblada hacia arriba 125">
          <a:extLst>
            <a:ext uri="{FF2B5EF4-FFF2-40B4-BE49-F238E27FC236}">
              <a16:creationId xmlns:a16="http://schemas.microsoft.com/office/drawing/2014/main" id="{F83724C3-C955-4169-80B7-318FAEAEABBA}"/>
            </a:ext>
          </a:extLst>
        </xdr:cNvPr>
        <xdr:cNvSpPr/>
      </xdr:nvSpPr>
      <xdr:spPr>
        <a:xfrm flipV="1">
          <a:off x="74138117" y="6069107"/>
          <a:ext cx="232474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520562</xdr:colOff>
      <xdr:row>30</xdr:row>
      <xdr:rowOff>142826</xdr:rowOff>
    </xdr:from>
    <xdr:to>
      <xdr:col>97</xdr:col>
      <xdr:colOff>765876</xdr:colOff>
      <xdr:row>31</xdr:row>
      <xdr:rowOff>156276</xdr:rowOff>
    </xdr:to>
    <xdr:sp macro="" textlink="">
      <xdr:nvSpPr>
        <xdr:cNvPr id="127" name="Flecha: doblada hacia arriba 126">
          <a:extLst>
            <a:ext uri="{FF2B5EF4-FFF2-40B4-BE49-F238E27FC236}">
              <a16:creationId xmlns:a16="http://schemas.microsoft.com/office/drawing/2014/main" id="{0F5326FB-A21E-4490-BB2E-BE330CDB8621}"/>
            </a:ext>
          </a:extLst>
        </xdr:cNvPr>
        <xdr:cNvSpPr/>
      </xdr:nvSpPr>
      <xdr:spPr>
        <a:xfrm>
          <a:off x="74129762" y="5611297"/>
          <a:ext cx="245314" cy="1927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97</xdr:col>
      <xdr:colOff>479611</xdr:colOff>
      <xdr:row>32</xdr:row>
      <xdr:rowOff>13449</xdr:rowOff>
    </xdr:from>
    <xdr:to>
      <xdr:col>97</xdr:col>
      <xdr:colOff>784411</xdr:colOff>
      <xdr:row>33</xdr:row>
      <xdr:rowOff>4484</xdr:rowOff>
    </xdr:to>
    <xdr:sp macro="" textlink="">
      <xdr:nvSpPr>
        <xdr:cNvPr id="128" name="Flecha: hacia la izquierda 127">
          <a:extLst>
            <a:ext uri="{FF2B5EF4-FFF2-40B4-BE49-F238E27FC236}">
              <a16:creationId xmlns:a16="http://schemas.microsoft.com/office/drawing/2014/main" id="{3ABCFDA9-C75E-4E34-9D02-0E238E68956E}"/>
            </a:ext>
          </a:extLst>
        </xdr:cNvPr>
        <xdr:cNvSpPr/>
      </xdr:nvSpPr>
      <xdr:spPr>
        <a:xfrm rot="10800000">
          <a:off x="74088811" y="5840508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192741</xdr:colOff>
      <xdr:row>29</xdr:row>
      <xdr:rowOff>85165</xdr:rowOff>
    </xdr:from>
    <xdr:to>
      <xdr:col>102</xdr:col>
      <xdr:colOff>425215</xdr:colOff>
      <xdr:row>30</xdr:row>
      <xdr:rowOff>102484</xdr:rowOff>
    </xdr:to>
    <xdr:sp macro="" textlink="">
      <xdr:nvSpPr>
        <xdr:cNvPr id="129" name="Flecha: doblada hacia arriba 128">
          <a:extLst>
            <a:ext uri="{FF2B5EF4-FFF2-40B4-BE49-F238E27FC236}">
              <a16:creationId xmlns:a16="http://schemas.microsoft.com/office/drawing/2014/main" id="{94F51F2A-9FD7-425F-B652-C8BC064F0878}"/>
            </a:ext>
          </a:extLst>
        </xdr:cNvPr>
        <xdr:cNvSpPr/>
      </xdr:nvSpPr>
      <xdr:spPr>
        <a:xfrm rot="10800000" flipV="1">
          <a:off x="77280247" y="5374341"/>
          <a:ext cx="232474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143435</xdr:colOff>
      <xdr:row>31</xdr:row>
      <xdr:rowOff>8965</xdr:rowOff>
    </xdr:from>
    <xdr:to>
      <xdr:col>102</xdr:col>
      <xdr:colOff>448235</xdr:colOff>
      <xdr:row>32</xdr:row>
      <xdr:rowOff>0</xdr:rowOff>
    </xdr:to>
    <xdr:sp macro="" textlink="">
      <xdr:nvSpPr>
        <xdr:cNvPr id="130" name="Flecha: hacia la izquierda 129">
          <a:extLst>
            <a:ext uri="{FF2B5EF4-FFF2-40B4-BE49-F238E27FC236}">
              <a16:creationId xmlns:a16="http://schemas.microsoft.com/office/drawing/2014/main" id="{8DBF3A69-A264-4940-BF4E-C262A91B41F9}"/>
            </a:ext>
          </a:extLst>
        </xdr:cNvPr>
        <xdr:cNvSpPr/>
      </xdr:nvSpPr>
      <xdr:spPr>
        <a:xfrm>
          <a:off x="77230941" y="5656730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102</xdr:col>
      <xdr:colOff>161364</xdr:colOff>
      <xdr:row>32</xdr:row>
      <xdr:rowOff>98612</xdr:rowOff>
    </xdr:from>
    <xdr:to>
      <xdr:col>102</xdr:col>
      <xdr:colOff>406678</xdr:colOff>
      <xdr:row>33</xdr:row>
      <xdr:rowOff>112062</xdr:rowOff>
    </xdr:to>
    <xdr:sp macro="" textlink="">
      <xdr:nvSpPr>
        <xdr:cNvPr id="131" name="Flecha: doblada hacia arriba 130">
          <a:extLst>
            <a:ext uri="{FF2B5EF4-FFF2-40B4-BE49-F238E27FC236}">
              <a16:creationId xmlns:a16="http://schemas.microsoft.com/office/drawing/2014/main" id="{627D3C56-AA9F-431B-9DD4-3EC5E178ABC5}"/>
            </a:ext>
          </a:extLst>
        </xdr:cNvPr>
        <xdr:cNvSpPr/>
      </xdr:nvSpPr>
      <xdr:spPr>
        <a:xfrm rot="10800000">
          <a:off x="77248870" y="5925671"/>
          <a:ext cx="245314" cy="1927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178690</xdr:colOff>
      <xdr:row>25</xdr:row>
      <xdr:rowOff>80682</xdr:rowOff>
    </xdr:from>
    <xdr:to>
      <xdr:col>99</xdr:col>
      <xdr:colOff>349019</xdr:colOff>
      <xdr:row>27</xdr:row>
      <xdr:rowOff>26894</xdr:rowOff>
    </xdr:to>
    <xdr:sp macro="" textlink="">
      <xdr:nvSpPr>
        <xdr:cNvPr id="132" name="Flecha: hacia la izquierda 131">
          <a:extLst>
            <a:ext uri="{FF2B5EF4-FFF2-40B4-BE49-F238E27FC236}">
              <a16:creationId xmlns:a16="http://schemas.microsoft.com/office/drawing/2014/main" id="{B8F29204-8A62-468A-AF21-E13B66D63AC5}"/>
            </a:ext>
          </a:extLst>
        </xdr:cNvPr>
        <xdr:cNvSpPr/>
      </xdr:nvSpPr>
      <xdr:spPr>
        <a:xfrm rot="16200000">
          <a:off x="75298443" y="4719917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179294</xdr:colOff>
      <xdr:row>25</xdr:row>
      <xdr:rowOff>85771</xdr:rowOff>
    </xdr:from>
    <xdr:to>
      <xdr:col>100</xdr:col>
      <xdr:colOff>372038</xdr:colOff>
      <xdr:row>26</xdr:row>
      <xdr:rowOff>151791</xdr:rowOff>
    </xdr:to>
    <xdr:sp macro="" textlink="">
      <xdr:nvSpPr>
        <xdr:cNvPr id="133" name="Flecha: doblada hacia arriba 132">
          <a:extLst>
            <a:ext uri="{FF2B5EF4-FFF2-40B4-BE49-F238E27FC236}">
              <a16:creationId xmlns:a16="http://schemas.microsoft.com/office/drawing/2014/main" id="{9D155FBE-A3E0-49BE-A162-718D04AA6535}"/>
            </a:ext>
          </a:extLst>
        </xdr:cNvPr>
        <xdr:cNvSpPr/>
      </xdr:nvSpPr>
      <xdr:spPr>
        <a:xfrm rot="5400000">
          <a:off x="75877880" y="4684056"/>
          <a:ext cx="245314" cy="19274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98</xdr:col>
      <xdr:colOff>443756</xdr:colOff>
      <xdr:row>25</xdr:row>
      <xdr:rowOff>130593</xdr:rowOff>
    </xdr:from>
    <xdr:to>
      <xdr:col>98</xdr:col>
      <xdr:colOff>640370</xdr:colOff>
      <xdr:row>27</xdr:row>
      <xdr:rowOff>4479</xdr:rowOff>
    </xdr:to>
    <xdr:sp macro="" textlink="">
      <xdr:nvSpPr>
        <xdr:cNvPr id="134" name="Flecha: doblada hacia arriba 133">
          <a:extLst>
            <a:ext uri="{FF2B5EF4-FFF2-40B4-BE49-F238E27FC236}">
              <a16:creationId xmlns:a16="http://schemas.microsoft.com/office/drawing/2014/main" id="{1721E666-AFAB-453B-B5C7-FDD3002E4A38}"/>
            </a:ext>
          </a:extLst>
        </xdr:cNvPr>
        <xdr:cNvSpPr/>
      </xdr:nvSpPr>
      <xdr:spPr>
        <a:xfrm rot="5400000" flipV="1">
          <a:off x="74823920" y="4720523"/>
          <a:ext cx="232474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98</xdr:col>
      <xdr:colOff>443754</xdr:colOff>
      <xdr:row>51</xdr:row>
      <xdr:rowOff>103092</xdr:rowOff>
    </xdr:from>
    <xdr:to>
      <xdr:col>98</xdr:col>
      <xdr:colOff>640368</xdr:colOff>
      <xdr:row>52</xdr:row>
      <xdr:rowOff>156272</xdr:rowOff>
    </xdr:to>
    <xdr:sp macro="" textlink="">
      <xdr:nvSpPr>
        <xdr:cNvPr id="135" name="Flecha: doblada hacia arriba 134">
          <a:extLst>
            <a:ext uri="{FF2B5EF4-FFF2-40B4-BE49-F238E27FC236}">
              <a16:creationId xmlns:a16="http://schemas.microsoft.com/office/drawing/2014/main" id="{A5C879B9-E345-43E6-8B68-C6D1AE66AA0E}"/>
            </a:ext>
          </a:extLst>
        </xdr:cNvPr>
        <xdr:cNvSpPr/>
      </xdr:nvSpPr>
      <xdr:spPr>
        <a:xfrm rot="5400000" flipV="1">
          <a:off x="74823918" y="9354669"/>
          <a:ext cx="232474" cy="19661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99</xdr:col>
      <xdr:colOff>174813</xdr:colOff>
      <xdr:row>51</xdr:row>
      <xdr:rowOff>58271</xdr:rowOff>
    </xdr:from>
    <xdr:to>
      <xdr:col>99</xdr:col>
      <xdr:colOff>345142</xdr:colOff>
      <xdr:row>53</xdr:row>
      <xdr:rowOff>4483</xdr:rowOff>
    </xdr:to>
    <xdr:sp macro="" textlink="">
      <xdr:nvSpPr>
        <xdr:cNvPr id="136" name="Flecha: hacia la izquierda 135">
          <a:extLst>
            <a:ext uri="{FF2B5EF4-FFF2-40B4-BE49-F238E27FC236}">
              <a16:creationId xmlns:a16="http://schemas.microsoft.com/office/drawing/2014/main" id="{981616E4-009B-4074-9640-C688BE205BC9}"/>
            </a:ext>
          </a:extLst>
        </xdr:cNvPr>
        <xdr:cNvSpPr/>
      </xdr:nvSpPr>
      <xdr:spPr>
        <a:xfrm rot="16200000">
          <a:off x="75294566" y="9359153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0</xdr:colOff>
      <xdr:row>56</xdr:row>
      <xdr:rowOff>17929</xdr:rowOff>
    </xdr:from>
    <xdr:to>
      <xdr:col>100</xdr:col>
      <xdr:colOff>233082</xdr:colOff>
      <xdr:row>57</xdr:row>
      <xdr:rowOff>116540</xdr:rowOff>
    </xdr:to>
    <xdr:sp macro="" textlink="">
      <xdr:nvSpPr>
        <xdr:cNvPr id="137" name="Flecha: doblada hacia arriba 136">
          <a:extLst>
            <a:ext uri="{FF2B5EF4-FFF2-40B4-BE49-F238E27FC236}">
              <a16:creationId xmlns:a16="http://schemas.microsoft.com/office/drawing/2014/main" id="{B5F0FB6E-599D-44DE-B11A-15F18D1218E7}"/>
            </a:ext>
          </a:extLst>
        </xdr:cNvPr>
        <xdr:cNvSpPr/>
      </xdr:nvSpPr>
      <xdr:spPr>
        <a:xfrm rot="16200000">
          <a:off x="75702459" y="10170459"/>
          <a:ext cx="277905" cy="233082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100</xdr:col>
      <xdr:colOff>309283</xdr:colOff>
      <xdr:row>55</xdr:row>
      <xdr:rowOff>76199</xdr:rowOff>
    </xdr:from>
    <xdr:to>
      <xdr:col>101</xdr:col>
      <xdr:colOff>40342</xdr:colOff>
      <xdr:row>56</xdr:row>
      <xdr:rowOff>67234</xdr:rowOff>
    </xdr:to>
    <xdr:sp macro="" textlink="">
      <xdr:nvSpPr>
        <xdr:cNvPr id="138" name="Flecha: hacia la izquierda 137">
          <a:extLst>
            <a:ext uri="{FF2B5EF4-FFF2-40B4-BE49-F238E27FC236}">
              <a16:creationId xmlns:a16="http://schemas.microsoft.com/office/drawing/2014/main" id="{6443F094-8C8B-4790-8E98-F53D77F95F00}"/>
            </a:ext>
          </a:extLst>
        </xdr:cNvPr>
        <xdr:cNvSpPr/>
      </xdr:nvSpPr>
      <xdr:spPr>
        <a:xfrm>
          <a:off x="76034154" y="10027023"/>
          <a:ext cx="304800" cy="17032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90</xdr:col>
      <xdr:colOff>277906</xdr:colOff>
      <xdr:row>56</xdr:row>
      <xdr:rowOff>80682</xdr:rowOff>
    </xdr:from>
    <xdr:to>
      <xdr:col>90</xdr:col>
      <xdr:colOff>502023</xdr:colOff>
      <xdr:row>58</xdr:row>
      <xdr:rowOff>17929</xdr:rowOff>
    </xdr:to>
    <xdr:sp macro="" textlink="">
      <xdr:nvSpPr>
        <xdr:cNvPr id="139" name="Flecha: doblada hacia arriba 138">
          <a:extLst>
            <a:ext uri="{FF2B5EF4-FFF2-40B4-BE49-F238E27FC236}">
              <a16:creationId xmlns:a16="http://schemas.microsoft.com/office/drawing/2014/main" id="{E2C47044-5C08-45C0-9EA7-A72DFA9A8526}"/>
            </a:ext>
          </a:extLst>
        </xdr:cNvPr>
        <xdr:cNvSpPr/>
      </xdr:nvSpPr>
      <xdr:spPr>
        <a:xfrm rot="10800000">
          <a:off x="68364847" y="10210800"/>
          <a:ext cx="224117" cy="295835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62</xdr:col>
      <xdr:colOff>277906</xdr:colOff>
      <xdr:row>45</xdr:row>
      <xdr:rowOff>143436</xdr:rowOff>
    </xdr:from>
    <xdr:to>
      <xdr:col>62</xdr:col>
      <xdr:colOff>407669</xdr:colOff>
      <xdr:row>47</xdr:row>
      <xdr:rowOff>114526</xdr:rowOff>
    </xdr:to>
    <xdr:sp macro="" textlink="">
      <xdr:nvSpPr>
        <xdr:cNvPr id="140" name="Flecha: hacia la izquierda 139">
          <a:extLst>
            <a:ext uri="{FF2B5EF4-FFF2-40B4-BE49-F238E27FC236}">
              <a16:creationId xmlns:a16="http://schemas.microsoft.com/office/drawing/2014/main" id="{B8759D60-D630-402C-A6EB-D543FE5D3500}"/>
            </a:ext>
          </a:extLst>
        </xdr:cNvPr>
        <xdr:cNvSpPr/>
      </xdr:nvSpPr>
      <xdr:spPr>
        <a:xfrm rot="5400000">
          <a:off x="46866136" y="8401276"/>
          <a:ext cx="329679" cy="12976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546846</xdr:colOff>
      <xdr:row>8</xdr:row>
      <xdr:rowOff>170329</xdr:rowOff>
    </xdr:from>
    <xdr:to>
      <xdr:col>8</xdr:col>
      <xdr:colOff>313764</xdr:colOff>
      <xdr:row>11</xdr:row>
      <xdr:rowOff>98613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CBFDE357-693C-03F8-AD25-A0611121E86F}"/>
            </a:ext>
          </a:extLst>
        </xdr:cNvPr>
        <xdr:cNvSpPr txBox="1"/>
      </xdr:nvSpPr>
      <xdr:spPr>
        <a:xfrm>
          <a:off x="5280211" y="1613647"/>
          <a:ext cx="1344706" cy="47513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</a:t>
          </a:r>
          <a:r>
            <a:rPr lang="es-MX" sz="1100" baseline="0"/>
            <a:t> General Sotenes Rocha</a:t>
          </a:r>
          <a:endParaRPr lang="es-MX" sz="1100"/>
        </a:p>
      </xdr:txBody>
    </xdr:sp>
    <xdr:clientData/>
  </xdr:twoCellAnchor>
  <xdr:twoCellAnchor>
    <xdr:from>
      <xdr:col>0</xdr:col>
      <xdr:colOff>0</xdr:colOff>
      <xdr:row>17</xdr:row>
      <xdr:rowOff>89648</xdr:rowOff>
    </xdr:from>
    <xdr:to>
      <xdr:col>1</xdr:col>
      <xdr:colOff>313765</xdr:colOff>
      <xdr:row>20</xdr:row>
      <xdr:rowOff>17932</xdr:rowOff>
    </xdr:to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EDD6079F-E6C4-4682-9762-F254AD0951EB}"/>
            </a:ext>
          </a:extLst>
        </xdr:cNvPr>
        <xdr:cNvSpPr txBox="1"/>
      </xdr:nvSpPr>
      <xdr:spPr>
        <a:xfrm>
          <a:off x="0" y="3191436"/>
          <a:ext cx="1102659" cy="47513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madero </a:t>
          </a:r>
        </a:p>
        <a:p>
          <a:pPr algn="ctr"/>
          <a:r>
            <a:rPr lang="es-MX" sz="1100"/>
            <a:t>Oriente</a:t>
          </a:r>
        </a:p>
      </xdr:txBody>
    </xdr:sp>
    <xdr:clientData/>
  </xdr:twoCellAnchor>
  <xdr:twoCellAnchor>
    <xdr:from>
      <xdr:col>3</xdr:col>
      <xdr:colOff>627530</xdr:colOff>
      <xdr:row>26</xdr:row>
      <xdr:rowOff>71719</xdr:rowOff>
    </xdr:from>
    <xdr:to>
      <xdr:col>5</xdr:col>
      <xdr:colOff>152400</xdr:colOff>
      <xdr:row>29</xdr:row>
      <xdr:rowOff>8967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325DA417-4D92-4867-ADDE-405B6F6708FE}"/>
            </a:ext>
          </a:extLst>
        </xdr:cNvPr>
        <xdr:cNvSpPr txBox="1"/>
      </xdr:nvSpPr>
      <xdr:spPr>
        <a:xfrm>
          <a:off x="2994212" y="4849907"/>
          <a:ext cx="1102659" cy="47513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Cointzio</a:t>
          </a:r>
        </a:p>
      </xdr:txBody>
    </xdr:sp>
    <xdr:clientData/>
  </xdr:twoCellAnchor>
  <xdr:twoCellAnchor>
    <xdr:from>
      <xdr:col>6</xdr:col>
      <xdr:colOff>636494</xdr:colOff>
      <xdr:row>26</xdr:row>
      <xdr:rowOff>80684</xdr:rowOff>
    </xdr:from>
    <xdr:to>
      <xdr:col>8</xdr:col>
      <xdr:colOff>161365</xdr:colOff>
      <xdr:row>29</xdr:row>
      <xdr:rowOff>17932</xdr:rowOff>
    </xdr:to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FFEEA616-4FC0-47C8-9C9B-DA49877085F6}"/>
            </a:ext>
          </a:extLst>
        </xdr:cNvPr>
        <xdr:cNvSpPr txBox="1"/>
      </xdr:nvSpPr>
      <xdr:spPr>
        <a:xfrm>
          <a:off x="5369859" y="4858872"/>
          <a:ext cx="1102659" cy="47513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</a:t>
          </a:r>
          <a:r>
            <a:rPr lang="es-MX" sz="1100" baseline="0"/>
            <a:t>. Supermo Tribunal de Ario</a:t>
          </a:r>
          <a:endParaRPr lang="es-MX" sz="1100"/>
        </a:p>
      </xdr:txBody>
    </xdr:sp>
    <xdr:clientData/>
  </xdr:twoCellAnchor>
  <xdr:twoCellAnchor>
    <xdr:from>
      <xdr:col>13</xdr:col>
      <xdr:colOff>654422</xdr:colOff>
      <xdr:row>26</xdr:row>
      <xdr:rowOff>80684</xdr:rowOff>
    </xdr:from>
    <xdr:to>
      <xdr:col>15</xdr:col>
      <xdr:colOff>179293</xdr:colOff>
      <xdr:row>29</xdr:row>
      <xdr:rowOff>17932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9428E89A-EE0D-4860-9F7B-FFC5481870B5}"/>
            </a:ext>
          </a:extLst>
        </xdr:cNvPr>
        <xdr:cNvSpPr txBox="1"/>
      </xdr:nvSpPr>
      <xdr:spPr>
        <a:xfrm>
          <a:off x="10910046" y="4858872"/>
          <a:ext cx="1102659" cy="47513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Manuela medina</a:t>
          </a:r>
        </a:p>
      </xdr:txBody>
    </xdr:sp>
    <xdr:clientData/>
  </xdr:twoCellAnchor>
  <xdr:twoCellAnchor>
    <xdr:from>
      <xdr:col>10</xdr:col>
      <xdr:colOff>493061</xdr:colOff>
      <xdr:row>8</xdr:row>
      <xdr:rowOff>170330</xdr:rowOff>
    </xdr:from>
    <xdr:to>
      <xdr:col>12</xdr:col>
      <xdr:colOff>259979</xdr:colOff>
      <xdr:row>11</xdr:row>
      <xdr:rowOff>98614</xdr:rowOff>
    </xdr:to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B26F9FB1-38F8-4C87-BA78-F221F7F001F1}"/>
            </a:ext>
          </a:extLst>
        </xdr:cNvPr>
        <xdr:cNvSpPr txBox="1"/>
      </xdr:nvSpPr>
      <xdr:spPr>
        <a:xfrm>
          <a:off x="8382002" y="1622612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</a:t>
          </a:r>
          <a:r>
            <a:rPr lang="es-MX" sz="1100" baseline="0"/>
            <a:t> Lidefonso Portugal</a:t>
          </a:r>
          <a:endParaRPr lang="es-MX" sz="1100"/>
        </a:p>
      </xdr:txBody>
    </xdr:sp>
    <xdr:clientData/>
  </xdr:twoCellAnchor>
  <xdr:twoCellAnchor>
    <xdr:from>
      <xdr:col>13</xdr:col>
      <xdr:colOff>484096</xdr:colOff>
      <xdr:row>8</xdr:row>
      <xdr:rowOff>170330</xdr:rowOff>
    </xdr:from>
    <xdr:to>
      <xdr:col>15</xdr:col>
      <xdr:colOff>251014</xdr:colOff>
      <xdr:row>11</xdr:row>
      <xdr:rowOff>98614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51ABD3D6-10ED-4C69-8C14-F0630928FA0D}"/>
            </a:ext>
          </a:extLst>
        </xdr:cNvPr>
        <xdr:cNvSpPr txBox="1"/>
      </xdr:nvSpPr>
      <xdr:spPr>
        <a:xfrm>
          <a:off x="10739720" y="1622612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</a:t>
          </a:r>
          <a:r>
            <a:rPr lang="es-MX" sz="1100" baseline="0"/>
            <a:t> Loma Dorada</a:t>
          </a:r>
          <a:endParaRPr lang="es-MX" sz="1100"/>
        </a:p>
      </xdr:txBody>
    </xdr:sp>
    <xdr:clientData/>
  </xdr:twoCellAnchor>
  <xdr:twoCellAnchor>
    <xdr:from>
      <xdr:col>16</xdr:col>
      <xdr:colOff>493062</xdr:colOff>
      <xdr:row>8</xdr:row>
      <xdr:rowOff>170328</xdr:rowOff>
    </xdr:from>
    <xdr:to>
      <xdr:col>18</xdr:col>
      <xdr:colOff>259980</xdr:colOff>
      <xdr:row>11</xdr:row>
      <xdr:rowOff>98612</xdr:rowOff>
    </xdr:to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50CBC345-FD1B-47BB-8D22-AEF4C4121B66}"/>
            </a:ext>
          </a:extLst>
        </xdr:cNvPr>
        <xdr:cNvSpPr txBox="1"/>
      </xdr:nvSpPr>
      <xdr:spPr>
        <a:xfrm>
          <a:off x="13115368" y="1622610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</a:t>
          </a:r>
          <a:r>
            <a:rPr lang="es-MX" sz="1100" baseline="0"/>
            <a:t> Lago de Zirahuen</a:t>
          </a:r>
          <a:endParaRPr lang="es-MX" sz="1100"/>
        </a:p>
      </xdr:txBody>
    </xdr:sp>
    <xdr:clientData/>
  </xdr:twoCellAnchor>
  <xdr:twoCellAnchor>
    <xdr:from>
      <xdr:col>16</xdr:col>
      <xdr:colOff>627529</xdr:colOff>
      <xdr:row>26</xdr:row>
      <xdr:rowOff>80684</xdr:rowOff>
    </xdr:from>
    <xdr:to>
      <xdr:col>18</xdr:col>
      <xdr:colOff>152400</xdr:colOff>
      <xdr:row>29</xdr:row>
      <xdr:rowOff>17932</xdr:rowOff>
    </xdr:to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5BE6EDEB-9677-427B-82F6-E24B0FF39A18}"/>
            </a:ext>
          </a:extLst>
        </xdr:cNvPr>
        <xdr:cNvSpPr txBox="1"/>
      </xdr:nvSpPr>
      <xdr:spPr>
        <a:xfrm>
          <a:off x="13249835" y="4966449"/>
          <a:ext cx="1102659" cy="47513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San</a:t>
          </a:r>
          <a:r>
            <a:rPr lang="es-MX" sz="1100" baseline="0"/>
            <a:t> Juanito Itzicuaro</a:t>
          </a:r>
          <a:endParaRPr lang="es-MX" sz="1100"/>
        </a:p>
      </xdr:txBody>
    </xdr:sp>
    <xdr:clientData/>
  </xdr:twoCellAnchor>
  <xdr:twoCellAnchor>
    <xdr:from>
      <xdr:col>20</xdr:col>
      <xdr:colOff>197227</xdr:colOff>
      <xdr:row>4</xdr:row>
      <xdr:rowOff>170328</xdr:rowOff>
    </xdr:from>
    <xdr:to>
      <xdr:col>21</xdr:col>
      <xdr:colOff>753039</xdr:colOff>
      <xdr:row>7</xdr:row>
      <xdr:rowOff>107576</xdr:rowOff>
    </xdr:to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9ECD28EC-179A-42D0-990D-B21043B0E210}"/>
            </a:ext>
          </a:extLst>
        </xdr:cNvPr>
        <xdr:cNvSpPr txBox="1"/>
      </xdr:nvSpPr>
      <xdr:spPr>
        <a:xfrm>
          <a:off x="15975109" y="887504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Glorieta Periferico Salida Quiroga</a:t>
          </a:r>
        </a:p>
      </xdr:txBody>
    </xdr:sp>
    <xdr:clientData/>
  </xdr:twoCellAnchor>
  <xdr:twoCellAnchor>
    <xdr:from>
      <xdr:col>20</xdr:col>
      <xdr:colOff>179298</xdr:colOff>
      <xdr:row>29</xdr:row>
      <xdr:rowOff>170327</xdr:rowOff>
    </xdr:from>
    <xdr:to>
      <xdr:col>21</xdr:col>
      <xdr:colOff>735110</xdr:colOff>
      <xdr:row>32</xdr:row>
      <xdr:rowOff>116541</xdr:rowOff>
    </xdr:to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F311E36D-3AB6-4238-836B-5F2A65874586}"/>
            </a:ext>
          </a:extLst>
        </xdr:cNvPr>
        <xdr:cNvSpPr txBox="1"/>
      </xdr:nvSpPr>
      <xdr:spPr>
        <a:xfrm>
          <a:off x="15957180" y="5593974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Glorieta Periferico Salida Quiroga</a:t>
          </a:r>
        </a:p>
      </xdr:txBody>
    </xdr:sp>
    <xdr:clientData/>
  </xdr:twoCellAnchor>
  <xdr:twoCellAnchor>
    <xdr:from>
      <xdr:col>24</xdr:col>
      <xdr:colOff>484098</xdr:colOff>
      <xdr:row>8</xdr:row>
      <xdr:rowOff>170327</xdr:rowOff>
    </xdr:from>
    <xdr:to>
      <xdr:col>26</xdr:col>
      <xdr:colOff>251016</xdr:colOff>
      <xdr:row>11</xdr:row>
      <xdr:rowOff>98611</xdr:rowOff>
    </xdr:to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D706D8F3-479E-418E-8698-2F7A775B8767}"/>
            </a:ext>
          </a:extLst>
        </xdr:cNvPr>
        <xdr:cNvSpPr txBox="1"/>
      </xdr:nvSpPr>
      <xdr:spPr>
        <a:xfrm>
          <a:off x="19417557" y="1622609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Martires</a:t>
          </a:r>
          <a:r>
            <a:rPr lang="es-MX" sz="1100" baseline="0"/>
            <a:t> de la Plaza</a:t>
          </a:r>
          <a:endParaRPr lang="es-MX" sz="1100"/>
        </a:p>
      </xdr:txBody>
    </xdr:sp>
    <xdr:clientData/>
  </xdr:twoCellAnchor>
  <xdr:twoCellAnchor>
    <xdr:from>
      <xdr:col>27</xdr:col>
      <xdr:colOff>609597</xdr:colOff>
      <xdr:row>26</xdr:row>
      <xdr:rowOff>80685</xdr:rowOff>
    </xdr:from>
    <xdr:to>
      <xdr:col>29</xdr:col>
      <xdr:colOff>161365</xdr:colOff>
      <xdr:row>29</xdr:row>
      <xdr:rowOff>17933</xdr:rowOff>
    </xdr:to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BEB88AC8-9E03-4CEC-ABA9-245F32C82DFE}"/>
            </a:ext>
          </a:extLst>
        </xdr:cNvPr>
        <xdr:cNvSpPr txBox="1"/>
      </xdr:nvSpPr>
      <xdr:spPr>
        <a:xfrm>
          <a:off x="21909738" y="4966450"/>
          <a:ext cx="1129556" cy="47513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Pdte. Adolfo</a:t>
          </a:r>
          <a:r>
            <a:rPr lang="es-MX" sz="1100" baseline="0"/>
            <a:t> Lopez M.</a:t>
          </a:r>
          <a:endParaRPr lang="es-MX" sz="1100"/>
        </a:p>
      </xdr:txBody>
    </xdr:sp>
    <xdr:clientData/>
  </xdr:twoCellAnchor>
  <xdr:twoCellAnchor>
    <xdr:from>
      <xdr:col>31</xdr:col>
      <xdr:colOff>591675</xdr:colOff>
      <xdr:row>3</xdr:row>
      <xdr:rowOff>107574</xdr:rowOff>
    </xdr:from>
    <xdr:to>
      <xdr:col>33</xdr:col>
      <xdr:colOff>564781</xdr:colOff>
      <xdr:row>6</xdr:row>
      <xdr:rowOff>44823</xdr:rowOff>
    </xdr:to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E161DC2B-9C9A-44B5-A805-E639B0D464EE}"/>
            </a:ext>
          </a:extLst>
        </xdr:cNvPr>
        <xdr:cNvSpPr txBox="1"/>
      </xdr:nvSpPr>
      <xdr:spPr>
        <a:xfrm>
          <a:off x="25047393" y="645456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Escuadrón</a:t>
          </a:r>
          <a:r>
            <a:rPr lang="es-MX" sz="1100" baseline="0"/>
            <a:t> 201</a:t>
          </a:r>
          <a:endParaRPr lang="es-MX" sz="1100"/>
        </a:p>
      </xdr:txBody>
    </xdr:sp>
    <xdr:clientData/>
  </xdr:twoCellAnchor>
  <xdr:twoCellAnchor>
    <xdr:from>
      <xdr:col>32</xdr:col>
      <xdr:colOff>197226</xdr:colOff>
      <xdr:row>31</xdr:row>
      <xdr:rowOff>80680</xdr:rowOff>
    </xdr:from>
    <xdr:to>
      <xdr:col>34</xdr:col>
      <xdr:colOff>331697</xdr:colOff>
      <xdr:row>34</xdr:row>
      <xdr:rowOff>26893</xdr:rowOff>
    </xdr:to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D6E6B717-0AEC-49A1-8BBB-84B46D854E14}"/>
            </a:ext>
          </a:extLst>
        </xdr:cNvPr>
        <xdr:cNvSpPr txBox="1"/>
      </xdr:nvSpPr>
      <xdr:spPr>
        <a:xfrm>
          <a:off x="25441838" y="5862915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José</a:t>
          </a:r>
          <a:r>
            <a:rPr lang="es-MX" sz="1100" baseline="0"/>
            <a:t> Maria Lino Patiño</a:t>
          </a:r>
          <a:endParaRPr lang="es-MX" sz="1100"/>
        </a:p>
      </xdr:txBody>
    </xdr:sp>
    <xdr:clientData/>
  </xdr:twoCellAnchor>
  <xdr:twoCellAnchor>
    <xdr:from>
      <xdr:col>36</xdr:col>
      <xdr:colOff>717176</xdr:colOff>
      <xdr:row>8</xdr:row>
      <xdr:rowOff>170323</xdr:rowOff>
    </xdr:from>
    <xdr:to>
      <xdr:col>39</xdr:col>
      <xdr:colOff>62752</xdr:colOff>
      <xdr:row>11</xdr:row>
      <xdr:rowOff>98607</xdr:rowOff>
    </xdr:to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B817C31D-FE50-4012-907B-5EE7A6A8F9B4}"/>
            </a:ext>
          </a:extLst>
        </xdr:cNvPr>
        <xdr:cNvSpPr txBox="1"/>
      </xdr:nvSpPr>
      <xdr:spPr>
        <a:xfrm>
          <a:off x="28749811" y="1622605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Pedregal</a:t>
          </a:r>
        </a:p>
      </xdr:txBody>
    </xdr:sp>
    <xdr:clientData/>
  </xdr:twoCellAnchor>
  <xdr:twoCellAnchor>
    <xdr:from>
      <xdr:col>40</xdr:col>
      <xdr:colOff>609593</xdr:colOff>
      <xdr:row>26</xdr:row>
      <xdr:rowOff>80684</xdr:rowOff>
    </xdr:from>
    <xdr:to>
      <xdr:col>42</xdr:col>
      <xdr:colOff>161361</xdr:colOff>
      <xdr:row>29</xdr:row>
      <xdr:rowOff>17932</xdr:rowOff>
    </xdr:to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26676A12-E8FE-4970-9FFE-53103D74135A}"/>
            </a:ext>
          </a:extLst>
        </xdr:cNvPr>
        <xdr:cNvSpPr txBox="1"/>
      </xdr:nvSpPr>
      <xdr:spPr>
        <a:xfrm>
          <a:off x="31430252" y="4966449"/>
          <a:ext cx="1129556" cy="47513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Puente de Calderón</a:t>
          </a:r>
        </a:p>
      </xdr:txBody>
    </xdr:sp>
    <xdr:clientData/>
  </xdr:twoCellAnchor>
  <xdr:twoCellAnchor>
    <xdr:from>
      <xdr:col>42</xdr:col>
      <xdr:colOff>672347</xdr:colOff>
      <xdr:row>26</xdr:row>
      <xdr:rowOff>80685</xdr:rowOff>
    </xdr:from>
    <xdr:to>
      <xdr:col>44</xdr:col>
      <xdr:colOff>224115</xdr:colOff>
      <xdr:row>29</xdr:row>
      <xdr:rowOff>17933</xdr:rowOff>
    </xdr:to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A0AECF18-2370-4896-B1A1-DAEA6C1EC321}"/>
            </a:ext>
          </a:extLst>
        </xdr:cNvPr>
        <xdr:cNvSpPr txBox="1"/>
      </xdr:nvSpPr>
      <xdr:spPr>
        <a:xfrm>
          <a:off x="33070794" y="4966450"/>
          <a:ext cx="1129556" cy="47513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Alejandro Robles</a:t>
          </a:r>
        </a:p>
      </xdr:txBody>
    </xdr:sp>
    <xdr:clientData/>
  </xdr:twoCellAnchor>
  <xdr:twoCellAnchor>
    <xdr:from>
      <xdr:col>40</xdr:col>
      <xdr:colOff>475129</xdr:colOff>
      <xdr:row>8</xdr:row>
      <xdr:rowOff>170324</xdr:rowOff>
    </xdr:from>
    <xdr:to>
      <xdr:col>42</xdr:col>
      <xdr:colOff>242047</xdr:colOff>
      <xdr:row>11</xdr:row>
      <xdr:rowOff>98608</xdr:rowOff>
    </xdr:to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1A202A3A-855D-4DFF-92AB-5CC91E9E1DBE}"/>
            </a:ext>
          </a:extLst>
        </xdr:cNvPr>
        <xdr:cNvSpPr txBox="1"/>
      </xdr:nvSpPr>
      <xdr:spPr>
        <a:xfrm>
          <a:off x="31295788" y="1622606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Puente</a:t>
          </a:r>
          <a:r>
            <a:rPr lang="es-MX" sz="1100" baseline="0"/>
            <a:t> de Calderón</a:t>
          </a:r>
          <a:endParaRPr lang="es-MX" sz="1100"/>
        </a:p>
      </xdr:txBody>
    </xdr:sp>
    <xdr:clientData/>
  </xdr:twoCellAnchor>
  <xdr:twoCellAnchor>
    <xdr:from>
      <xdr:col>42</xdr:col>
      <xdr:colOff>510988</xdr:colOff>
      <xdr:row>8</xdr:row>
      <xdr:rowOff>170322</xdr:rowOff>
    </xdr:from>
    <xdr:to>
      <xdr:col>44</xdr:col>
      <xdr:colOff>277906</xdr:colOff>
      <xdr:row>11</xdr:row>
      <xdr:rowOff>98606</xdr:rowOff>
    </xdr:to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281428B0-3647-4F38-BAA4-22BBE557EF0C}"/>
            </a:ext>
          </a:extLst>
        </xdr:cNvPr>
        <xdr:cNvSpPr txBox="1"/>
      </xdr:nvSpPr>
      <xdr:spPr>
        <a:xfrm>
          <a:off x="32909435" y="1622604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Alejandro Robles</a:t>
          </a:r>
        </a:p>
      </xdr:txBody>
    </xdr:sp>
    <xdr:clientData/>
  </xdr:twoCellAnchor>
  <xdr:twoCellAnchor>
    <xdr:from>
      <xdr:col>44</xdr:col>
      <xdr:colOff>582705</xdr:colOff>
      <xdr:row>26</xdr:row>
      <xdr:rowOff>80685</xdr:rowOff>
    </xdr:from>
    <xdr:to>
      <xdr:col>46</xdr:col>
      <xdr:colOff>134472</xdr:colOff>
      <xdr:row>29</xdr:row>
      <xdr:rowOff>17933</xdr:rowOff>
    </xdr:to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A089F008-14FB-4AA8-800D-59DD14F9AC80}"/>
            </a:ext>
          </a:extLst>
        </xdr:cNvPr>
        <xdr:cNvSpPr txBox="1"/>
      </xdr:nvSpPr>
      <xdr:spPr>
        <a:xfrm>
          <a:off x="34558940" y="4966450"/>
          <a:ext cx="1129556" cy="47513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Periodismo</a:t>
          </a:r>
        </a:p>
      </xdr:txBody>
    </xdr:sp>
    <xdr:clientData/>
  </xdr:twoCellAnchor>
  <xdr:twoCellAnchor>
    <xdr:from>
      <xdr:col>47</xdr:col>
      <xdr:colOff>484097</xdr:colOff>
      <xdr:row>8</xdr:row>
      <xdr:rowOff>170323</xdr:rowOff>
    </xdr:from>
    <xdr:to>
      <xdr:col>49</xdr:col>
      <xdr:colOff>251015</xdr:colOff>
      <xdr:row>11</xdr:row>
      <xdr:rowOff>98607</xdr:rowOff>
    </xdr:to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789A7FC1-EA2D-4B62-AF8E-BD926CA6F074}"/>
            </a:ext>
          </a:extLst>
        </xdr:cNvPr>
        <xdr:cNvSpPr txBox="1"/>
      </xdr:nvSpPr>
      <xdr:spPr>
        <a:xfrm>
          <a:off x="36827015" y="1622605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Manuela Medina</a:t>
          </a:r>
        </a:p>
      </xdr:txBody>
    </xdr:sp>
    <xdr:clientData/>
  </xdr:twoCellAnchor>
  <xdr:twoCellAnchor>
    <xdr:from>
      <xdr:col>50</xdr:col>
      <xdr:colOff>484098</xdr:colOff>
      <xdr:row>8</xdr:row>
      <xdr:rowOff>170321</xdr:rowOff>
    </xdr:from>
    <xdr:to>
      <xdr:col>52</xdr:col>
      <xdr:colOff>251016</xdr:colOff>
      <xdr:row>11</xdr:row>
      <xdr:rowOff>98605</xdr:rowOff>
    </xdr:to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57F13543-1631-4AD4-8EF2-E982BD882420}"/>
            </a:ext>
          </a:extLst>
        </xdr:cNvPr>
        <xdr:cNvSpPr txBox="1"/>
      </xdr:nvSpPr>
      <xdr:spPr>
        <a:xfrm>
          <a:off x="39193698" y="1622603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María Rodriguez</a:t>
          </a:r>
          <a:r>
            <a:rPr lang="es-MX" sz="1100" baseline="0"/>
            <a:t> del Toro</a:t>
          </a:r>
          <a:endParaRPr lang="es-MX" sz="1100"/>
        </a:p>
      </xdr:txBody>
    </xdr:sp>
    <xdr:clientData/>
  </xdr:twoCellAnchor>
  <xdr:twoCellAnchor>
    <xdr:from>
      <xdr:col>47</xdr:col>
      <xdr:colOff>502029</xdr:colOff>
      <xdr:row>26</xdr:row>
      <xdr:rowOff>64088</xdr:rowOff>
    </xdr:from>
    <xdr:to>
      <xdr:col>49</xdr:col>
      <xdr:colOff>268947</xdr:colOff>
      <xdr:row>29</xdr:row>
      <xdr:rowOff>17922</xdr:rowOff>
    </xdr:to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95CFB699-4D31-488D-994A-27F6F4F6E818}"/>
            </a:ext>
          </a:extLst>
        </xdr:cNvPr>
        <xdr:cNvSpPr txBox="1"/>
      </xdr:nvSpPr>
      <xdr:spPr>
        <a:xfrm>
          <a:off x="36844947" y="4949853"/>
          <a:ext cx="1344706" cy="49171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Jesús Solorzano Davalos</a:t>
          </a:r>
        </a:p>
      </xdr:txBody>
    </xdr:sp>
    <xdr:clientData/>
  </xdr:twoCellAnchor>
  <xdr:twoCellAnchor>
    <xdr:from>
      <xdr:col>50</xdr:col>
      <xdr:colOff>510998</xdr:colOff>
      <xdr:row>26</xdr:row>
      <xdr:rowOff>64087</xdr:rowOff>
    </xdr:from>
    <xdr:to>
      <xdr:col>52</xdr:col>
      <xdr:colOff>277916</xdr:colOff>
      <xdr:row>29</xdr:row>
      <xdr:rowOff>17921</xdr:rowOff>
    </xdr:to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359A0B48-1BD0-477E-A699-9BD9FF51BAB2}"/>
            </a:ext>
          </a:extLst>
        </xdr:cNvPr>
        <xdr:cNvSpPr txBox="1"/>
      </xdr:nvSpPr>
      <xdr:spPr>
        <a:xfrm>
          <a:off x="39220598" y="4949852"/>
          <a:ext cx="1344706" cy="49171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Pedro de Fuentes</a:t>
          </a:r>
        </a:p>
      </xdr:txBody>
    </xdr:sp>
    <xdr:clientData/>
  </xdr:twoCellAnchor>
  <xdr:twoCellAnchor>
    <xdr:from>
      <xdr:col>53</xdr:col>
      <xdr:colOff>744075</xdr:colOff>
      <xdr:row>25</xdr:row>
      <xdr:rowOff>89638</xdr:rowOff>
    </xdr:from>
    <xdr:to>
      <xdr:col>56</xdr:col>
      <xdr:colOff>71722</xdr:colOff>
      <xdr:row>28</xdr:row>
      <xdr:rowOff>35852</xdr:rowOff>
    </xdr:to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C6A4B56F-2C65-4DC3-AD3B-DF49E1622546}"/>
            </a:ext>
          </a:extLst>
        </xdr:cNvPr>
        <xdr:cNvSpPr txBox="1"/>
      </xdr:nvSpPr>
      <xdr:spPr>
        <a:xfrm>
          <a:off x="41820357" y="4796109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Monumeto a Lazaro Cardenas</a:t>
          </a:r>
        </a:p>
      </xdr:txBody>
    </xdr:sp>
    <xdr:clientData/>
  </xdr:twoCellAnchor>
  <xdr:twoCellAnchor>
    <xdr:from>
      <xdr:col>55</xdr:col>
      <xdr:colOff>519957</xdr:colOff>
      <xdr:row>7</xdr:row>
      <xdr:rowOff>152391</xdr:rowOff>
    </xdr:from>
    <xdr:to>
      <xdr:col>58</xdr:col>
      <xdr:colOff>26898</xdr:colOff>
      <xdr:row>10</xdr:row>
      <xdr:rowOff>80676</xdr:rowOff>
    </xdr:to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322A39FC-B993-4C48-AB20-914745F8778D}"/>
            </a:ext>
          </a:extLst>
        </xdr:cNvPr>
        <xdr:cNvSpPr txBox="1"/>
      </xdr:nvSpPr>
      <xdr:spPr>
        <a:xfrm>
          <a:off x="43003698" y="1416415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Nocupetaro</a:t>
          </a:r>
        </a:p>
      </xdr:txBody>
    </xdr:sp>
    <xdr:clientData/>
  </xdr:twoCellAnchor>
  <xdr:twoCellAnchor>
    <xdr:from>
      <xdr:col>61</xdr:col>
      <xdr:colOff>484104</xdr:colOff>
      <xdr:row>48</xdr:row>
      <xdr:rowOff>28229</xdr:rowOff>
    </xdr:from>
    <xdr:to>
      <xdr:col>63</xdr:col>
      <xdr:colOff>251022</xdr:colOff>
      <xdr:row>50</xdr:row>
      <xdr:rowOff>161356</xdr:rowOff>
    </xdr:to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CBAA722E-95CD-406C-B4BC-EEDCF4EFAB50}"/>
            </a:ext>
          </a:extLst>
        </xdr:cNvPr>
        <xdr:cNvSpPr txBox="1"/>
      </xdr:nvSpPr>
      <xdr:spPr>
        <a:xfrm>
          <a:off x="47172292" y="8858464"/>
          <a:ext cx="1344706" cy="49171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Mariano Michelena</a:t>
          </a:r>
        </a:p>
      </xdr:txBody>
    </xdr:sp>
    <xdr:clientData/>
  </xdr:twoCellAnchor>
  <xdr:twoCellAnchor>
    <xdr:from>
      <xdr:col>69</xdr:col>
      <xdr:colOff>134475</xdr:colOff>
      <xdr:row>17</xdr:row>
      <xdr:rowOff>188250</xdr:rowOff>
    </xdr:from>
    <xdr:to>
      <xdr:col>70</xdr:col>
      <xdr:colOff>690286</xdr:colOff>
      <xdr:row>20</xdr:row>
      <xdr:rowOff>17923</xdr:rowOff>
    </xdr:to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8A466AB9-7A99-480D-978F-F7D22BFD8B6C}"/>
            </a:ext>
          </a:extLst>
        </xdr:cNvPr>
        <xdr:cNvSpPr txBox="1"/>
      </xdr:nvSpPr>
      <xdr:spPr>
        <a:xfrm>
          <a:off x="52820051" y="3307968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Madero Oriente</a:t>
          </a:r>
        </a:p>
      </xdr:txBody>
    </xdr:sp>
    <xdr:clientData/>
  </xdr:twoCellAnchor>
  <xdr:twoCellAnchor>
    <xdr:from>
      <xdr:col>64</xdr:col>
      <xdr:colOff>98616</xdr:colOff>
      <xdr:row>8</xdr:row>
      <xdr:rowOff>188251</xdr:rowOff>
    </xdr:from>
    <xdr:to>
      <xdr:col>65</xdr:col>
      <xdr:colOff>654428</xdr:colOff>
      <xdr:row>11</xdr:row>
      <xdr:rowOff>116535</xdr:rowOff>
    </xdr:to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459C6B29-97A2-4174-BCE1-E73827A42E12}"/>
            </a:ext>
          </a:extLst>
        </xdr:cNvPr>
        <xdr:cNvSpPr txBox="1"/>
      </xdr:nvSpPr>
      <xdr:spPr>
        <a:xfrm>
          <a:off x="49153487" y="1640533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Santiago Tapia</a:t>
          </a:r>
        </a:p>
      </xdr:txBody>
    </xdr:sp>
    <xdr:clientData/>
  </xdr:twoCellAnchor>
  <xdr:twoCellAnchor>
    <xdr:from>
      <xdr:col>65</xdr:col>
      <xdr:colOff>708216</xdr:colOff>
      <xdr:row>4</xdr:row>
      <xdr:rowOff>188252</xdr:rowOff>
    </xdr:from>
    <xdr:to>
      <xdr:col>68</xdr:col>
      <xdr:colOff>5</xdr:colOff>
      <xdr:row>7</xdr:row>
      <xdr:rowOff>125500</xdr:rowOff>
    </xdr:to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06E945C6-7191-4A74-81A0-B642FE777E5D}"/>
            </a:ext>
          </a:extLst>
        </xdr:cNvPr>
        <xdr:cNvSpPr txBox="1"/>
      </xdr:nvSpPr>
      <xdr:spPr>
        <a:xfrm>
          <a:off x="50551981" y="905428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Francisco Zarco</a:t>
          </a:r>
        </a:p>
      </xdr:txBody>
    </xdr:sp>
    <xdr:clientData/>
  </xdr:twoCellAnchor>
  <xdr:twoCellAnchor>
    <xdr:from>
      <xdr:col>72</xdr:col>
      <xdr:colOff>493063</xdr:colOff>
      <xdr:row>3</xdr:row>
      <xdr:rowOff>125499</xdr:rowOff>
    </xdr:from>
    <xdr:to>
      <xdr:col>74</xdr:col>
      <xdr:colOff>259981</xdr:colOff>
      <xdr:row>6</xdr:row>
      <xdr:rowOff>62748</xdr:rowOff>
    </xdr:to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3C2A7178-F55E-40AE-BA88-C5E2AFDADEE7}"/>
            </a:ext>
          </a:extLst>
        </xdr:cNvPr>
        <xdr:cNvSpPr txBox="1"/>
      </xdr:nvSpPr>
      <xdr:spPr>
        <a:xfrm>
          <a:off x="55545322" y="663381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Vicente Riva Palacios</a:t>
          </a:r>
        </a:p>
      </xdr:txBody>
    </xdr:sp>
    <xdr:clientData/>
  </xdr:twoCellAnchor>
  <xdr:twoCellAnchor>
    <xdr:from>
      <xdr:col>72</xdr:col>
      <xdr:colOff>645463</xdr:colOff>
      <xdr:row>21</xdr:row>
      <xdr:rowOff>152393</xdr:rowOff>
    </xdr:from>
    <xdr:to>
      <xdr:col>74</xdr:col>
      <xdr:colOff>412381</xdr:colOff>
      <xdr:row>24</xdr:row>
      <xdr:rowOff>62748</xdr:rowOff>
    </xdr:to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66FDDB74-AA8B-409D-AF64-CE0BCFACF1B3}"/>
            </a:ext>
          </a:extLst>
        </xdr:cNvPr>
        <xdr:cNvSpPr txBox="1"/>
      </xdr:nvSpPr>
      <xdr:spPr>
        <a:xfrm>
          <a:off x="55697722" y="4105828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Vicente Riva Palacios</a:t>
          </a:r>
        </a:p>
      </xdr:txBody>
    </xdr:sp>
    <xdr:clientData/>
  </xdr:twoCellAnchor>
  <xdr:twoCellAnchor>
    <xdr:from>
      <xdr:col>78</xdr:col>
      <xdr:colOff>528922</xdr:colOff>
      <xdr:row>0</xdr:row>
      <xdr:rowOff>89640</xdr:rowOff>
    </xdr:from>
    <xdr:to>
      <xdr:col>80</xdr:col>
      <xdr:colOff>466169</xdr:colOff>
      <xdr:row>3</xdr:row>
      <xdr:rowOff>35854</xdr:rowOff>
    </xdr:to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B2416AB0-8123-4386-BA40-E4D65D133596}"/>
            </a:ext>
          </a:extLst>
        </xdr:cNvPr>
        <xdr:cNvSpPr txBox="1"/>
      </xdr:nvSpPr>
      <xdr:spPr>
        <a:xfrm>
          <a:off x="60108357" y="89640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Guadalupe</a:t>
          </a:r>
          <a:r>
            <a:rPr lang="es-MX" sz="1100" baseline="0"/>
            <a:t> Victoria</a:t>
          </a:r>
          <a:endParaRPr lang="es-MX" sz="1100"/>
        </a:p>
      </xdr:txBody>
    </xdr:sp>
    <xdr:clientData/>
  </xdr:twoCellAnchor>
  <xdr:twoCellAnchor>
    <xdr:from>
      <xdr:col>76</xdr:col>
      <xdr:colOff>753039</xdr:colOff>
      <xdr:row>16</xdr:row>
      <xdr:rowOff>8958</xdr:rowOff>
    </xdr:from>
    <xdr:to>
      <xdr:col>79</xdr:col>
      <xdr:colOff>107580</xdr:colOff>
      <xdr:row>18</xdr:row>
      <xdr:rowOff>80678</xdr:rowOff>
    </xdr:to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A939F096-4425-4EF7-8E3E-2392ABAF546C}"/>
            </a:ext>
          </a:extLst>
        </xdr:cNvPr>
        <xdr:cNvSpPr txBox="1"/>
      </xdr:nvSpPr>
      <xdr:spPr>
        <a:xfrm>
          <a:off x="58960874" y="2949382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Guadalupe</a:t>
          </a:r>
          <a:r>
            <a:rPr lang="es-MX" sz="1100" baseline="0"/>
            <a:t> Victoria</a:t>
          </a:r>
          <a:endParaRPr lang="es-MX" sz="1100"/>
        </a:p>
      </xdr:txBody>
    </xdr:sp>
    <xdr:clientData/>
  </xdr:twoCellAnchor>
  <xdr:twoCellAnchor>
    <xdr:from>
      <xdr:col>80</xdr:col>
      <xdr:colOff>475133</xdr:colOff>
      <xdr:row>3</xdr:row>
      <xdr:rowOff>98605</xdr:rowOff>
    </xdr:from>
    <xdr:to>
      <xdr:col>82</xdr:col>
      <xdr:colOff>242051</xdr:colOff>
      <xdr:row>6</xdr:row>
      <xdr:rowOff>35854</xdr:rowOff>
    </xdr:to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2142DE00-58E3-4FBA-9F98-C968E1FCA371}"/>
            </a:ext>
          </a:extLst>
        </xdr:cNvPr>
        <xdr:cNvSpPr txBox="1"/>
      </xdr:nvSpPr>
      <xdr:spPr>
        <a:xfrm>
          <a:off x="61462027" y="636487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Morelos Norte</a:t>
          </a:r>
        </a:p>
      </xdr:txBody>
    </xdr:sp>
    <xdr:clientData/>
  </xdr:twoCellAnchor>
  <xdr:twoCellAnchor>
    <xdr:from>
      <xdr:col>80</xdr:col>
      <xdr:colOff>475133</xdr:colOff>
      <xdr:row>15</xdr:row>
      <xdr:rowOff>80674</xdr:rowOff>
    </xdr:from>
    <xdr:to>
      <xdr:col>82</xdr:col>
      <xdr:colOff>242051</xdr:colOff>
      <xdr:row>17</xdr:row>
      <xdr:rowOff>197217</xdr:rowOff>
    </xdr:to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5571F4CE-13CB-4723-B7B3-B86C5368A2AA}"/>
            </a:ext>
          </a:extLst>
        </xdr:cNvPr>
        <xdr:cNvSpPr txBox="1"/>
      </xdr:nvSpPr>
      <xdr:spPr>
        <a:xfrm>
          <a:off x="61462027" y="2832839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Morelos Norte</a:t>
          </a:r>
        </a:p>
      </xdr:txBody>
    </xdr:sp>
    <xdr:clientData/>
  </xdr:twoCellAnchor>
  <xdr:twoCellAnchor>
    <xdr:from>
      <xdr:col>84</xdr:col>
      <xdr:colOff>510989</xdr:colOff>
      <xdr:row>3</xdr:row>
      <xdr:rowOff>98604</xdr:rowOff>
    </xdr:from>
    <xdr:to>
      <xdr:col>86</xdr:col>
      <xdr:colOff>277907</xdr:colOff>
      <xdr:row>6</xdr:row>
      <xdr:rowOff>35853</xdr:rowOff>
    </xdr:to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4A1240EB-3594-4C1E-BB7E-40E204164F2C}"/>
            </a:ext>
          </a:extLst>
        </xdr:cNvPr>
        <xdr:cNvSpPr txBox="1"/>
      </xdr:nvSpPr>
      <xdr:spPr>
        <a:xfrm>
          <a:off x="64653460" y="636486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Alvaro</a:t>
          </a:r>
          <a:r>
            <a:rPr lang="es-MX" sz="1100" baseline="0"/>
            <a:t> Obregón</a:t>
          </a:r>
          <a:endParaRPr lang="es-MX" sz="1100"/>
        </a:p>
      </xdr:txBody>
    </xdr:sp>
    <xdr:clientData/>
  </xdr:twoCellAnchor>
  <xdr:twoCellAnchor>
    <xdr:from>
      <xdr:col>84</xdr:col>
      <xdr:colOff>510989</xdr:colOff>
      <xdr:row>15</xdr:row>
      <xdr:rowOff>116532</xdr:rowOff>
    </xdr:from>
    <xdr:to>
      <xdr:col>86</xdr:col>
      <xdr:colOff>277907</xdr:colOff>
      <xdr:row>17</xdr:row>
      <xdr:rowOff>233075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8F2AB0F8-D011-4440-A036-A4C28D388B5B}"/>
            </a:ext>
          </a:extLst>
        </xdr:cNvPr>
        <xdr:cNvSpPr txBox="1"/>
      </xdr:nvSpPr>
      <xdr:spPr>
        <a:xfrm>
          <a:off x="64653460" y="2868697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Alvaro</a:t>
          </a:r>
          <a:r>
            <a:rPr lang="es-MX" sz="1100" baseline="0"/>
            <a:t> Obregón</a:t>
          </a:r>
          <a:endParaRPr lang="es-MX" sz="1100"/>
        </a:p>
      </xdr:txBody>
    </xdr:sp>
    <xdr:clientData/>
  </xdr:twoCellAnchor>
  <xdr:twoCellAnchor>
    <xdr:from>
      <xdr:col>87</xdr:col>
      <xdr:colOff>421342</xdr:colOff>
      <xdr:row>3</xdr:row>
      <xdr:rowOff>98604</xdr:rowOff>
    </xdr:from>
    <xdr:to>
      <xdr:col>89</xdr:col>
      <xdr:colOff>188260</xdr:colOff>
      <xdr:row>6</xdr:row>
      <xdr:rowOff>35853</xdr:rowOff>
    </xdr:to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FE241619-3141-4923-A015-5DFC5B2DA865}"/>
            </a:ext>
          </a:extLst>
        </xdr:cNvPr>
        <xdr:cNvSpPr txBox="1"/>
      </xdr:nvSpPr>
      <xdr:spPr>
        <a:xfrm>
          <a:off x="66930495" y="636486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Dr. Miguel Silva</a:t>
          </a:r>
        </a:p>
      </xdr:txBody>
    </xdr:sp>
    <xdr:clientData/>
  </xdr:twoCellAnchor>
  <xdr:twoCellAnchor>
    <xdr:from>
      <xdr:col>87</xdr:col>
      <xdr:colOff>555813</xdr:colOff>
      <xdr:row>15</xdr:row>
      <xdr:rowOff>80674</xdr:rowOff>
    </xdr:from>
    <xdr:to>
      <xdr:col>89</xdr:col>
      <xdr:colOff>322731</xdr:colOff>
      <xdr:row>17</xdr:row>
      <xdr:rowOff>197217</xdr:rowOff>
    </xdr:to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43BD8FE7-9359-428A-B98F-E1A722067AB0}"/>
            </a:ext>
          </a:extLst>
        </xdr:cNvPr>
        <xdr:cNvSpPr txBox="1"/>
      </xdr:nvSpPr>
      <xdr:spPr>
        <a:xfrm>
          <a:off x="67064966" y="2832839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Dr. Miguel Silva</a:t>
          </a:r>
        </a:p>
      </xdr:txBody>
    </xdr:sp>
    <xdr:clientData/>
  </xdr:twoCellAnchor>
  <xdr:twoCellAnchor>
    <xdr:from>
      <xdr:col>93</xdr:col>
      <xdr:colOff>179294</xdr:colOff>
      <xdr:row>14</xdr:row>
      <xdr:rowOff>44816</xdr:rowOff>
    </xdr:from>
    <xdr:to>
      <xdr:col>94</xdr:col>
      <xdr:colOff>735106</xdr:colOff>
      <xdr:row>16</xdr:row>
      <xdr:rowOff>143429</xdr:rowOff>
    </xdr:to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AA31F1BB-2C0E-437A-841C-996B9D91061F}"/>
            </a:ext>
          </a:extLst>
        </xdr:cNvPr>
        <xdr:cNvSpPr txBox="1"/>
      </xdr:nvSpPr>
      <xdr:spPr>
        <a:xfrm>
          <a:off x="71421812" y="2599757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Madero Poniente</a:t>
          </a:r>
        </a:p>
      </xdr:txBody>
    </xdr:sp>
    <xdr:clientData/>
  </xdr:twoCellAnchor>
  <xdr:twoCellAnchor>
    <xdr:from>
      <xdr:col>101</xdr:col>
      <xdr:colOff>80683</xdr:colOff>
      <xdr:row>3</xdr:row>
      <xdr:rowOff>53780</xdr:rowOff>
    </xdr:from>
    <xdr:to>
      <xdr:col>102</xdr:col>
      <xdr:colOff>636495</xdr:colOff>
      <xdr:row>6</xdr:row>
      <xdr:rowOff>110835</xdr:rowOff>
    </xdr:to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EB217D5C-E6C3-4069-A28E-3D60C1BB9FA5}"/>
            </a:ext>
          </a:extLst>
        </xdr:cNvPr>
        <xdr:cNvSpPr txBox="1"/>
      </xdr:nvSpPr>
      <xdr:spPr>
        <a:xfrm>
          <a:off x="77250501" y="594107"/>
          <a:ext cx="1345521" cy="61123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Plan de Ayala</a:t>
          </a:r>
        </a:p>
      </xdr:txBody>
    </xdr:sp>
    <xdr:clientData/>
  </xdr:twoCellAnchor>
  <xdr:twoCellAnchor>
    <xdr:from>
      <xdr:col>101</xdr:col>
      <xdr:colOff>134471</xdr:colOff>
      <xdr:row>14</xdr:row>
      <xdr:rowOff>170322</xdr:rowOff>
    </xdr:from>
    <xdr:to>
      <xdr:col>102</xdr:col>
      <xdr:colOff>690283</xdr:colOff>
      <xdr:row>17</xdr:row>
      <xdr:rowOff>89641</xdr:rowOff>
    </xdr:to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7607FE5F-38ED-4AFE-A66B-645441089951}"/>
            </a:ext>
          </a:extLst>
        </xdr:cNvPr>
        <xdr:cNvSpPr txBox="1"/>
      </xdr:nvSpPr>
      <xdr:spPr>
        <a:xfrm>
          <a:off x="77221977" y="2725263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Tata Vasco</a:t>
          </a:r>
        </a:p>
      </xdr:txBody>
    </xdr:sp>
    <xdr:clientData/>
  </xdr:twoCellAnchor>
  <xdr:twoCellAnchor>
    <xdr:from>
      <xdr:col>103</xdr:col>
      <xdr:colOff>484095</xdr:colOff>
      <xdr:row>30</xdr:row>
      <xdr:rowOff>53780</xdr:rowOff>
    </xdr:from>
    <xdr:to>
      <xdr:col>105</xdr:col>
      <xdr:colOff>251013</xdr:colOff>
      <xdr:row>32</xdr:row>
      <xdr:rowOff>179288</xdr:rowOff>
    </xdr:to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7D0F1864-023C-45CB-98F2-897D8E1B9756}"/>
            </a:ext>
          </a:extLst>
        </xdr:cNvPr>
        <xdr:cNvSpPr txBox="1"/>
      </xdr:nvSpPr>
      <xdr:spPr>
        <a:xfrm>
          <a:off x="79149389" y="5656721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Av. Acueducto</a:t>
          </a:r>
        </a:p>
      </xdr:txBody>
    </xdr:sp>
    <xdr:clientData/>
  </xdr:twoCellAnchor>
  <xdr:twoCellAnchor>
    <xdr:from>
      <xdr:col>105</xdr:col>
      <xdr:colOff>502024</xdr:colOff>
      <xdr:row>0</xdr:row>
      <xdr:rowOff>143427</xdr:rowOff>
    </xdr:from>
    <xdr:to>
      <xdr:col>107</xdr:col>
      <xdr:colOff>268941</xdr:colOff>
      <xdr:row>5</xdr:row>
      <xdr:rowOff>41564</xdr:rowOff>
    </xdr:to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65D0B3D8-95FB-4B8F-9E64-5F4E4EAF560A}"/>
            </a:ext>
          </a:extLst>
        </xdr:cNvPr>
        <xdr:cNvSpPr txBox="1"/>
      </xdr:nvSpPr>
      <xdr:spPr>
        <a:xfrm>
          <a:off x="80830679" y="143427"/>
          <a:ext cx="1346335" cy="81253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</a:t>
          </a:r>
          <a:r>
            <a:rPr lang="es-MX" sz="1400" baseline="0"/>
            <a:t> Periferico Salida Charo</a:t>
          </a:r>
          <a:endParaRPr lang="es-MX" sz="1400"/>
        </a:p>
      </xdr:txBody>
    </xdr:sp>
    <xdr:clientData/>
  </xdr:twoCellAnchor>
  <xdr:twoCellAnchor>
    <xdr:from>
      <xdr:col>108</xdr:col>
      <xdr:colOff>116541</xdr:colOff>
      <xdr:row>22</xdr:row>
      <xdr:rowOff>107568</xdr:rowOff>
    </xdr:from>
    <xdr:to>
      <xdr:col>110</xdr:col>
      <xdr:colOff>143435</xdr:colOff>
      <xdr:row>26</xdr:row>
      <xdr:rowOff>96982</xdr:rowOff>
    </xdr:to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E5E90CE3-3205-44BD-814E-9AF18071A820}"/>
            </a:ext>
          </a:extLst>
        </xdr:cNvPr>
        <xdr:cNvSpPr txBox="1"/>
      </xdr:nvSpPr>
      <xdr:spPr>
        <a:xfrm>
          <a:off x="82800468" y="4402477"/>
          <a:ext cx="1343076" cy="79297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</a:t>
          </a:r>
          <a:r>
            <a:rPr lang="es-MX" sz="1400" baseline="0"/>
            <a:t> Periferico Salida Charo</a:t>
          </a:r>
          <a:endParaRPr lang="es-MX" sz="1400"/>
        </a:p>
      </xdr:txBody>
    </xdr:sp>
    <xdr:clientData/>
  </xdr:twoCellAnchor>
  <xdr:twoCellAnchor>
    <xdr:from>
      <xdr:col>113</xdr:col>
      <xdr:colOff>457201</xdr:colOff>
      <xdr:row>0</xdr:row>
      <xdr:rowOff>152392</xdr:rowOff>
    </xdr:from>
    <xdr:to>
      <xdr:col>115</xdr:col>
      <xdr:colOff>224119</xdr:colOff>
      <xdr:row>3</xdr:row>
      <xdr:rowOff>152400</xdr:rowOff>
    </xdr:to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457A31DF-0DF6-44A9-AAC8-C12C8EE11503}"/>
            </a:ext>
          </a:extLst>
        </xdr:cNvPr>
        <xdr:cNvSpPr txBox="1"/>
      </xdr:nvSpPr>
      <xdr:spPr>
        <a:xfrm>
          <a:off x="86826437" y="152392"/>
          <a:ext cx="1346337" cy="54033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</a:t>
          </a:r>
          <a:r>
            <a:rPr lang="es-MX" sz="1400" baseline="0"/>
            <a:t> Nicolas Ballesteros</a:t>
          </a:r>
          <a:endParaRPr lang="es-MX" sz="1400"/>
        </a:p>
      </xdr:txBody>
    </xdr:sp>
    <xdr:clientData/>
  </xdr:twoCellAnchor>
  <xdr:twoCellAnchor>
    <xdr:from>
      <xdr:col>113</xdr:col>
      <xdr:colOff>510989</xdr:colOff>
      <xdr:row>18</xdr:row>
      <xdr:rowOff>134463</xdr:rowOff>
    </xdr:from>
    <xdr:to>
      <xdr:col>115</xdr:col>
      <xdr:colOff>277907</xdr:colOff>
      <xdr:row>21</xdr:row>
      <xdr:rowOff>17924</xdr:rowOff>
    </xdr:to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43F6BF01-8682-479E-A8F0-721609BF478D}"/>
            </a:ext>
          </a:extLst>
        </xdr:cNvPr>
        <xdr:cNvSpPr txBox="1"/>
      </xdr:nvSpPr>
      <xdr:spPr>
        <a:xfrm>
          <a:off x="86796283" y="3487263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Marcos Moriana</a:t>
          </a:r>
        </a:p>
      </xdr:txBody>
    </xdr:sp>
    <xdr:clientData/>
  </xdr:twoCellAnchor>
  <xdr:twoCellAnchor>
    <xdr:from>
      <xdr:col>122</xdr:col>
      <xdr:colOff>618565</xdr:colOff>
      <xdr:row>9</xdr:row>
      <xdr:rowOff>107578</xdr:rowOff>
    </xdr:from>
    <xdr:to>
      <xdr:col>124</xdr:col>
      <xdr:colOff>665019</xdr:colOff>
      <xdr:row>11</xdr:row>
      <xdr:rowOff>152401</xdr:rowOff>
    </xdr:to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A987635F-3DDD-4B68-B7FC-89B531301CA2}"/>
            </a:ext>
          </a:extLst>
        </xdr:cNvPr>
        <xdr:cNvSpPr txBox="1"/>
      </xdr:nvSpPr>
      <xdr:spPr>
        <a:xfrm>
          <a:off x="94095183" y="1770123"/>
          <a:ext cx="1625872" cy="4188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1400"/>
            <a:t>Ciudad Salud</a:t>
          </a:r>
        </a:p>
      </xdr:txBody>
    </xdr:sp>
    <xdr:clientData/>
  </xdr:twoCellAnchor>
  <xdr:twoCellAnchor>
    <xdr:from>
      <xdr:col>96</xdr:col>
      <xdr:colOff>80684</xdr:colOff>
      <xdr:row>49</xdr:row>
      <xdr:rowOff>143427</xdr:rowOff>
    </xdr:from>
    <xdr:to>
      <xdr:col>97</xdr:col>
      <xdr:colOff>636496</xdr:colOff>
      <xdr:row>52</xdr:row>
      <xdr:rowOff>89640</xdr:rowOff>
    </xdr:to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B4D14770-F733-4414-9074-A01E4E3BA9A7}"/>
            </a:ext>
          </a:extLst>
        </xdr:cNvPr>
        <xdr:cNvSpPr txBox="1"/>
      </xdr:nvSpPr>
      <xdr:spPr>
        <a:xfrm>
          <a:off x="73689884" y="9152956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Rafael Carrillo</a:t>
          </a:r>
        </a:p>
      </xdr:txBody>
    </xdr:sp>
    <xdr:clientData/>
  </xdr:twoCellAnchor>
  <xdr:twoCellAnchor>
    <xdr:from>
      <xdr:col>98</xdr:col>
      <xdr:colOff>690285</xdr:colOff>
      <xdr:row>62</xdr:row>
      <xdr:rowOff>44814</xdr:rowOff>
    </xdr:from>
    <xdr:to>
      <xdr:col>101</xdr:col>
      <xdr:colOff>134473</xdr:colOff>
      <xdr:row>66</xdr:row>
      <xdr:rowOff>41563</xdr:rowOff>
    </xdr:to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0DE83764-EC06-481D-89D3-6F696CE588D7}"/>
            </a:ext>
          </a:extLst>
        </xdr:cNvPr>
        <xdr:cNvSpPr txBox="1"/>
      </xdr:nvSpPr>
      <xdr:spPr>
        <a:xfrm>
          <a:off x="75962030" y="11627214"/>
          <a:ext cx="1342261" cy="71718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Ventura Puente</a:t>
          </a:r>
        </a:p>
      </xdr:txBody>
    </xdr:sp>
    <xdr:clientData/>
  </xdr:twoCellAnchor>
  <xdr:twoCellAnchor>
    <xdr:from>
      <xdr:col>101</xdr:col>
      <xdr:colOff>286872</xdr:colOff>
      <xdr:row>53</xdr:row>
      <xdr:rowOff>107568</xdr:rowOff>
    </xdr:from>
    <xdr:to>
      <xdr:col>103</xdr:col>
      <xdr:colOff>53790</xdr:colOff>
      <xdr:row>56</xdr:row>
      <xdr:rowOff>53782</xdr:rowOff>
    </xdr:to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6606DA7B-1CBF-47B7-908E-147DF9BA8FDF}"/>
            </a:ext>
          </a:extLst>
        </xdr:cNvPr>
        <xdr:cNvSpPr txBox="1"/>
      </xdr:nvSpPr>
      <xdr:spPr>
        <a:xfrm>
          <a:off x="77374378" y="9834274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Mariano Monterde</a:t>
          </a:r>
        </a:p>
      </xdr:txBody>
    </xdr:sp>
    <xdr:clientData/>
  </xdr:twoCellAnchor>
  <xdr:twoCellAnchor>
    <xdr:from>
      <xdr:col>91</xdr:col>
      <xdr:colOff>188261</xdr:colOff>
      <xdr:row>42</xdr:row>
      <xdr:rowOff>107567</xdr:rowOff>
    </xdr:from>
    <xdr:to>
      <xdr:col>92</xdr:col>
      <xdr:colOff>744072</xdr:colOff>
      <xdr:row>45</xdr:row>
      <xdr:rowOff>53781</xdr:rowOff>
    </xdr:to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4B6C9D10-6B92-4ADF-BDAA-DA00CE271704}"/>
            </a:ext>
          </a:extLst>
        </xdr:cNvPr>
        <xdr:cNvSpPr txBox="1"/>
      </xdr:nvSpPr>
      <xdr:spPr>
        <a:xfrm>
          <a:off x="69852990" y="7862038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Antonio Alzate</a:t>
          </a:r>
        </a:p>
      </xdr:txBody>
    </xdr:sp>
    <xdr:clientData/>
  </xdr:twoCellAnchor>
  <xdr:twoCellAnchor>
    <xdr:from>
      <xdr:col>86</xdr:col>
      <xdr:colOff>510990</xdr:colOff>
      <xdr:row>35</xdr:row>
      <xdr:rowOff>161356</xdr:rowOff>
    </xdr:from>
    <xdr:to>
      <xdr:col>88</xdr:col>
      <xdr:colOff>277908</xdr:colOff>
      <xdr:row>38</xdr:row>
      <xdr:rowOff>107570</xdr:rowOff>
    </xdr:to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89C05D0F-5041-4867-B089-EA06F8DC4D98}"/>
            </a:ext>
          </a:extLst>
        </xdr:cNvPr>
        <xdr:cNvSpPr txBox="1"/>
      </xdr:nvSpPr>
      <xdr:spPr>
        <a:xfrm>
          <a:off x="66231249" y="6660768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Isidro</a:t>
          </a:r>
          <a:r>
            <a:rPr lang="es-MX" sz="1100" baseline="0"/>
            <a:t> Huarte</a:t>
          </a:r>
          <a:endParaRPr lang="es-MX" sz="1100"/>
        </a:p>
      </xdr:txBody>
    </xdr:sp>
    <xdr:clientData/>
  </xdr:twoCellAnchor>
  <xdr:twoCellAnchor>
    <xdr:from>
      <xdr:col>86</xdr:col>
      <xdr:colOff>537884</xdr:colOff>
      <xdr:row>50</xdr:row>
      <xdr:rowOff>80673</xdr:rowOff>
    </xdr:from>
    <xdr:to>
      <xdr:col>88</xdr:col>
      <xdr:colOff>304802</xdr:colOff>
      <xdr:row>53</xdr:row>
      <xdr:rowOff>26887</xdr:rowOff>
    </xdr:to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CD4CFEF1-1EA0-48DE-A8F8-88E8A5FBCF47}"/>
            </a:ext>
          </a:extLst>
        </xdr:cNvPr>
        <xdr:cNvSpPr txBox="1"/>
      </xdr:nvSpPr>
      <xdr:spPr>
        <a:xfrm>
          <a:off x="66258143" y="9269497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Isidro</a:t>
          </a:r>
          <a:r>
            <a:rPr lang="es-MX" sz="1100" baseline="0"/>
            <a:t> Huarte</a:t>
          </a:r>
          <a:endParaRPr lang="es-MX" sz="1100"/>
        </a:p>
      </xdr:txBody>
    </xdr:sp>
    <xdr:clientData/>
  </xdr:twoCellAnchor>
  <xdr:twoCellAnchor>
    <xdr:from>
      <xdr:col>72</xdr:col>
      <xdr:colOff>510988</xdr:colOff>
      <xdr:row>34</xdr:row>
      <xdr:rowOff>134470</xdr:rowOff>
    </xdr:from>
    <xdr:to>
      <xdr:col>74</xdr:col>
      <xdr:colOff>277906</xdr:colOff>
      <xdr:row>37</xdr:row>
      <xdr:rowOff>80684</xdr:rowOff>
    </xdr:to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05C5D305-0EB5-4249-A5BA-AD372E1D84AE}"/>
            </a:ext>
          </a:extLst>
        </xdr:cNvPr>
        <xdr:cNvSpPr txBox="1"/>
      </xdr:nvSpPr>
      <xdr:spPr>
        <a:xfrm>
          <a:off x="55563247" y="6454588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Andres Quintana Roo</a:t>
          </a:r>
        </a:p>
      </xdr:txBody>
    </xdr:sp>
    <xdr:clientData/>
  </xdr:twoCellAnchor>
  <xdr:twoCellAnchor>
    <xdr:from>
      <xdr:col>72</xdr:col>
      <xdr:colOff>510988</xdr:colOff>
      <xdr:row>49</xdr:row>
      <xdr:rowOff>161365</xdr:rowOff>
    </xdr:from>
    <xdr:to>
      <xdr:col>74</xdr:col>
      <xdr:colOff>277906</xdr:colOff>
      <xdr:row>52</xdr:row>
      <xdr:rowOff>107578</xdr:rowOff>
    </xdr:to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8C1B0FA5-FDE0-469B-AA73-D7023FC09CB7}"/>
            </a:ext>
          </a:extLst>
        </xdr:cNvPr>
        <xdr:cNvSpPr txBox="1"/>
      </xdr:nvSpPr>
      <xdr:spPr>
        <a:xfrm>
          <a:off x="55563247" y="9170894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Andres Quintana Roo</a:t>
          </a:r>
        </a:p>
      </xdr:txBody>
    </xdr:sp>
    <xdr:clientData/>
  </xdr:twoCellAnchor>
  <xdr:twoCellAnchor>
    <xdr:from>
      <xdr:col>69</xdr:col>
      <xdr:colOff>672354</xdr:colOff>
      <xdr:row>39</xdr:row>
      <xdr:rowOff>17930</xdr:rowOff>
    </xdr:from>
    <xdr:to>
      <xdr:col>71</xdr:col>
      <xdr:colOff>439271</xdr:colOff>
      <xdr:row>41</xdr:row>
      <xdr:rowOff>143438</xdr:rowOff>
    </xdr:to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1B78AB5F-DDD4-465E-8D3D-899CD964F9C4}"/>
            </a:ext>
          </a:extLst>
        </xdr:cNvPr>
        <xdr:cNvSpPr txBox="1"/>
      </xdr:nvSpPr>
      <xdr:spPr>
        <a:xfrm>
          <a:off x="53357930" y="7234518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Corrregidora</a:t>
          </a:r>
        </a:p>
      </xdr:txBody>
    </xdr:sp>
    <xdr:clientData/>
  </xdr:twoCellAnchor>
  <xdr:twoCellAnchor>
    <xdr:from>
      <xdr:col>66</xdr:col>
      <xdr:colOff>251013</xdr:colOff>
      <xdr:row>30</xdr:row>
      <xdr:rowOff>107577</xdr:rowOff>
    </xdr:from>
    <xdr:to>
      <xdr:col>68</xdr:col>
      <xdr:colOff>331696</xdr:colOff>
      <xdr:row>33</xdr:row>
      <xdr:rowOff>53790</xdr:rowOff>
    </xdr:to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F95B37DA-EA7E-4B8F-A81C-5A8379B6C11E}"/>
            </a:ext>
          </a:extLst>
        </xdr:cNvPr>
        <xdr:cNvSpPr txBox="1"/>
      </xdr:nvSpPr>
      <xdr:spPr>
        <a:xfrm>
          <a:off x="50883672" y="5710518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Cuautla</a:t>
          </a:r>
        </a:p>
      </xdr:txBody>
    </xdr:sp>
    <xdr:clientData/>
  </xdr:twoCellAnchor>
  <xdr:twoCellAnchor>
    <xdr:from>
      <xdr:col>66</xdr:col>
      <xdr:colOff>313765</xdr:colOff>
      <xdr:row>54</xdr:row>
      <xdr:rowOff>62753</xdr:rowOff>
    </xdr:from>
    <xdr:to>
      <xdr:col>68</xdr:col>
      <xdr:colOff>394448</xdr:colOff>
      <xdr:row>57</xdr:row>
      <xdr:rowOff>8967</xdr:rowOff>
    </xdr:to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20760847-3362-49AE-A8BB-A5C5B097AD61}"/>
            </a:ext>
          </a:extLst>
        </xdr:cNvPr>
        <xdr:cNvSpPr txBox="1"/>
      </xdr:nvSpPr>
      <xdr:spPr>
        <a:xfrm>
          <a:off x="50946424" y="9968753"/>
          <a:ext cx="1344706" cy="4840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Calle Cuautla</a:t>
          </a:r>
        </a:p>
      </xdr:txBody>
    </xdr:sp>
    <xdr:clientData/>
  </xdr:twoCellAnchor>
  <xdr:twoCellAnchor>
    <xdr:from>
      <xdr:col>6</xdr:col>
      <xdr:colOff>546846</xdr:colOff>
      <xdr:row>6</xdr:row>
      <xdr:rowOff>55418</xdr:rowOff>
    </xdr:from>
    <xdr:to>
      <xdr:col>8</xdr:col>
      <xdr:colOff>313764</xdr:colOff>
      <xdr:row>11</xdr:row>
      <xdr:rowOff>84758</xdr:rowOff>
    </xdr:to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B33B1596-D75D-6804-C28E-87D445A3793A}"/>
            </a:ext>
          </a:extLst>
        </xdr:cNvPr>
        <xdr:cNvSpPr txBox="1"/>
      </xdr:nvSpPr>
      <xdr:spPr>
        <a:xfrm>
          <a:off x="5285101" y="1149927"/>
          <a:ext cx="1346336" cy="97144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General Sotenes Rocha</a:t>
          </a:r>
          <a:endParaRPr lang="es-MX" sz="1400"/>
        </a:p>
      </xdr:txBody>
    </xdr:sp>
    <xdr:clientData/>
  </xdr:twoCellAnchor>
  <xdr:twoCellAnchor>
    <xdr:from>
      <xdr:col>0</xdr:col>
      <xdr:colOff>0</xdr:colOff>
      <xdr:row>17</xdr:row>
      <xdr:rowOff>75793</xdr:rowOff>
    </xdr:from>
    <xdr:to>
      <xdr:col>1</xdr:col>
      <xdr:colOff>313765</xdr:colOff>
      <xdr:row>20</xdr:row>
      <xdr:rowOff>4077</xdr:rowOff>
    </xdr:to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411B3A54-4AEF-EE7B-6D06-478A21E136AA}"/>
            </a:ext>
          </a:extLst>
        </xdr:cNvPr>
        <xdr:cNvSpPr txBox="1"/>
      </xdr:nvSpPr>
      <xdr:spPr>
        <a:xfrm>
          <a:off x="0" y="3234629"/>
          <a:ext cx="1103474" cy="59330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</a:t>
          </a:r>
        </a:p>
        <a:p>
          <a:pPr algn="ctr"/>
          <a:r>
            <a:rPr lang="es-MX" sz="1400"/>
            <a:t>Oriente</a:t>
          </a:r>
        </a:p>
      </xdr:txBody>
    </xdr:sp>
    <xdr:clientData/>
  </xdr:twoCellAnchor>
  <xdr:twoCellAnchor>
    <xdr:from>
      <xdr:col>3</xdr:col>
      <xdr:colOff>627530</xdr:colOff>
      <xdr:row>26</xdr:row>
      <xdr:rowOff>57864</xdr:rowOff>
    </xdr:from>
    <xdr:to>
      <xdr:col>5</xdr:col>
      <xdr:colOff>152400</xdr:colOff>
      <xdr:row>28</xdr:row>
      <xdr:rowOff>175221</xdr:rowOff>
    </xdr:to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8BC672DA-70A8-6131-1396-AE6BDBFCBD16}"/>
            </a:ext>
          </a:extLst>
        </xdr:cNvPr>
        <xdr:cNvSpPr txBox="1"/>
      </xdr:nvSpPr>
      <xdr:spPr>
        <a:xfrm>
          <a:off x="2996657" y="5156337"/>
          <a:ext cx="1104288" cy="47757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Cointzio</a:t>
          </a:r>
        </a:p>
      </xdr:txBody>
    </xdr:sp>
    <xdr:clientData/>
  </xdr:twoCellAnchor>
  <xdr:twoCellAnchor>
    <xdr:from>
      <xdr:col>6</xdr:col>
      <xdr:colOff>636494</xdr:colOff>
      <xdr:row>26</xdr:row>
      <xdr:rowOff>66829</xdr:rowOff>
    </xdr:from>
    <xdr:to>
      <xdr:col>8</xdr:col>
      <xdr:colOff>161365</xdr:colOff>
      <xdr:row>32</xdr:row>
      <xdr:rowOff>13855</xdr:rowOff>
    </xdr:to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440300B2-FA0D-C216-1C88-508B6DCB11A8}"/>
            </a:ext>
          </a:extLst>
        </xdr:cNvPr>
        <xdr:cNvSpPr txBox="1"/>
      </xdr:nvSpPr>
      <xdr:spPr>
        <a:xfrm>
          <a:off x="5374749" y="5165302"/>
          <a:ext cx="1104289" cy="102768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</a:t>
          </a:r>
          <a:r>
            <a:rPr lang="es-MX" sz="1400" baseline="0"/>
            <a:t>. Supermo Tribunal de Ario</a:t>
          </a:r>
          <a:endParaRPr lang="es-MX" sz="1400"/>
        </a:p>
      </xdr:txBody>
    </xdr:sp>
    <xdr:clientData/>
  </xdr:twoCellAnchor>
  <xdr:twoCellAnchor>
    <xdr:from>
      <xdr:col>13</xdr:col>
      <xdr:colOff>654422</xdr:colOff>
      <xdr:row>26</xdr:row>
      <xdr:rowOff>66829</xdr:rowOff>
    </xdr:from>
    <xdr:to>
      <xdr:col>15</xdr:col>
      <xdr:colOff>179293</xdr:colOff>
      <xdr:row>30</xdr:row>
      <xdr:rowOff>110836</xdr:rowOff>
    </xdr:to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7B68AE20-8BEA-F6C8-7FF8-F458F160AA2F}"/>
            </a:ext>
          </a:extLst>
        </xdr:cNvPr>
        <xdr:cNvSpPr txBox="1"/>
      </xdr:nvSpPr>
      <xdr:spPr>
        <a:xfrm>
          <a:off x="10920640" y="5165302"/>
          <a:ext cx="1104289" cy="76444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Manuela medina</a:t>
          </a:r>
        </a:p>
      </xdr:txBody>
    </xdr:sp>
    <xdr:clientData/>
  </xdr:twoCellAnchor>
  <xdr:twoCellAnchor>
    <xdr:from>
      <xdr:col>10</xdr:col>
      <xdr:colOff>493061</xdr:colOff>
      <xdr:row>7</xdr:row>
      <xdr:rowOff>138546</xdr:rowOff>
    </xdr:from>
    <xdr:to>
      <xdr:col>12</xdr:col>
      <xdr:colOff>259979</xdr:colOff>
      <xdr:row>11</xdr:row>
      <xdr:rowOff>84759</xdr:rowOff>
    </xdr:to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2D32A07C-28CC-0543-7D0B-7D7885DDB47F}"/>
            </a:ext>
          </a:extLst>
        </xdr:cNvPr>
        <xdr:cNvSpPr txBox="1"/>
      </xdr:nvSpPr>
      <xdr:spPr>
        <a:xfrm>
          <a:off x="8390152" y="1413164"/>
          <a:ext cx="1346336" cy="70821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Lidefonso Portugal</a:t>
          </a:r>
          <a:endParaRPr lang="es-MX" sz="1400"/>
        </a:p>
      </xdr:txBody>
    </xdr:sp>
    <xdr:clientData/>
  </xdr:twoCellAnchor>
  <xdr:twoCellAnchor>
    <xdr:from>
      <xdr:col>13</xdr:col>
      <xdr:colOff>484096</xdr:colOff>
      <xdr:row>7</xdr:row>
      <xdr:rowOff>124691</xdr:rowOff>
    </xdr:from>
    <xdr:to>
      <xdr:col>15</xdr:col>
      <xdr:colOff>251014</xdr:colOff>
      <xdr:row>11</xdr:row>
      <xdr:rowOff>84759</xdr:rowOff>
    </xdr:to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9CA0CA74-6EF9-A39F-A706-3E3E09BA11A5}"/>
            </a:ext>
          </a:extLst>
        </xdr:cNvPr>
        <xdr:cNvSpPr txBox="1"/>
      </xdr:nvSpPr>
      <xdr:spPr>
        <a:xfrm>
          <a:off x="10750314" y="1399309"/>
          <a:ext cx="1346336" cy="72206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Loma Dorada</a:t>
          </a:r>
          <a:endParaRPr lang="es-MX" sz="1400"/>
        </a:p>
      </xdr:txBody>
    </xdr:sp>
    <xdr:clientData/>
  </xdr:twoCellAnchor>
  <xdr:twoCellAnchor>
    <xdr:from>
      <xdr:col>16</xdr:col>
      <xdr:colOff>493062</xdr:colOff>
      <xdr:row>7</xdr:row>
      <xdr:rowOff>83127</xdr:rowOff>
    </xdr:from>
    <xdr:to>
      <xdr:col>18</xdr:col>
      <xdr:colOff>259980</xdr:colOff>
      <xdr:row>11</xdr:row>
      <xdr:rowOff>84757</xdr:rowOff>
    </xdr:to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5DAD9F5C-A691-05C5-083D-AC26581A028C}"/>
            </a:ext>
          </a:extLst>
        </xdr:cNvPr>
        <xdr:cNvSpPr txBox="1"/>
      </xdr:nvSpPr>
      <xdr:spPr>
        <a:xfrm>
          <a:off x="13128407" y="1357745"/>
          <a:ext cx="1346337" cy="76363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</a:t>
          </a:r>
          <a:r>
            <a:rPr lang="es-MX" sz="1400" baseline="0"/>
            <a:t> Lago de Zirahuen</a:t>
          </a:r>
          <a:endParaRPr lang="es-MX" sz="1400"/>
        </a:p>
      </xdr:txBody>
    </xdr:sp>
    <xdr:clientData/>
  </xdr:twoCellAnchor>
  <xdr:twoCellAnchor>
    <xdr:from>
      <xdr:col>16</xdr:col>
      <xdr:colOff>627529</xdr:colOff>
      <xdr:row>26</xdr:row>
      <xdr:rowOff>66829</xdr:rowOff>
    </xdr:from>
    <xdr:to>
      <xdr:col>18</xdr:col>
      <xdr:colOff>152400</xdr:colOff>
      <xdr:row>30</xdr:row>
      <xdr:rowOff>166255</xdr:rowOff>
    </xdr:to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FE6E9CC1-0079-C3B7-E41F-F02CEA9C85B4}"/>
            </a:ext>
          </a:extLst>
        </xdr:cNvPr>
        <xdr:cNvSpPr txBox="1"/>
      </xdr:nvSpPr>
      <xdr:spPr>
        <a:xfrm>
          <a:off x="13262874" y="5165302"/>
          <a:ext cx="1104290" cy="81986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San</a:t>
          </a:r>
          <a:r>
            <a:rPr lang="es-MX" sz="1400" baseline="0"/>
            <a:t> Juanito Itzicuaro</a:t>
          </a:r>
          <a:endParaRPr lang="es-MX" sz="1400"/>
        </a:p>
      </xdr:txBody>
    </xdr:sp>
    <xdr:clientData/>
  </xdr:twoCellAnchor>
  <xdr:twoCellAnchor>
    <xdr:from>
      <xdr:col>20</xdr:col>
      <xdr:colOff>197227</xdr:colOff>
      <xdr:row>2</xdr:row>
      <xdr:rowOff>138546</xdr:rowOff>
    </xdr:from>
    <xdr:to>
      <xdr:col>21</xdr:col>
      <xdr:colOff>753039</xdr:colOff>
      <xdr:row>7</xdr:row>
      <xdr:rowOff>93721</xdr:rowOff>
    </xdr:to>
    <xdr:sp macro="" textlink="">
      <xdr:nvSpPr>
        <xdr:cNvPr id="210" name="CuadroTexto 209">
          <a:extLst>
            <a:ext uri="{FF2B5EF4-FFF2-40B4-BE49-F238E27FC236}">
              <a16:creationId xmlns:a16="http://schemas.microsoft.com/office/drawing/2014/main" id="{750CA177-14BE-DC5D-448E-0A61E19D2B31}"/>
            </a:ext>
          </a:extLst>
        </xdr:cNvPr>
        <xdr:cNvSpPr txBox="1"/>
      </xdr:nvSpPr>
      <xdr:spPr>
        <a:xfrm>
          <a:off x="15991409" y="498764"/>
          <a:ext cx="1345521" cy="86957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 Periferico Salida Quiroga</a:t>
          </a:r>
        </a:p>
      </xdr:txBody>
    </xdr:sp>
    <xdr:clientData/>
  </xdr:twoCellAnchor>
  <xdr:twoCellAnchor>
    <xdr:from>
      <xdr:col>20</xdr:col>
      <xdr:colOff>179298</xdr:colOff>
      <xdr:row>29</xdr:row>
      <xdr:rowOff>156472</xdr:rowOff>
    </xdr:from>
    <xdr:to>
      <xdr:col>21</xdr:col>
      <xdr:colOff>735110</xdr:colOff>
      <xdr:row>34</xdr:row>
      <xdr:rowOff>124691</xdr:rowOff>
    </xdr:to>
    <xdr:sp macro="" textlink="">
      <xdr:nvSpPr>
        <xdr:cNvPr id="211" name="CuadroTexto 210">
          <a:extLst>
            <a:ext uri="{FF2B5EF4-FFF2-40B4-BE49-F238E27FC236}">
              <a16:creationId xmlns:a16="http://schemas.microsoft.com/office/drawing/2014/main" id="{84CE11D9-4C61-B7DF-4106-DCCEF3B2A259}"/>
            </a:ext>
          </a:extLst>
        </xdr:cNvPr>
        <xdr:cNvSpPr txBox="1"/>
      </xdr:nvSpPr>
      <xdr:spPr>
        <a:xfrm>
          <a:off x="15973480" y="5795272"/>
          <a:ext cx="1345521" cy="86876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Glorieta Periferico Salida Quiroga</a:t>
          </a:r>
        </a:p>
      </xdr:txBody>
    </xdr:sp>
    <xdr:clientData/>
  </xdr:twoCellAnchor>
  <xdr:twoCellAnchor>
    <xdr:from>
      <xdr:col>24</xdr:col>
      <xdr:colOff>484098</xdr:colOff>
      <xdr:row>7</xdr:row>
      <xdr:rowOff>138546</xdr:rowOff>
    </xdr:from>
    <xdr:to>
      <xdr:col>26</xdr:col>
      <xdr:colOff>251016</xdr:colOff>
      <xdr:row>11</xdr:row>
      <xdr:rowOff>84756</xdr:rowOff>
    </xdr:to>
    <xdr:sp macro="" textlink="">
      <xdr:nvSpPr>
        <xdr:cNvPr id="212" name="CuadroTexto 211">
          <a:extLst>
            <a:ext uri="{FF2B5EF4-FFF2-40B4-BE49-F238E27FC236}">
              <a16:creationId xmlns:a16="http://schemas.microsoft.com/office/drawing/2014/main" id="{BDDEBDFE-0911-F41F-1EF6-F0F427EDBC5B}"/>
            </a:ext>
          </a:extLst>
        </xdr:cNvPr>
        <xdr:cNvSpPr txBox="1"/>
      </xdr:nvSpPr>
      <xdr:spPr>
        <a:xfrm>
          <a:off x="19437116" y="1413164"/>
          <a:ext cx="1346336" cy="70821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Martires</a:t>
          </a:r>
          <a:r>
            <a:rPr lang="es-MX" sz="1400" baseline="0"/>
            <a:t> de la Plaza</a:t>
          </a:r>
          <a:endParaRPr lang="es-MX" sz="1400"/>
        </a:p>
      </xdr:txBody>
    </xdr:sp>
    <xdr:clientData/>
  </xdr:twoCellAnchor>
  <xdr:twoCellAnchor>
    <xdr:from>
      <xdr:col>27</xdr:col>
      <xdr:colOff>609597</xdr:colOff>
      <xdr:row>26</xdr:row>
      <xdr:rowOff>66830</xdr:rowOff>
    </xdr:from>
    <xdr:to>
      <xdr:col>29</xdr:col>
      <xdr:colOff>161365</xdr:colOff>
      <xdr:row>30</xdr:row>
      <xdr:rowOff>166255</xdr:rowOff>
    </xdr:to>
    <xdr:sp macro="" textlink="">
      <xdr:nvSpPr>
        <xdr:cNvPr id="213" name="CuadroTexto 212">
          <a:extLst>
            <a:ext uri="{FF2B5EF4-FFF2-40B4-BE49-F238E27FC236}">
              <a16:creationId xmlns:a16="http://schemas.microsoft.com/office/drawing/2014/main" id="{602D65FE-A784-4BB6-10B4-E0E9AB500D5E}"/>
            </a:ext>
          </a:extLst>
        </xdr:cNvPr>
        <xdr:cNvSpPr txBox="1"/>
      </xdr:nvSpPr>
      <xdr:spPr>
        <a:xfrm>
          <a:off x="21931742" y="5165303"/>
          <a:ext cx="1131187" cy="81986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Pdte. Adolfo</a:t>
          </a:r>
          <a:r>
            <a:rPr lang="es-MX" sz="1400" baseline="0"/>
            <a:t> Lopez M.</a:t>
          </a:r>
          <a:endParaRPr lang="es-MX" sz="1400"/>
        </a:p>
      </xdr:txBody>
    </xdr:sp>
    <xdr:clientData/>
  </xdr:twoCellAnchor>
  <xdr:twoCellAnchor>
    <xdr:from>
      <xdr:col>31</xdr:col>
      <xdr:colOff>591675</xdr:colOff>
      <xdr:row>2</xdr:row>
      <xdr:rowOff>166256</xdr:rowOff>
    </xdr:from>
    <xdr:to>
      <xdr:col>33</xdr:col>
      <xdr:colOff>564781</xdr:colOff>
      <xdr:row>6</xdr:row>
      <xdr:rowOff>30969</xdr:rowOff>
    </xdr:to>
    <xdr:sp macro="" textlink="">
      <xdr:nvSpPr>
        <xdr:cNvPr id="214" name="CuadroTexto 213">
          <a:extLst>
            <a:ext uri="{FF2B5EF4-FFF2-40B4-BE49-F238E27FC236}">
              <a16:creationId xmlns:a16="http://schemas.microsoft.com/office/drawing/2014/main" id="{B6935BD5-AAE2-E7E6-CF3E-58A464AF4855}"/>
            </a:ext>
          </a:extLst>
        </xdr:cNvPr>
        <xdr:cNvSpPr txBox="1"/>
      </xdr:nvSpPr>
      <xdr:spPr>
        <a:xfrm>
          <a:off x="25072657" y="526474"/>
          <a:ext cx="1344706" cy="59900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Escuadrón</a:t>
          </a:r>
          <a:r>
            <a:rPr lang="es-MX" sz="1400" baseline="0"/>
            <a:t> 201</a:t>
          </a:r>
          <a:endParaRPr lang="es-MX" sz="1400"/>
        </a:p>
      </xdr:txBody>
    </xdr:sp>
    <xdr:clientData/>
  </xdr:twoCellAnchor>
  <xdr:twoCellAnchor>
    <xdr:from>
      <xdr:col>32</xdr:col>
      <xdr:colOff>197226</xdr:colOff>
      <xdr:row>31</xdr:row>
      <xdr:rowOff>66825</xdr:rowOff>
    </xdr:from>
    <xdr:to>
      <xdr:col>34</xdr:col>
      <xdr:colOff>331697</xdr:colOff>
      <xdr:row>35</xdr:row>
      <xdr:rowOff>110836</xdr:rowOff>
    </xdr:to>
    <xdr:sp macro="" textlink="">
      <xdr:nvSpPr>
        <xdr:cNvPr id="215" name="CuadroTexto 214">
          <a:extLst>
            <a:ext uri="{FF2B5EF4-FFF2-40B4-BE49-F238E27FC236}">
              <a16:creationId xmlns:a16="http://schemas.microsoft.com/office/drawing/2014/main" id="{3BBADA82-2B29-8E3E-9BF0-0D1A87D1F4BB}"/>
            </a:ext>
          </a:extLst>
        </xdr:cNvPr>
        <xdr:cNvSpPr txBox="1"/>
      </xdr:nvSpPr>
      <xdr:spPr>
        <a:xfrm>
          <a:off x="25467917" y="6065843"/>
          <a:ext cx="1339816" cy="76444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José</a:t>
          </a:r>
          <a:r>
            <a:rPr lang="es-MX" sz="1400" baseline="0"/>
            <a:t> Maria Lino Patiño</a:t>
          </a:r>
          <a:endParaRPr lang="es-MX" sz="1400"/>
        </a:p>
      </xdr:txBody>
    </xdr:sp>
    <xdr:clientData/>
  </xdr:twoCellAnchor>
  <xdr:twoCellAnchor>
    <xdr:from>
      <xdr:col>36</xdr:col>
      <xdr:colOff>717176</xdr:colOff>
      <xdr:row>8</xdr:row>
      <xdr:rowOff>156468</xdr:rowOff>
    </xdr:from>
    <xdr:to>
      <xdr:col>39</xdr:col>
      <xdr:colOff>62752</xdr:colOff>
      <xdr:row>11</xdr:row>
      <xdr:rowOff>84752</xdr:rowOff>
    </xdr:to>
    <xdr:sp macro="" textlink="">
      <xdr:nvSpPr>
        <xdr:cNvPr id="216" name="CuadroTexto 215">
          <a:extLst>
            <a:ext uri="{FF2B5EF4-FFF2-40B4-BE49-F238E27FC236}">
              <a16:creationId xmlns:a16="http://schemas.microsoft.com/office/drawing/2014/main" id="{FC083856-8205-BA9A-FB9E-9D82C1B6D732}"/>
            </a:ext>
          </a:extLst>
        </xdr:cNvPr>
        <xdr:cNvSpPr txBox="1"/>
      </xdr:nvSpPr>
      <xdr:spPr>
        <a:xfrm>
          <a:off x="28772631" y="1625050"/>
          <a:ext cx="1354485" cy="49632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Pedregal</a:t>
          </a:r>
        </a:p>
      </xdr:txBody>
    </xdr:sp>
    <xdr:clientData/>
  </xdr:twoCellAnchor>
  <xdr:twoCellAnchor>
    <xdr:from>
      <xdr:col>40</xdr:col>
      <xdr:colOff>609593</xdr:colOff>
      <xdr:row>26</xdr:row>
      <xdr:rowOff>66829</xdr:rowOff>
    </xdr:from>
    <xdr:to>
      <xdr:col>42</xdr:col>
      <xdr:colOff>161361</xdr:colOff>
      <xdr:row>30</xdr:row>
      <xdr:rowOff>41564</xdr:rowOff>
    </xdr:to>
    <xdr:sp macro="" textlink="">
      <xdr:nvSpPr>
        <xdr:cNvPr id="217" name="CuadroTexto 216">
          <a:extLst>
            <a:ext uri="{FF2B5EF4-FFF2-40B4-BE49-F238E27FC236}">
              <a16:creationId xmlns:a16="http://schemas.microsoft.com/office/drawing/2014/main" id="{47905C80-159F-87E3-8416-38DAFCC0274A}"/>
            </a:ext>
          </a:extLst>
        </xdr:cNvPr>
        <xdr:cNvSpPr txBox="1"/>
      </xdr:nvSpPr>
      <xdr:spPr>
        <a:xfrm>
          <a:off x="31463666" y="5165302"/>
          <a:ext cx="1131186" cy="695171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Puente de Calderón</a:t>
          </a:r>
        </a:p>
      </xdr:txBody>
    </xdr:sp>
    <xdr:clientData/>
  </xdr:twoCellAnchor>
  <xdr:twoCellAnchor>
    <xdr:from>
      <xdr:col>42</xdr:col>
      <xdr:colOff>658492</xdr:colOff>
      <xdr:row>26</xdr:row>
      <xdr:rowOff>66829</xdr:rowOff>
    </xdr:from>
    <xdr:to>
      <xdr:col>44</xdr:col>
      <xdr:colOff>210260</xdr:colOff>
      <xdr:row>30</xdr:row>
      <xdr:rowOff>180108</xdr:rowOff>
    </xdr:to>
    <xdr:sp macro="" textlink="">
      <xdr:nvSpPr>
        <xdr:cNvPr id="218" name="CuadroTexto 217">
          <a:extLst>
            <a:ext uri="{FF2B5EF4-FFF2-40B4-BE49-F238E27FC236}">
              <a16:creationId xmlns:a16="http://schemas.microsoft.com/office/drawing/2014/main" id="{8EB7DA46-6994-CEF8-86C3-52F65162E05C}"/>
            </a:ext>
          </a:extLst>
        </xdr:cNvPr>
        <xdr:cNvSpPr txBox="1"/>
      </xdr:nvSpPr>
      <xdr:spPr>
        <a:xfrm>
          <a:off x="33091983" y="5165302"/>
          <a:ext cx="1131186" cy="83371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Alejandro Robles</a:t>
          </a:r>
        </a:p>
      </xdr:txBody>
    </xdr:sp>
    <xdr:clientData/>
  </xdr:twoCellAnchor>
  <xdr:twoCellAnchor>
    <xdr:from>
      <xdr:col>40</xdr:col>
      <xdr:colOff>475129</xdr:colOff>
      <xdr:row>7</xdr:row>
      <xdr:rowOff>124691</xdr:rowOff>
    </xdr:from>
    <xdr:to>
      <xdr:col>42</xdr:col>
      <xdr:colOff>242047</xdr:colOff>
      <xdr:row>11</xdr:row>
      <xdr:rowOff>84753</xdr:rowOff>
    </xdr:to>
    <xdr:sp macro="" textlink="">
      <xdr:nvSpPr>
        <xdr:cNvPr id="219" name="CuadroTexto 218">
          <a:extLst>
            <a:ext uri="{FF2B5EF4-FFF2-40B4-BE49-F238E27FC236}">
              <a16:creationId xmlns:a16="http://schemas.microsoft.com/office/drawing/2014/main" id="{2EB48862-F8B3-D104-6884-CF8C0882A2CE}"/>
            </a:ext>
          </a:extLst>
        </xdr:cNvPr>
        <xdr:cNvSpPr txBox="1"/>
      </xdr:nvSpPr>
      <xdr:spPr>
        <a:xfrm>
          <a:off x="31329202" y="1399309"/>
          <a:ext cx="1346336" cy="72206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Puente</a:t>
          </a:r>
          <a:r>
            <a:rPr lang="es-MX" sz="1400" baseline="0"/>
            <a:t> de Calderón</a:t>
          </a:r>
          <a:endParaRPr lang="es-MX" sz="1400"/>
        </a:p>
      </xdr:txBody>
    </xdr:sp>
    <xdr:clientData/>
  </xdr:twoCellAnchor>
  <xdr:twoCellAnchor>
    <xdr:from>
      <xdr:col>42</xdr:col>
      <xdr:colOff>510988</xdr:colOff>
      <xdr:row>8</xdr:row>
      <xdr:rowOff>0</xdr:rowOff>
    </xdr:from>
    <xdr:to>
      <xdr:col>44</xdr:col>
      <xdr:colOff>277906</xdr:colOff>
      <xdr:row>11</xdr:row>
      <xdr:rowOff>84751</xdr:rowOff>
    </xdr:to>
    <xdr:sp macro="" textlink="">
      <xdr:nvSpPr>
        <xdr:cNvPr id="220" name="CuadroTexto 219">
          <a:extLst>
            <a:ext uri="{FF2B5EF4-FFF2-40B4-BE49-F238E27FC236}">
              <a16:creationId xmlns:a16="http://schemas.microsoft.com/office/drawing/2014/main" id="{DBC4FCB8-57E1-C1C5-AD53-AFF8E2C7BFA0}"/>
            </a:ext>
          </a:extLst>
        </xdr:cNvPr>
        <xdr:cNvSpPr txBox="1"/>
      </xdr:nvSpPr>
      <xdr:spPr>
        <a:xfrm>
          <a:off x="32944479" y="1468582"/>
          <a:ext cx="1346336" cy="65278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Alejandro Robles</a:t>
          </a:r>
        </a:p>
      </xdr:txBody>
    </xdr:sp>
    <xdr:clientData/>
  </xdr:twoCellAnchor>
  <xdr:twoCellAnchor>
    <xdr:from>
      <xdr:col>44</xdr:col>
      <xdr:colOff>582705</xdr:colOff>
      <xdr:row>26</xdr:row>
      <xdr:rowOff>66830</xdr:rowOff>
    </xdr:from>
    <xdr:to>
      <xdr:col>46</xdr:col>
      <xdr:colOff>134472</xdr:colOff>
      <xdr:row>30</xdr:row>
      <xdr:rowOff>110836</xdr:rowOff>
    </xdr:to>
    <xdr:sp macro="" textlink="">
      <xdr:nvSpPr>
        <xdr:cNvPr id="221" name="CuadroTexto 220">
          <a:extLst>
            <a:ext uri="{FF2B5EF4-FFF2-40B4-BE49-F238E27FC236}">
              <a16:creationId xmlns:a16="http://schemas.microsoft.com/office/drawing/2014/main" id="{9A22B143-D39B-F2B3-4365-F090CA139164}"/>
            </a:ext>
          </a:extLst>
        </xdr:cNvPr>
        <xdr:cNvSpPr txBox="1"/>
      </xdr:nvSpPr>
      <xdr:spPr>
        <a:xfrm>
          <a:off x="34595614" y="5165303"/>
          <a:ext cx="1131185" cy="76444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Periodismo</a:t>
          </a:r>
        </a:p>
      </xdr:txBody>
    </xdr:sp>
    <xdr:clientData/>
  </xdr:twoCellAnchor>
  <xdr:twoCellAnchor>
    <xdr:from>
      <xdr:col>47</xdr:col>
      <xdr:colOff>484097</xdr:colOff>
      <xdr:row>8</xdr:row>
      <xdr:rowOff>41563</xdr:rowOff>
    </xdr:from>
    <xdr:to>
      <xdr:col>49</xdr:col>
      <xdr:colOff>251015</xdr:colOff>
      <xdr:row>11</xdr:row>
      <xdr:rowOff>84752</xdr:rowOff>
    </xdr:to>
    <xdr:sp macro="" textlink="">
      <xdr:nvSpPr>
        <xdr:cNvPr id="222" name="CuadroTexto 221">
          <a:extLst>
            <a:ext uri="{FF2B5EF4-FFF2-40B4-BE49-F238E27FC236}">
              <a16:creationId xmlns:a16="http://schemas.microsoft.com/office/drawing/2014/main" id="{0D838535-C67B-6447-020A-06D7349E543E}"/>
            </a:ext>
          </a:extLst>
        </xdr:cNvPr>
        <xdr:cNvSpPr txBox="1"/>
      </xdr:nvSpPr>
      <xdr:spPr>
        <a:xfrm>
          <a:off x="36866133" y="1510145"/>
          <a:ext cx="1346337" cy="611225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Manuela Medina</a:t>
          </a:r>
        </a:p>
      </xdr:txBody>
    </xdr:sp>
    <xdr:clientData/>
  </xdr:twoCellAnchor>
  <xdr:twoCellAnchor>
    <xdr:from>
      <xdr:col>50</xdr:col>
      <xdr:colOff>484098</xdr:colOff>
      <xdr:row>7</xdr:row>
      <xdr:rowOff>83127</xdr:rowOff>
    </xdr:from>
    <xdr:to>
      <xdr:col>52</xdr:col>
      <xdr:colOff>251016</xdr:colOff>
      <xdr:row>11</xdr:row>
      <xdr:rowOff>84750</xdr:rowOff>
    </xdr:to>
    <xdr:sp macro="" textlink="">
      <xdr:nvSpPr>
        <xdr:cNvPr id="223" name="CuadroTexto 222">
          <a:extLst>
            <a:ext uri="{FF2B5EF4-FFF2-40B4-BE49-F238E27FC236}">
              <a16:creationId xmlns:a16="http://schemas.microsoft.com/office/drawing/2014/main" id="{BA6384A8-423F-5299-6AA3-EF95D39F9D28}"/>
            </a:ext>
          </a:extLst>
        </xdr:cNvPr>
        <xdr:cNvSpPr txBox="1"/>
      </xdr:nvSpPr>
      <xdr:spPr>
        <a:xfrm>
          <a:off x="39235262" y="1357745"/>
          <a:ext cx="1346336" cy="76362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María Rodriguez</a:t>
          </a:r>
          <a:r>
            <a:rPr lang="es-MX" sz="1400" baseline="0"/>
            <a:t> del Toro</a:t>
          </a:r>
          <a:endParaRPr lang="es-MX" sz="1400"/>
        </a:p>
      </xdr:txBody>
    </xdr:sp>
    <xdr:clientData/>
  </xdr:twoCellAnchor>
  <xdr:twoCellAnchor>
    <xdr:from>
      <xdr:col>47</xdr:col>
      <xdr:colOff>502029</xdr:colOff>
      <xdr:row>26</xdr:row>
      <xdr:rowOff>50233</xdr:rowOff>
    </xdr:from>
    <xdr:to>
      <xdr:col>49</xdr:col>
      <xdr:colOff>268947</xdr:colOff>
      <xdr:row>30</xdr:row>
      <xdr:rowOff>110836</xdr:rowOff>
    </xdr:to>
    <xdr:sp macro="" textlink="">
      <xdr:nvSpPr>
        <xdr:cNvPr id="224" name="CuadroTexto 223">
          <a:extLst>
            <a:ext uri="{FF2B5EF4-FFF2-40B4-BE49-F238E27FC236}">
              <a16:creationId xmlns:a16="http://schemas.microsoft.com/office/drawing/2014/main" id="{A601BCB2-86C4-3C2A-6EB2-A674456F9104}"/>
            </a:ext>
          </a:extLst>
        </xdr:cNvPr>
        <xdr:cNvSpPr txBox="1"/>
      </xdr:nvSpPr>
      <xdr:spPr>
        <a:xfrm>
          <a:off x="36884065" y="5148706"/>
          <a:ext cx="1346337" cy="78103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Jesús Solorzano Davalos</a:t>
          </a:r>
        </a:p>
      </xdr:txBody>
    </xdr:sp>
    <xdr:clientData/>
  </xdr:twoCellAnchor>
  <xdr:twoCellAnchor>
    <xdr:from>
      <xdr:col>50</xdr:col>
      <xdr:colOff>510998</xdr:colOff>
      <xdr:row>26</xdr:row>
      <xdr:rowOff>50232</xdr:rowOff>
    </xdr:from>
    <xdr:to>
      <xdr:col>52</xdr:col>
      <xdr:colOff>277916</xdr:colOff>
      <xdr:row>29</xdr:row>
      <xdr:rowOff>138545</xdr:rowOff>
    </xdr:to>
    <xdr:sp macro="" textlink="">
      <xdr:nvSpPr>
        <xdr:cNvPr id="225" name="CuadroTexto 224">
          <a:extLst>
            <a:ext uri="{FF2B5EF4-FFF2-40B4-BE49-F238E27FC236}">
              <a16:creationId xmlns:a16="http://schemas.microsoft.com/office/drawing/2014/main" id="{A5DDD80A-F569-3BC1-EC56-347E00C60263}"/>
            </a:ext>
          </a:extLst>
        </xdr:cNvPr>
        <xdr:cNvSpPr txBox="1"/>
      </xdr:nvSpPr>
      <xdr:spPr>
        <a:xfrm>
          <a:off x="39262162" y="5148705"/>
          <a:ext cx="1346336" cy="62864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Pedro de Fuentes</a:t>
          </a:r>
        </a:p>
      </xdr:txBody>
    </xdr:sp>
    <xdr:clientData/>
  </xdr:twoCellAnchor>
  <xdr:twoCellAnchor>
    <xdr:from>
      <xdr:col>53</xdr:col>
      <xdr:colOff>744075</xdr:colOff>
      <xdr:row>25</xdr:row>
      <xdr:rowOff>75783</xdr:rowOff>
    </xdr:from>
    <xdr:to>
      <xdr:col>56</xdr:col>
      <xdr:colOff>71722</xdr:colOff>
      <xdr:row>29</xdr:row>
      <xdr:rowOff>27709</xdr:rowOff>
    </xdr:to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FCA0964E-D8DB-87DD-D885-D173419880A3}"/>
            </a:ext>
          </a:extLst>
        </xdr:cNvPr>
        <xdr:cNvSpPr txBox="1"/>
      </xdr:nvSpPr>
      <xdr:spPr>
        <a:xfrm>
          <a:off x="41864366" y="4994147"/>
          <a:ext cx="1350411" cy="67236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Monumeto a Lazaro Cardenas</a:t>
          </a:r>
        </a:p>
      </xdr:txBody>
    </xdr:sp>
    <xdr:clientData/>
  </xdr:twoCellAnchor>
  <xdr:twoCellAnchor>
    <xdr:from>
      <xdr:col>55</xdr:col>
      <xdr:colOff>519957</xdr:colOff>
      <xdr:row>7</xdr:row>
      <xdr:rowOff>138536</xdr:rowOff>
    </xdr:from>
    <xdr:to>
      <xdr:col>58</xdr:col>
      <xdr:colOff>26898</xdr:colOff>
      <xdr:row>10</xdr:row>
      <xdr:rowOff>66821</xdr:rowOff>
    </xdr:to>
    <xdr:sp macro="" textlink="">
      <xdr:nvSpPr>
        <xdr:cNvPr id="227" name="CuadroTexto 226">
          <a:extLst>
            <a:ext uri="{FF2B5EF4-FFF2-40B4-BE49-F238E27FC236}">
              <a16:creationId xmlns:a16="http://schemas.microsoft.com/office/drawing/2014/main" id="{9A7F1F3F-6880-E874-7C5B-1FF9DC56A5B1}"/>
            </a:ext>
          </a:extLst>
        </xdr:cNvPr>
        <xdr:cNvSpPr txBox="1"/>
      </xdr:nvSpPr>
      <xdr:spPr>
        <a:xfrm>
          <a:off x="43053412" y="1413154"/>
          <a:ext cx="1349595" cy="49632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Nocupetaro</a:t>
          </a:r>
        </a:p>
      </xdr:txBody>
    </xdr:sp>
    <xdr:clientData/>
  </xdr:twoCellAnchor>
  <xdr:twoCellAnchor>
    <xdr:from>
      <xdr:col>61</xdr:col>
      <xdr:colOff>484104</xdr:colOff>
      <xdr:row>48</xdr:row>
      <xdr:rowOff>14374</xdr:rowOff>
    </xdr:from>
    <xdr:to>
      <xdr:col>63</xdr:col>
      <xdr:colOff>251022</xdr:colOff>
      <xdr:row>51</xdr:row>
      <xdr:rowOff>124691</xdr:rowOff>
    </xdr:to>
    <xdr:sp macro="" textlink="">
      <xdr:nvSpPr>
        <xdr:cNvPr id="228" name="CuadroTexto 227">
          <a:extLst>
            <a:ext uri="{FF2B5EF4-FFF2-40B4-BE49-F238E27FC236}">
              <a16:creationId xmlns:a16="http://schemas.microsoft.com/office/drawing/2014/main" id="{4F9BF1BF-5D16-6BAD-026E-AC165D723CB2}"/>
            </a:ext>
          </a:extLst>
        </xdr:cNvPr>
        <xdr:cNvSpPr txBox="1"/>
      </xdr:nvSpPr>
      <xdr:spPr>
        <a:xfrm>
          <a:off x="47229340" y="9075247"/>
          <a:ext cx="1346337" cy="65064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Mariano Michelena</a:t>
          </a:r>
        </a:p>
      </xdr:txBody>
    </xdr:sp>
    <xdr:clientData/>
  </xdr:twoCellAnchor>
  <xdr:twoCellAnchor>
    <xdr:from>
      <xdr:col>69</xdr:col>
      <xdr:colOff>134475</xdr:colOff>
      <xdr:row>17</xdr:row>
      <xdr:rowOff>174394</xdr:rowOff>
    </xdr:from>
    <xdr:to>
      <xdr:col>70</xdr:col>
      <xdr:colOff>690286</xdr:colOff>
      <xdr:row>20</xdr:row>
      <xdr:rowOff>138544</xdr:rowOff>
    </xdr:to>
    <xdr:sp macro="" textlink="">
      <xdr:nvSpPr>
        <xdr:cNvPr id="229" name="CuadroTexto 228">
          <a:extLst>
            <a:ext uri="{FF2B5EF4-FFF2-40B4-BE49-F238E27FC236}">
              <a16:creationId xmlns:a16="http://schemas.microsoft.com/office/drawing/2014/main" id="{3D862C2D-2B0A-E988-2DAF-B0BE707A30AA}"/>
            </a:ext>
          </a:extLst>
        </xdr:cNvPr>
        <xdr:cNvSpPr txBox="1"/>
      </xdr:nvSpPr>
      <xdr:spPr>
        <a:xfrm>
          <a:off x="52878730" y="3333230"/>
          <a:ext cx="1345520" cy="62916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Oriente</a:t>
          </a:r>
        </a:p>
      </xdr:txBody>
    </xdr:sp>
    <xdr:clientData/>
  </xdr:twoCellAnchor>
  <xdr:twoCellAnchor>
    <xdr:from>
      <xdr:col>64</xdr:col>
      <xdr:colOff>98616</xdr:colOff>
      <xdr:row>8</xdr:row>
      <xdr:rowOff>55418</xdr:rowOff>
    </xdr:from>
    <xdr:to>
      <xdr:col>65</xdr:col>
      <xdr:colOff>654428</xdr:colOff>
      <xdr:row>11</xdr:row>
      <xdr:rowOff>102680</xdr:rowOff>
    </xdr:to>
    <xdr:sp macro="" textlink="">
      <xdr:nvSpPr>
        <xdr:cNvPr id="230" name="CuadroTexto 229">
          <a:extLst>
            <a:ext uri="{FF2B5EF4-FFF2-40B4-BE49-F238E27FC236}">
              <a16:creationId xmlns:a16="http://schemas.microsoft.com/office/drawing/2014/main" id="{8D64560A-8E1B-53AC-02C8-29907D35D75D}"/>
            </a:ext>
          </a:extLst>
        </xdr:cNvPr>
        <xdr:cNvSpPr txBox="1"/>
      </xdr:nvSpPr>
      <xdr:spPr>
        <a:xfrm>
          <a:off x="49212980" y="1524000"/>
          <a:ext cx="1345521" cy="61529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Santiago Tapia</a:t>
          </a:r>
        </a:p>
      </xdr:txBody>
    </xdr:sp>
    <xdr:clientData/>
  </xdr:twoCellAnchor>
  <xdr:twoCellAnchor>
    <xdr:from>
      <xdr:col>65</xdr:col>
      <xdr:colOff>708216</xdr:colOff>
      <xdr:row>4</xdr:row>
      <xdr:rowOff>55419</xdr:rowOff>
    </xdr:from>
    <xdr:to>
      <xdr:col>68</xdr:col>
      <xdr:colOff>5</xdr:colOff>
      <xdr:row>7</xdr:row>
      <xdr:rowOff>111645</xdr:rowOff>
    </xdr:to>
    <xdr:sp macro="" textlink="">
      <xdr:nvSpPr>
        <xdr:cNvPr id="231" name="CuadroTexto 230">
          <a:extLst>
            <a:ext uri="{FF2B5EF4-FFF2-40B4-BE49-F238E27FC236}">
              <a16:creationId xmlns:a16="http://schemas.microsoft.com/office/drawing/2014/main" id="{5D32BEF4-21B8-B8FF-8C4B-BE5F6C52684E}"/>
            </a:ext>
          </a:extLst>
        </xdr:cNvPr>
        <xdr:cNvSpPr txBox="1"/>
      </xdr:nvSpPr>
      <xdr:spPr>
        <a:xfrm>
          <a:off x="50612289" y="775855"/>
          <a:ext cx="1342261" cy="61040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Francisco Zarco</a:t>
          </a:r>
        </a:p>
      </xdr:txBody>
    </xdr:sp>
    <xdr:clientData/>
  </xdr:twoCellAnchor>
  <xdr:twoCellAnchor>
    <xdr:from>
      <xdr:col>72</xdr:col>
      <xdr:colOff>493063</xdr:colOff>
      <xdr:row>2</xdr:row>
      <xdr:rowOff>110837</xdr:rowOff>
    </xdr:from>
    <xdr:to>
      <xdr:col>74</xdr:col>
      <xdr:colOff>259981</xdr:colOff>
      <xdr:row>6</xdr:row>
      <xdr:rowOff>48893</xdr:rowOff>
    </xdr:to>
    <xdr:sp macro="" textlink="">
      <xdr:nvSpPr>
        <xdr:cNvPr id="232" name="CuadroTexto 231">
          <a:extLst>
            <a:ext uri="{FF2B5EF4-FFF2-40B4-BE49-F238E27FC236}">
              <a16:creationId xmlns:a16="http://schemas.microsoft.com/office/drawing/2014/main" id="{51572251-7734-B50A-EE39-C66657477D30}"/>
            </a:ext>
          </a:extLst>
        </xdr:cNvPr>
        <xdr:cNvSpPr txBox="1"/>
      </xdr:nvSpPr>
      <xdr:spPr>
        <a:xfrm>
          <a:off x="55606445" y="471055"/>
          <a:ext cx="1346336" cy="67234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Vicente Riva Palacios</a:t>
          </a:r>
        </a:p>
      </xdr:txBody>
    </xdr:sp>
    <xdr:clientData/>
  </xdr:twoCellAnchor>
  <xdr:twoCellAnchor>
    <xdr:from>
      <xdr:col>72</xdr:col>
      <xdr:colOff>645463</xdr:colOff>
      <xdr:row>21</xdr:row>
      <xdr:rowOff>138538</xdr:rowOff>
    </xdr:from>
    <xdr:to>
      <xdr:col>74</xdr:col>
      <xdr:colOff>412381</xdr:colOff>
      <xdr:row>24</xdr:row>
      <xdr:rowOff>48893</xdr:rowOff>
    </xdr:to>
    <xdr:sp macro="" textlink="">
      <xdr:nvSpPr>
        <xdr:cNvPr id="233" name="CuadroTexto 232">
          <a:extLst>
            <a:ext uri="{FF2B5EF4-FFF2-40B4-BE49-F238E27FC236}">
              <a16:creationId xmlns:a16="http://schemas.microsoft.com/office/drawing/2014/main" id="{48019BF9-D5BE-8293-ACA0-87B87B04D2D7}"/>
            </a:ext>
          </a:extLst>
        </xdr:cNvPr>
        <xdr:cNvSpPr txBox="1"/>
      </xdr:nvSpPr>
      <xdr:spPr>
        <a:xfrm>
          <a:off x="55758845" y="4197920"/>
          <a:ext cx="1346336" cy="58922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Vicente Riva Palacios</a:t>
          </a:r>
        </a:p>
      </xdr:txBody>
    </xdr:sp>
    <xdr:clientData/>
  </xdr:twoCellAnchor>
  <xdr:twoCellAnchor>
    <xdr:from>
      <xdr:col>78</xdr:col>
      <xdr:colOff>528921</xdr:colOff>
      <xdr:row>0</xdr:row>
      <xdr:rowOff>75785</xdr:rowOff>
    </xdr:from>
    <xdr:to>
      <xdr:col>81</xdr:col>
      <xdr:colOff>13853</xdr:colOff>
      <xdr:row>4</xdr:row>
      <xdr:rowOff>69273</xdr:rowOff>
    </xdr:to>
    <xdr:sp macro="" textlink="">
      <xdr:nvSpPr>
        <xdr:cNvPr id="234" name="CuadroTexto 233">
          <a:extLst>
            <a:ext uri="{FF2B5EF4-FFF2-40B4-BE49-F238E27FC236}">
              <a16:creationId xmlns:a16="http://schemas.microsoft.com/office/drawing/2014/main" id="{AADB5C9F-5B39-4EAE-65B8-389DE9883050}"/>
            </a:ext>
          </a:extLst>
        </xdr:cNvPr>
        <xdr:cNvSpPr txBox="1"/>
      </xdr:nvSpPr>
      <xdr:spPr>
        <a:xfrm>
          <a:off x="60172739" y="75785"/>
          <a:ext cx="1687805" cy="71392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Guadalupe</a:t>
          </a:r>
          <a:r>
            <a:rPr lang="es-MX" sz="1400" baseline="0"/>
            <a:t> Victoria</a:t>
          </a:r>
          <a:endParaRPr lang="es-MX" sz="1400"/>
        </a:p>
      </xdr:txBody>
    </xdr:sp>
    <xdr:clientData/>
  </xdr:twoCellAnchor>
  <xdr:twoCellAnchor>
    <xdr:from>
      <xdr:col>76</xdr:col>
      <xdr:colOff>753039</xdr:colOff>
      <xdr:row>15</xdr:row>
      <xdr:rowOff>189066</xdr:rowOff>
    </xdr:from>
    <xdr:to>
      <xdr:col>79</xdr:col>
      <xdr:colOff>107580</xdr:colOff>
      <xdr:row>19</xdr:row>
      <xdr:rowOff>152400</xdr:rowOff>
    </xdr:to>
    <xdr:sp macro="" textlink="">
      <xdr:nvSpPr>
        <xdr:cNvPr id="235" name="CuadroTexto 234">
          <a:extLst>
            <a:ext uri="{FF2B5EF4-FFF2-40B4-BE49-F238E27FC236}">
              <a16:creationId xmlns:a16="http://schemas.microsoft.com/office/drawing/2014/main" id="{91DD423B-461A-80CD-CFEE-6FF2E599187D}"/>
            </a:ext>
          </a:extLst>
        </xdr:cNvPr>
        <xdr:cNvSpPr txBox="1"/>
      </xdr:nvSpPr>
      <xdr:spPr>
        <a:xfrm>
          <a:off x="59025257" y="2973830"/>
          <a:ext cx="1349596" cy="766897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Guadalupe</a:t>
          </a:r>
          <a:r>
            <a:rPr lang="es-MX" sz="1400" baseline="0"/>
            <a:t> Victoria</a:t>
          </a:r>
          <a:endParaRPr lang="es-MX" sz="1400"/>
        </a:p>
      </xdr:txBody>
    </xdr:sp>
    <xdr:clientData/>
  </xdr:twoCellAnchor>
  <xdr:twoCellAnchor>
    <xdr:from>
      <xdr:col>80</xdr:col>
      <xdr:colOff>475133</xdr:colOff>
      <xdr:row>3</xdr:row>
      <xdr:rowOff>84750</xdr:rowOff>
    </xdr:from>
    <xdr:to>
      <xdr:col>82</xdr:col>
      <xdr:colOff>242051</xdr:colOff>
      <xdr:row>7</xdr:row>
      <xdr:rowOff>69273</xdr:rowOff>
    </xdr:to>
    <xdr:sp macro="" textlink="">
      <xdr:nvSpPr>
        <xdr:cNvPr id="236" name="CuadroTexto 235">
          <a:extLst>
            <a:ext uri="{FF2B5EF4-FFF2-40B4-BE49-F238E27FC236}">
              <a16:creationId xmlns:a16="http://schemas.microsoft.com/office/drawing/2014/main" id="{515E81D4-73DE-B233-DE8C-6B1C2BDF3F99}"/>
            </a:ext>
          </a:extLst>
        </xdr:cNvPr>
        <xdr:cNvSpPr txBox="1"/>
      </xdr:nvSpPr>
      <xdr:spPr>
        <a:xfrm>
          <a:off x="61532115" y="625077"/>
          <a:ext cx="1346336" cy="71881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Morelos Norte</a:t>
          </a:r>
        </a:p>
      </xdr:txBody>
    </xdr:sp>
    <xdr:clientData/>
  </xdr:twoCellAnchor>
  <xdr:twoCellAnchor>
    <xdr:from>
      <xdr:col>80</xdr:col>
      <xdr:colOff>475133</xdr:colOff>
      <xdr:row>15</xdr:row>
      <xdr:rowOff>66819</xdr:rowOff>
    </xdr:from>
    <xdr:to>
      <xdr:col>82</xdr:col>
      <xdr:colOff>242051</xdr:colOff>
      <xdr:row>18</xdr:row>
      <xdr:rowOff>41563</xdr:rowOff>
    </xdr:to>
    <xdr:sp macro="" textlink="">
      <xdr:nvSpPr>
        <xdr:cNvPr id="237" name="CuadroTexto 236">
          <a:extLst>
            <a:ext uri="{FF2B5EF4-FFF2-40B4-BE49-F238E27FC236}">
              <a16:creationId xmlns:a16="http://schemas.microsoft.com/office/drawing/2014/main" id="{1AD7F2D0-3131-29A5-920E-AFBD184D220F}"/>
            </a:ext>
          </a:extLst>
        </xdr:cNvPr>
        <xdr:cNvSpPr txBox="1"/>
      </xdr:nvSpPr>
      <xdr:spPr>
        <a:xfrm>
          <a:off x="61532115" y="2851583"/>
          <a:ext cx="1346336" cy="58434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Morelos Norte</a:t>
          </a:r>
        </a:p>
      </xdr:txBody>
    </xdr:sp>
    <xdr:clientData/>
  </xdr:twoCellAnchor>
  <xdr:twoCellAnchor>
    <xdr:from>
      <xdr:col>84</xdr:col>
      <xdr:colOff>510989</xdr:colOff>
      <xdr:row>3</xdr:row>
      <xdr:rowOff>84749</xdr:rowOff>
    </xdr:from>
    <xdr:to>
      <xdr:col>86</xdr:col>
      <xdr:colOff>277907</xdr:colOff>
      <xdr:row>6</xdr:row>
      <xdr:rowOff>124691</xdr:rowOff>
    </xdr:to>
    <xdr:sp macro="" textlink="">
      <xdr:nvSpPr>
        <xdr:cNvPr id="238" name="CuadroTexto 237">
          <a:extLst>
            <a:ext uri="{FF2B5EF4-FFF2-40B4-BE49-F238E27FC236}">
              <a16:creationId xmlns:a16="http://schemas.microsoft.com/office/drawing/2014/main" id="{EFA0FC21-2BB6-5DDF-2AF7-7F6105B71DA9}"/>
            </a:ext>
          </a:extLst>
        </xdr:cNvPr>
        <xdr:cNvSpPr txBox="1"/>
      </xdr:nvSpPr>
      <xdr:spPr>
        <a:xfrm>
          <a:off x="64726807" y="625076"/>
          <a:ext cx="1346336" cy="59412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Alvaro</a:t>
          </a:r>
          <a:r>
            <a:rPr lang="es-MX" sz="1400" baseline="0"/>
            <a:t> Obregón</a:t>
          </a:r>
          <a:endParaRPr lang="es-MX" sz="1400"/>
        </a:p>
      </xdr:txBody>
    </xdr:sp>
    <xdr:clientData/>
  </xdr:twoCellAnchor>
  <xdr:twoCellAnchor>
    <xdr:from>
      <xdr:col>84</xdr:col>
      <xdr:colOff>510989</xdr:colOff>
      <xdr:row>15</xdr:row>
      <xdr:rowOff>102677</xdr:rowOff>
    </xdr:from>
    <xdr:to>
      <xdr:col>86</xdr:col>
      <xdr:colOff>277907</xdr:colOff>
      <xdr:row>18</xdr:row>
      <xdr:rowOff>124691</xdr:rowOff>
    </xdr:to>
    <xdr:sp macro="" textlink="">
      <xdr:nvSpPr>
        <xdr:cNvPr id="239" name="CuadroTexto 238">
          <a:extLst>
            <a:ext uri="{FF2B5EF4-FFF2-40B4-BE49-F238E27FC236}">
              <a16:creationId xmlns:a16="http://schemas.microsoft.com/office/drawing/2014/main" id="{95DBD42D-F52D-4198-737A-429422831A36}"/>
            </a:ext>
          </a:extLst>
        </xdr:cNvPr>
        <xdr:cNvSpPr txBox="1"/>
      </xdr:nvSpPr>
      <xdr:spPr>
        <a:xfrm>
          <a:off x="64726807" y="2887441"/>
          <a:ext cx="1346336" cy="631614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Alvaro</a:t>
          </a:r>
          <a:r>
            <a:rPr lang="es-MX" sz="1400" baseline="0"/>
            <a:t> Obregón</a:t>
          </a:r>
          <a:endParaRPr lang="es-MX" sz="1400"/>
        </a:p>
      </xdr:txBody>
    </xdr:sp>
    <xdr:clientData/>
  </xdr:twoCellAnchor>
  <xdr:twoCellAnchor>
    <xdr:from>
      <xdr:col>87</xdr:col>
      <xdr:colOff>421342</xdr:colOff>
      <xdr:row>3</xdr:row>
      <xdr:rowOff>84749</xdr:rowOff>
    </xdr:from>
    <xdr:to>
      <xdr:col>89</xdr:col>
      <xdr:colOff>188260</xdr:colOff>
      <xdr:row>6</xdr:row>
      <xdr:rowOff>152400</xdr:rowOff>
    </xdr:to>
    <xdr:sp macro="" textlink="">
      <xdr:nvSpPr>
        <xdr:cNvPr id="240" name="CuadroTexto 239">
          <a:extLst>
            <a:ext uri="{FF2B5EF4-FFF2-40B4-BE49-F238E27FC236}">
              <a16:creationId xmlns:a16="http://schemas.microsoft.com/office/drawing/2014/main" id="{26744F72-C164-5682-7363-6B4826101E21}"/>
            </a:ext>
          </a:extLst>
        </xdr:cNvPr>
        <xdr:cNvSpPr txBox="1"/>
      </xdr:nvSpPr>
      <xdr:spPr>
        <a:xfrm>
          <a:off x="67006287" y="625076"/>
          <a:ext cx="1346337" cy="62183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Dr. Miguel Silva</a:t>
          </a:r>
        </a:p>
      </xdr:txBody>
    </xdr:sp>
    <xdr:clientData/>
  </xdr:twoCellAnchor>
  <xdr:twoCellAnchor>
    <xdr:from>
      <xdr:col>87</xdr:col>
      <xdr:colOff>555813</xdr:colOff>
      <xdr:row>15</xdr:row>
      <xdr:rowOff>66819</xdr:rowOff>
    </xdr:from>
    <xdr:to>
      <xdr:col>89</xdr:col>
      <xdr:colOff>322731</xdr:colOff>
      <xdr:row>18</xdr:row>
      <xdr:rowOff>96981</xdr:rowOff>
    </xdr:to>
    <xdr:sp macro="" textlink="">
      <xdr:nvSpPr>
        <xdr:cNvPr id="241" name="CuadroTexto 240">
          <a:extLst>
            <a:ext uri="{FF2B5EF4-FFF2-40B4-BE49-F238E27FC236}">
              <a16:creationId xmlns:a16="http://schemas.microsoft.com/office/drawing/2014/main" id="{C9F12BA1-A6B9-8311-E152-763631F53922}"/>
            </a:ext>
          </a:extLst>
        </xdr:cNvPr>
        <xdr:cNvSpPr txBox="1"/>
      </xdr:nvSpPr>
      <xdr:spPr>
        <a:xfrm>
          <a:off x="67140758" y="2851583"/>
          <a:ext cx="1346337" cy="639762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Dr. Miguel Silva</a:t>
          </a:r>
        </a:p>
      </xdr:txBody>
    </xdr:sp>
    <xdr:clientData/>
  </xdr:twoCellAnchor>
  <xdr:twoCellAnchor>
    <xdr:from>
      <xdr:col>93</xdr:col>
      <xdr:colOff>179294</xdr:colOff>
      <xdr:row>14</xdr:row>
      <xdr:rowOff>30961</xdr:rowOff>
    </xdr:from>
    <xdr:to>
      <xdr:col>94</xdr:col>
      <xdr:colOff>735106</xdr:colOff>
      <xdr:row>16</xdr:row>
      <xdr:rowOff>129574</xdr:rowOff>
    </xdr:to>
    <xdr:sp macro="" textlink="">
      <xdr:nvSpPr>
        <xdr:cNvPr id="242" name="CuadroTexto 241">
          <a:extLst>
            <a:ext uri="{FF2B5EF4-FFF2-40B4-BE49-F238E27FC236}">
              <a16:creationId xmlns:a16="http://schemas.microsoft.com/office/drawing/2014/main" id="{4887CBD2-C93D-5E73-F441-E459D665638D}"/>
            </a:ext>
          </a:extLst>
        </xdr:cNvPr>
        <xdr:cNvSpPr txBox="1"/>
      </xdr:nvSpPr>
      <xdr:spPr>
        <a:xfrm>
          <a:off x="71502494" y="2621761"/>
          <a:ext cx="1345521" cy="48654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Madero Poniente</a:t>
          </a:r>
        </a:p>
      </xdr:txBody>
    </xdr:sp>
    <xdr:clientData/>
  </xdr:twoCellAnchor>
  <xdr:twoCellAnchor>
    <xdr:from>
      <xdr:col>103</xdr:col>
      <xdr:colOff>484095</xdr:colOff>
      <xdr:row>30</xdr:row>
      <xdr:rowOff>39925</xdr:rowOff>
    </xdr:from>
    <xdr:to>
      <xdr:col>105</xdr:col>
      <xdr:colOff>251013</xdr:colOff>
      <xdr:row>32</xdr:row>
      <xdr:rowOff>165433</xdr:rowOff>
    </xdr:to>
    <xdr:sp macro="" textlink="">
      <xdr:nvSpPr>
        <xdr:cNvPr id="243" name="CuadroTexto 242">
          <a:extLst>
            <a:ext uri="{FF2B5EF4-FFF2-40B4-BE49-F238E27FC236}">
              <a16:creationId xmlns:a16="http://schemas.microsoft.com/office/drawing/2014/main" id="{25A4C59F-37A3-FBDC-4322-CC68D0E75E13}"/>
            </a:ext>
          </a:extLst>
        </xdr:cNvPr>
        <xdr:cNvSpPr txBox="1"/>
      </xdr:nvSpPr>
      <xdr:spPr>
        <a:xfrm>
          <a:off x="79233331" y="5858834"/>
          <a:ext cx="1346337" cy="48572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Av. Acueducto</a:t>
          </a:r>
        </a:p>
      </xdr:txBody>
    </xdr:sp>
    <xdr:clientData/>
  </xdr:twoCellAnchor>
  <xdr:twoCellAnchor>
    <xdr:from>
      <xdr:col>96</xdr:col>
      <xdr:colOff>80684</xdr:colOff>
      <xdr:row>48</xdr:row>
      <xdr:rowOff>41563</xdr:rowOff>
    </xdr:from>
    <xdr:to>
      <xdr:col>97</xdr:col>
      <xdr:colOff>636496</xdr:colOff>
      <xdr:row>52</xdr:row>
      <xdr:rowOff>75785</xdr:rowOff>
    </xdr:to>
    <xdr:sp macro="" textlink="">
      <xdr:nvSpPr>
        <xdr:cNvPr id="244" name="CuadroTexto 243">
          <a:extLst>
            <a:ext uri="{FF2B5EF4-FFF2-40B4-BE49-F238E27FC236}">
              <a16:creationId xmlns:a16="http://schemas.microsoft.com/office/drawing/2014/main" id="{F6482DB9-6517-5BD1-0EAC-FC28F03DE43C}"/>
            </a:ext>
          </a:extLst>
        </xdr:cNvPr>
        <xdr:cNvSpPr txBox="1"/>
      </xdr:nvSpPr>
      <xdr:spPr>
        <a:xfrm>
          <a:off x="73773011" y="9102436"/>
          <a:ext cx="1345521" cy="754658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Rafael Carrillo</a:t>
          </a:r>
        </a:p>
      </xdr:txBody>
    </xdr:sp>
    <xdr:clientData/>
  </xdr:twoCellAnchor>
  <xdr:twoCellAnchor>
    <xdr:from>
      <xdr:col>101</xdr:col>
      <xdr:colOff>286872</xdr:colOff>
      <xdr:row>53</xdr:row>
      <xdr:rowOff>93713</xdr:rowOff>
    </xdr:from>
    <xdr:to>
      <xdr:col>103</xdr:col>
      <xdr:colOff>53790</xdr:colOff>
      <xdr:row>57</xdr:row>
      <xdr:rowOff>69272</xdr:rowOff>
    </xdr:to>
    <xdr:sp macro="" textlink="">
      <xdr:nvSpPr>
        <xdr:cNvPr id="245" name="CuadroTexto 244">
          <a:extLst>
            <a:ext uri="{FF2B5EF4-FFF2-40B4-BE49-F238E27FC236}">
              <a16:creationId xmlns:a16="http://schemas.microsoft.com/office/drawing/2014/main" id="{366722D4-8897-CD6F-CDB9-00AB50EE2E8B}"/>
            </a:ext>
          </a:extLst>
        </xdr:cNvPr>
        <xdr:cNvSpPr txBox="1"/>
      </xdr:nvSpPr>
      <xdr:spPr>
        <a:xfrm>
          <a:off x="77456690" y="10055131"/>
          <a:ext cx="1346336" cy="69599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Mariano Monterde</a:t>
          </a:r>
        </a:p>
      </xdr:txBody>
    </xdr:sp>
    <xdr:clientData/>
  </xdr:twoCellAnchor>
  <xdr:twoCellAnchor>
    <xdr:from>
      <xdr:col>91</xdr:col>
      <xdr:colOff>188261</xdr:colOff>
      <xdr:row>41</xdr:row>
      <xdr:rowOff>138547</xdr:rowOff>
    </xdr:from>
    <xdr:to>
      <xdr:col>92</xdr:col>
      <xdr:colOff>744072</xdr:colOff>
      <xdr:row>45</xdr:row>
      <xdr:rowOff>39927</xdr:rowOff>
    </xdr:to>
    <xdr:sp macro="" textlink="">
      <xdr:nvSpPr>
        <xdr:cNvPr id="246" name="CuadroTexto 245">
          <a:extLst>
            <a:ext uri="{FF2B5EF4-FFF2-40B4-BE49-F238E27FC236}">
              <a16:creationId xmlns:a16="http://schemas.microsoft.com/office/drawing/2014/main" id="{3E05C973-B067-50BC-937D-1393DE8E193E}"/>
            </a:ext>
          </a:extLst>
        </xdr:cNvPr>
        <xdr:cNvSpPr txBox="1"/>
      </xdr:nvSpPr>
      <xdr:spPr>
        <a:xfrm>
          <a:off x="69932043" y="7938656"/>
          <a:ext cx="1345520" cy="62181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Antonio Alzate</a:t>
          </a:r>
        </a:p>
      </xdr:txBody>
    </xdr:sp>
    <xdr:clientData/>
  </xdr:twoCellAnchor>
  <xdr:twoCellAnchor>
    <xdr:from>
      <xdr:col>86</xdr:col>
      <xdr:colOff>510990</xdr:colOff>
      <xdr:row>35</xdr:row>
      <xdr:rowOff>41563</xdr:rowOff>
    </xdr:from>
    <xdr:to>
      <xdr:col>88</xdr:col>
      <xdr:colOff>277908</xdr:colOff>
      <xdr:row>38</xdr:row>
      <xdr:rowOff>93715</xdr:rowOff>
    </xdr:to>
    <xdr:sp macro="" textlink="">
      <xdr:nvSpPr>
        <xdr:cNvPr id="247" name="CuadroTexto 246">
          <a:extLst>
            <a:ext uri="{FF2B5EF4-FFF2-40B4-BE49-F238E27FC236}">
              <a16:creationId xmlns:a16="http://schemas.microsoft.com/office/drawing/2014/main" id="{A5D4023E-A99F-9732-D87C-ECD59AA42AE2}"/>
            </a:ext>
          </a:extLst>
        </xdr:cNvPr>
        <xdr:cNvSpPr txBox="1"/>
      </xdr:nvSpPr>
      <xdr:spPr>
        <a:xfrm>
          <a:off x="66306226" y="6761018"/>
          <a:ext cx="1346337" cy="592479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Isidro</a:t>
          </a:r>
          <a:r>
            <a:rPr lang="es-MX" sz="1400" baseline="0"/>
            <a:t> Huarte</a:t>
          </a:r>
          <a:endParaRPr lang="es-MX" sz="1400"/>
        </a:p>
      </xdr:txBody>
    </xdr:sp>
    <xdr:clientData/>
  </xdr:twoCellAnchor>
  <xdr:twoCellAnchor>
    <xdr:from>
      <xdr:col>86</xdr:col>
      <xdr:colOff>537884</xdr:colOff>
      <xdr:row>50</xdr:row>
      <xdr:rowOff>66818</xdr:rowOff>
    </xdr:from>
    <xdr:to>
      <xdr:col>88</xdr:col>
      <xdr:colOff>304802</xdr:colOff>
      <xdr:row>54</xdr:row>
      <xdr:rowOff>55418</xdr:rowOff>
    </xdr:to>
    <xdr:sp macro="" textlink="">
      <xdr:nvSpPr>
        <xdr:cNvPr id="248" name="CuadroTexto 247">
          <a:extLst>
            <a:ext uri="{FF2B5EF4-FFF2-40B4-BE49-F238E27FC236}">
              <a16:creationId xmlns:a16="http://schemas.microsoft.com/office/drawing/2014/main" id="{5870C79B-6E27-0773-7B4E-FFE5346BD2B8}"/>
            </a:ext>
          </a:extLst>
        </xdr:cNvPr>
        <xdr:cNvSpPr txBox="1"/>
      </xdr:nvSpPr>
      <xdr:spPr>
        <a:xfrm>
          <a:off x="66333120" y="9487909"/>
          <a:ext cx="1346337" cy="70903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Isidro</a:t>
          </a:r>
          <a:r>
            <a:rPr lang="es-MX" sz="1400" baseline="0"/>
            <a:t> Huarte</a:t>
          </a:r>
          <a:endParaRPr lang="es-MX" sz="1400"/>
        </a:p>
      </xdr:txBody>
    </xdr:sp>
    <xdr:clientData/>
  </xdr:twoCellAnchor>
  <xdr:twoCellAnchor>
    <xdr:from>
      <xdr:col>72</xdr:col>
      <xdr:colOff>510988</xdr:colOff>
      <xdr:row>32</xdr:row>
      <xdr:rowOff>166255</xdr:rowOff>
    </xdr:from>
    <xdr:to>
      <xdr:col>74</xdr:col>
      <xdr:colOff>277906</xdr:colOff>
      <xdr:row>37</xdr:row>
      <xdr:rowOff>66829</xdr:rowOff>
    </xdr:to>
    <xdr:sp macro="" textlink="">
      <xdr:nvSpPr>
        <xdr:cNvPr id="249" name="CuadroTexto 248">
          <a:extLst>
            <a:ext uri="{FF2B5EF4-FFF2-40B4-BE49-F238E27FC236}">
              <a16:creationId xmlns:a16="http://schemas.microsoft.com/office/drawing/2014/main" id="{69A087DB-F8ED-5ECC-CFC0-1F84B7907A0D}"/>
            </a:ext>
          </a:extLst>
        </xdr:cNvPr>
        <xdr:cNvSpPr txBox="1"/>
      </xdr:nvSpPr>
      <xdr:spPr>
        <a:xfrm>
          <a:off x="55624370" y="6345382"/>
          <a:ext cx="1346336" cy="80112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Andres Quintana Roo</a:t>
          </a:r>
        </a:p>
      </xdr:txBody>
    </xdr:sp>
    <xdr:clientData/>
  </xdr:twoCellAnchor>
  <xdr:twoCellAnchor>
    <xdr:from>
      <xdr:col>72</xdr:col>
      <xdr:colOff>510988</xdr:colOff>
      <xdr:row>49</xdr:row>
      <xdr:rowOff>147510</xdr:rowOff>
    </xdr:from>
    <xdr:to>
      <xdr:col>74</xdr:col>
      <xdr:colOff>277906</xdr:colOff>
      <xdr:row>53</xdr:row>
      <xdr:rowOff>152400</xdr:rowOff>
    </xdr:to>
    <xdr:sp macro="" textlink="">
      <xdr:nvSpPr>
        <xdr:cNvPr id="250" name="CuadroTexto 249">
          <a:extLst>
            <a:ext uri="{FF2B5EF4-FFF2-40B4-BE49-F238E27FC236}">
              <a16:creationId xmlns:a16="http://schemas.microsoft.com/office/drawing/2014/main" id="{BFA463B0-68DE-02D2-9799-401924C9D224}"/>
            </a:ext>
          </a:extLst>
        </xdr:cNvPr>
        <xdr:cNvSpPr txBox="1"/>
      </xdr:nvSpPr>
      <xdr:spPr>
        <a:xfrm>
          <a:off x="55624370" y="9388492"/>
          <a:ext cx="1346336" cy="725326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Andres Quintana Roo</a:t>
          </a:r>
        </a:p>
      </xdr:txBody>
    </xdr:sp>
    <xdr:clientData/>
  </xdr:twoCellAnchor>
  <xdr:twoCellAnchor>
    <xdr:from>
      <xdr:col>69</xdr:col>
      <xdr:colOff>672354</xdr:colOff>
      <xdr:row>37</xdr:row>
      <xdr:rowOff>110836</xdr:rowOff>
    </xdr:from>
    <xdr:to>
      <xdr:col>71</xdr:col>
      <xdr:colOff>439271</xdr:colOff>
      <xdr:row>41</xdr:row>
      <xdr:rowOff>129583</xdr:rowOff>
    </xdr:to>
    <xdr:sp macro="" textlink="">
      <xdr:nvSpPr>
        <xdr:cNvPr id="251" name="CuadroTexto 250">
          <a:extLst>
            <a:ext uri="{FF2B5EF4-FFF2-40B4-BE49-F238E27FC236}">
              <a16:creationId xmlns:a16="http://schemas.microsoft.com/office/drawing/2014/main" id="{97D59B82-196F-1F62-77BD-E1DD5E03ECFE}"/>
            </a:ext>
          </a:extLst>
        </xdr:cNvPr>
        <xdr:cNvSpPr txBox="1"/>
      </xdr:nvSpPr>
      <xdr:spPr>
        <a:xfrm>
          <a:off x="53416609" y="7190509"/>
          <a:ext cx="1346335" cy="73918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Corrregidora</a:t>
          </a:r>
        </a:p>
      </xdr:txBody>
    </xdr:sp>
    <xdr:clientData/>
  </xdr:twoCellAnchor>
  <xdr:twoCellAnchor>
    <xdr:from>
      <xdr:col>66</xdr:col>
      <xdr:colOff>251013</xdr:colOff>
      <xdr:row>30</xdr:row>
      <xdr:rowOff>93722</xdr:rowOff>
    </xdr:from>
    <xdr:to>
      <xdr:col>68</xdr:col>
      <xdr:colOff>331696</xdr:colOff>
      <xdr:row>33</xdr:row>
      <xdr:rowOff>39935</xdr:rowOff>
    </xdr:to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EBBD757C-ACB9-417D-A1AA-EC9F42A5CF82}"/>
            </a:ext>
          </a:extLst>
        </xdr:cNvPr>
        <xdr:cNvSpPr txBox="1"/>
      </xdr:nvSpPr>
      <xdr:spPr>
        <a:xfrm>
          <a:off x="50944795" y="5912631"/>
          <a:ext cx="1341446" cy="486540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/>
            <a:t>Calle Cuautla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449836</xdr:colOff>
      <xdr:row>22</xdr:row>
      <xdr:rowOff>108028</xdr:rowOff>
    </xdr:from>
    <xdr:to>
      <xdr:col>19</xdr:col>
      <xdr:colOff>762001</xdr:colOff>
      <xdr:row>23</xdr:row>
      <xdr:rowOff>106232</xdr:rowOff>
    </xdr:to>
    <xdr:sp macro="" textlink="">
      <xdr:nvSpPr>
        <xdr:cNvPr id="13" name="Flecha: doblada hacia arriba 12">
          <a:extLst>
            <a:ext uri="{FF2B5EF4-FFF2-40B4-BE49-F238E27FC236}">
              <a16:creationId xmlns:a16="http://schemas.microsoft.com/office/drawing/2014/main" id="{7AA8BD7B-86E7-4F90-93FE-41D213FABEB9}"/>
            </a:ext>
          </a:extLst>
        </xdr:cNvPr>
        <xdr:cNvSpPr/>
      </xdr:nvSpPr>
      <xdr:spPr>
        <a:xfrm rot="10800000" flipH="1">
          <a:off x="15506956" y="4184728"/>
          <a:ext cx="312165" cy="18108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19</xdr:col>
      <xdr:colOff>602236</xdr:colOff>
      <xdr:row>23</xdr:row>
      <xdr:rowOff>77548</xdr:rowOff>
    </xdr:from>
    <xdr:to>
      <xdr:col>20</xdr:col>
      <xdr:colOff>121921</xdr:colOff>
      <xdr:row>24</xdr:row>
      <xdr:rowOff>75752</xdr:rowOff>
    </xdr:to>
    <xdr:sp macro="" textlink="">
      <xdr:nvSpPr>
        <xdr:cNvPr id="14" name="Flecha: doblada hacia arriba 13">
          <a:extLst>
            <a:ext uri="{FF2B5EF4-FFF2-40B4-BE49-F238E27FC236}">
              <a16:creationId xmlns:a16="http://schemas.microsoft.com/office/drawing/2014/main" id="{55A62B58-7B71-44BC-B1EE-D5FBAD6C9D89}"/>
            </a:ext>
          </a:extLst>
        </xdr:cNvPr>
        <xdr:cNvSpPr/>
      </xdr:nvSpPr>
      <xdr:spPr>
        <a:xfrm rot="10800000" flipH="1">
          <a:off x="15659356" y="4337128"/>
          <a:ext cx="312165" cy="181084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545054</xdr:colOff>
      <xdr:row>12</xdr:row>
      <xdr:rowOff>60960</xdr:rowOff>
    </xdr:from>
    <xdr:to>
      <xdr:col>3</xdr:col>
      <xdr:colOff>139849</xdr:colOff>
      <xdr:row>15</xdr:row>
      <xdr:rowOff>121472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7ADC993B-D921-C546-788C-D4BFEA128022}"/>
            </a:ext>
          </a:extLst>
        </xdr:cNvPr>
        <xdr:cNvGrpSpPr/>
      </xdr:nvGrpSpPr>
      <xdr:grpSpPr>
        <a:xfrm>
          <a:off x="2130014" y="2286000"/>
          <a:ext cx="387275" cy="624392"/>
          <a:chOff x="2130014" y="2286000"/>
          <a:chExt cx="387275" cy="624392"/>
        </a:xfrm>
      </xdr:grpSpPr>
      <xdr:sp macro="" textlink="">
        <xdr:nvSpPr>
          <xdr:cNvPr id="2" name="Flecha: doblada hacia arriba 1">
            <a:extLst>
              <a:ext uri="{FF2B5EF4-FFF2-40B4-BE49-F238E27FC236}">
                <a16:creationId xmlns:a16="http://schemas.microsoft.com/office/drawing/2014/main" id="{6CE20392-61DE-44BA-8173-A3BB56C57302}"/>
              </a:ext>
            </a:extLst>
          </xdr:cNvPr>
          <xdr:cNvSpPr/>
        </xdr:nvSpPr>
        <xdr:spPr>
          <a:xfrm rot="10800000" flipH="1">
            <a:off x="2179576" y="2729308"/>
            <a:ext cx="312165" cy="181084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3" name="Flecha: hacia la izquierda 2">
            <a:extLst>
              <a:ext uri="{FF2B5EF4-FFF2-40B4-BE49-F238E27FC236}">
                <a16:creationId xmlns:a16="http://schemas.microsoft.com/office/drawing/2014/main" id="{FD6F8E01-B48A-4015-AAB3-E7FCCAC212CD}"/>
              </a:ext>
            </a:extLst>
          </xdr:cNvPr>
          <xdr:cNvSpPr/>
        </xdr:nvSpPr>
        <xdr:spPr>
          <a:xfrm rot="10800000">
            <a:off x="2130014" y="2551354"/>
            <a:ext cx="387275" cy="110715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15" name="Flecha: doblada hacia arriba 14">
            <a:extLst>
              <a:ext uri="{FF2B5EF4-FFF2-40B4-BE49-F238E27FC236}">
                <a16:creationId xmlns:a16="http://schemas.microsoft.com/office/drawing/2014/main" id="{A6C3D4A4-0057-48E0-8771-599D262DF883}"/>
              </a:ext>
            </a:extLst>
          </xdr:cNvPr>
          <xdr:cNvSpPr/>
        </xdr:nvSpPr>
        <xdr:spPr>
          <a:xfrm rot="10800000" flipH="1" flipV="1">
            <a:off x="2186940" y="2286000"/>
            <a:ext cx="312165" cy="198120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3</xdr:col>
      <xdr:colOff>98836</xdr:colOff>
      <xdr:row>5</xdr:row>
      <xdr:rowOff>133799</xdr:rowOff>
    </xdr:from>
    <xdr:to>
      <xdr:col>3</xdr:col>
      <xdr:colOff>723228</xdr:colOff>
      <xdr:row>7</xdr:row>
      <xdr:rowOff>140074</xdr:rowOff>
    </xdr:to>
    <xdr:grpSp>
      <xdr:nvGrpSpPr>
        <xdr:cNvPr id="28" name="Grupo 27">
          <a:extLst>
            <a:ext uri="{FF2B5EF4-FFF2-40B4-BE49-F238E27FC236}">
              <a16:creationId xmlns:a16="http://schemas.microsoft.com/office/drawing/2014/main" id="{CD3864CA-0BAF-4C5C-A15F-02B0A97D43A6}"/>
            </a:ext>
          </a:extLst>
        </xdr:cNvPr>
        <xdr:cNvGrpSpPr/>
      </xdr:nvGrpSpPr>
      <xdr:grpSpPr>
        <a:xfrm rot="5400000">
          <a:off x="2594834" y="929641"/>
          <a:ext cx="387275" cy="624392"/>
          <a:chOff x="2130014" y="2286000"/>
          <a:chExt cx="387275" cy="624392"/>
        </a:xfrm>
      </xdr:grpSpPr>
      <xdr:sp macro="" textlink="">
        <xdr:nvSpPr>
          <xdr:cNvPr id="29" name="Flecha: doblada hacia arriba 28">
            <a:extLst>
              <a:ext uri="{FF2B5EF4-FFF2-40B4-BE49-F238E27FC236}">
                <a16:creationId xmlns:a16="http://schemas.microsoft.com/office/drawing/2014/main" id="{E37AC0F3-6CCD-9575-C539-4B7841D32092}"/>
              </a:ext>
            </a:extLst>
          </xdr:cNvPr>
          <xdr:cNvSpPr/>
        </xdr:nvSpPr>
        <xdr:spPr>
          <a:xfrm rot="10800000" flipH="1">
            <a:off x="2179576" y="2729308"/>
            <a:ext cx="312165" cy="181084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30" name="Flecha: hacia la izquierda 29">
            <a:extLst>
              <a:ext uri="{FF2B5EF4-FFF2-40B4-BE49-F238E27FC236}">
                <a16:creationId xmlns:a16="http://schemas.microsoft.com/office/drawing/2014/main" id="{390FE2F0-A89B-F663-B45A-04C7A17B6263}"/>
              </a:ext>
            </a:extLst>
          </xdr:cNvPr>
          <xdr:cNvSpPr/>
        </xdr:nvSpPr>
        <xdr:spPr>
          <a:xfrm rot="10800000">
            <a:off x="2130014" y="2551354"/>
            <a:ext cx="387275" cy="110715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31" name="Flecha: doblada hacia arriba 30">
            <a:extLst>
              <a:ext uri="{FF2B5EF4-FFF2-40B4-BE49-F238E27FC236}">
                <a16:creationId xmlns:a16="http://schemas.microsoft.com/office/drawing/2014/main" id="{D0B97CE7-36B8-1BA7-86D8-1B68F0AC0EBC}"/>
              </a:ext>
            </a:extLst>
          </xdr:cNvPr>
          <xdr:cNvSpPr/>
        </xdr:nvSpPr>
        <xdr:spPr>
          <a:xfrm rot="10800000" flipH="1" flipV="1">
            <a:off x="2186940" y="2286000"/>
            <a:ext cx="312165" cy="198120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4</xdr:col>
      <xdr:colOff>83597</xdr:colOff>
      <xdr:row>14</xdr:row>
      <xdr:rowOff>65220</xdr:rowOff>
    </xdr:from>
    <xdr:to>
      <xdr:col>4</xdr:col>
      <xdr:colOff>707989</xdr:colOff>
      <xdr:row>16</xdr:row>
      <xdr:rowOff>63875</xdr:rowOff>
    </xdr:to>
    <xdr:grpSp>
      <xdr:nvGrpSpPr>
        <xdr:cNvPr id="32" name="Grupo 31">
          <a:extLst>
            <a:ext uri="{FF2B5EF4-FFF2-40B4-BE49-F238E27FC236}">
              <a16:creationId xmlns:a16="http://schemas.microsoft.com/office/drawing/2014/main" id="{F4EBF38A-ECE7-4FE1-8014-932FACE2958B}"/>
            </a:ext>
          </a:extLst>
        </xdr:cNvPr>
        <xdr:cNvGrpSpPr/>
      </xdr:nvGrpSpPr>
      <xdr:grpSpPr>
        <a:xfrm rot="16200000">
          <a:off x="3372075" y="2552702"/>
          <a:ext cx="387275" cy="624392"/>
          <a:chOff x="2130014" y="2286000"/>
          <a:chExt cx="387275" cy="624392"/>
        </a:xfrm>
      </xdr:grpSpPr>
      <xdr:sp macro="" textlink="">
        <xdr:nvSpPr>
          <xdr:cNvPr id="33" name="Flecha: doblada hacia arriba 32">
            <a:extLst>
              <a:ext uri="{FF2B5EF4-FFF2-40B4-BE49-F238E27FC236}">
                <a16:creationId xmlns:a16="http://schemas.microsoft.com/office/drawing/2014/main" id="{D9293591-EC03-45E7-9415-8FC79EECF700}"/>
              </a:ext>
            </a:extLst>
          </xdr:cNvPr>
          <xdr:cNvSpPr/>
        </xdr:nvSpPr>
        <xdr:spPr>
          <a:xfrm rot="10800000" flipH="1">
            <a:off x="2179576" y="2729308"/>
            <a:ext cx="312165" cy="181084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34" name="Flecha: hacia la izquierda 33">
            <a:extLst>
              <a:ext uri="{FF2B5EF4-FFF2-40B4-BE49-F238E27FC236}">
                <a16:creationId xmlns:a16="http://schemas.microsoft.com/office/drawing/2014/main" id="{2E17ADC7-93A1-D434-6DEE-890C48894B95}"/>
              </a:ext>
            </a:extLst>
          </xdr:cNvPr>
          <xdr:cNvSpPr/>
        </xdr:nvSpPr>
        <xdr:spPr>
          <a:xfrm rot="10800000">
            <a:off x="2130014" y="2551354"/>
            <a:ext cx="387275" cy="110715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35" name="Flecha: doblada hacia arriba 34">
            <a:extLst>
              <a:ext uri="{FF2B5EF4-FFF2-40B4-BE49-F238E27FC236}">
                <a16:creationId xmlns:a16="http://schemas.microsoft.com/office/drawing/2014/main" id="{0B5EA818-32B6-BA02-FFA7-6F8F4399F8EE}"/>
              </a:ext>
            </a:extLst>
          </xdr:cNvPr>
          <xdr:cNvSpPr/>
        </xdr:nvSpPr>
        <xdr:spPr>
          <a:xfrm rot="10800000" flipH="1" flipV="1">
            <a:off x="2186940" y="2286000"/>
            <a:ext cx="312165" cy="198120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4</xdr:col>
      <xdr:colOff>644115</xdr:colOff>
      <xdr:row>6</xdr:row>
      <xdr:rowOff>91442</xdr:rowOff>
    </xdr:from>
    <xdr:to>
      <xdr:col>5</xdr:col>
      <xdr:colOff>238910</xdr:colOff>
      <xdr:row>9</xdr:row>
      <xdr:rowOff>144334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8FFAD14F-269E-43E6-94F8-9A1181703158}"/>
            </a:ext>
          </a:extLst>
        </xdr:cNvPr>
        <xdr:cNvGrpSpPr/>
      </xdr:nvGrpSpPr>
      <xdr:grpSpPr>
        <a:xfrm rot="10800000">
          <a:off x="3814035" y="1188722"/>
          <a:ext cx="387275" cy="624392"/>
          <a:chOff x="2130014" y="2286000"/>
          <a:chExt cx="387275" cy="624392"/>
        </a:xfrm>
      </xdr:grpSpPr>
      <xdr:sp macro="" textlink="">
        <xdr:nvSpPr>
          <xdr:cNvPr id="37" name="Flecha: doblada hacia arriba 36">
            <a:extLst>
              <a:ext uri="{FF2B5EF4-FFF2-40B4-BE49-F238E27FC236}">
                <a16:creationId xmlns:a16="http://schemas.microsoft.com/office/drawing/2014/main" id="{0224F9F1-2855-D5FC-1647-4E28C7252CF1}"/>
              </a:ext>
            </a:extLst>
          </xdr:cNvPr>
          <xdr:cNvSpPr/>
        </xdr:nvSpPr>
        <xdr:spPr>
          <a:xfrm rot="10800000" flipH="1">
            <a:off x="2179576" y="2729308"/>
            <a:ext cx="312165" cy="181084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38" name="Flecha: hacia la izquierda 37">
            <a:extLst>
              <a:ext uri="{FF2B5EF4-FFF2-40B4-BE49-F238E27FC236}">
                <a16:creationId xmlns:a16="http://schemas.microsoft.com/office/drawing/2014/main" id="{82E1152E-5091-6B5A-47A3-73928C7FED4C}"/>
              </a:ext>
            </a:extLst>
          </xdr:cNvPr>
          <xdr:cNvSpPr/>
        </xdr:nvSpPr>
        <xdr:spPr>
          <a:xfrm rot="10800000">
            <a:off x="2130014" y="2551354"/>
            <a:ext cx="387275" cy="110715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39" name="Flecha: doblada hacia arriba 38">
            <a:extLst>
              <a:ext uri="{FF2B5EF4-FFF2-40B4-BE49-F238E27FC236}">
                <a16:creationId xmlns:a16="http://schemas.microsoft.com/office/drawing/2014/main" id="{FA776EE9-8F79-1FC9-20FF-343AEA2A1064}"/>
              </a:ext>
            </a:extLst>
          </xdr:cNvPr>
          <xdr:cNvSpPr/>
        </xdr:nvSpPr>
        <xdr:spPr>
          <a:xfrm rot="10800000" flipH="1" flipV="1">
            <a:off x="2186940" y="2286000"/>
            <a:ext cx="312165" cy="198120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2</xdr:col>
      <xdr:colOff>68580</xdr:colOff>
      <xdr:row>13</xdr:row>
      <xdr:rowOff>121920</xdr:rowOff>
    </xdr:from>
    <xdr:to>
      <xdr:col>2</xdr:col>
      <xdr:colOff>510540</xdr:colOff>
      <xdr:row>14</xdr:row>
      <xdr:rowOff>38100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691AB5A7-3928-4726-625A-AE79F99732BB}"/>
            </a:ext>
          </a:extLst>
        </xdr:cNvPr>
        <xdr:cNvSpPr txBox="1"/>
      </xdr:nvSpPr>
      <xdr:spPr>
        <a:xfrm>
          <a:off x="1653540" y="253746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1102</a:t>
          </a:r>
        </a:p>
      </xdr:txBody>
    </xdr:sp>
    <xdr:clientData/>
  </xdr:twoCellAnchor>
  <xdr:twoCellAnchor>
    <xdr:from>
      <xdr:col>2</xdr:col>
      <xdr:colOff>68580</xdr:colOff>
      <xdr:row>14</xdr:row>
      <xdr:rowOff>83820</xdr:rowOff>
    </xdr:from>
    <xdr:to>
      <xdr:col>2</xdr:col>
      <xdr:colOff>510540</xdr:colOff>
      <xdr:row>15</xdr:row>
      <xdr:rowOff>7620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F8FED88-F86B-49C2-8DEB-542209F2EE84}"/>
            </a:ext>
          </a:extLst>
        </xdr:cNvPr>
        <xdr:cNvSpPr txBox="1"/>
      </xdr:nvSpPr>
      <xdr:spPr>
        <a:xfrm>
          <a:off x="1653540" y="268986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365</a:t>
          </a:r>
        </a:p>
      </xdr:txBody>
    </xdr:sp>
    <xdr:clientData/>
  </xdr:twoCellAnchor>
  <xdr:twoCellAnchor>
    <xdr:from>
      <xdr:col>2</xdr:col>
      <xdr:colOff>76200</xdr:colOff>
      <xdr:row>12</xdr:row>
      <xdr:rowOff>167640</xdr:rowOff>
    </xdr:from>
    <xdr:to>
      <xdr:col>2</xdr:col>
      <xdr:colOff>518160</xdr:colOff>
      <xdr:row>13</xdr:row>
      <xdr:rowOff>83820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4C6EBD22-F8EA-4D63-B932-907944B2EA19}"/>
            </a:ext>
          </a:extLst>
        </xdr:cNvPr>
        <xdr:cNvSpPr txBox="1"/>
      </xdr:nvSpPr>
      <xdr:spPr>
        <a:xfrm>
          <a:off x="1661160" y="239268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386</a:t>
          </a:r>
        </a:p>
      </xdr:txBody>
    </xdr:sp>
    <xdr:clientData/>
  </xdr:twoCellAnchor>
  <xdr:twoCellAnchor>
    <xdr:from>
      <xdr:col>5</xdr:col>
      <xdr:colOff>266700</xdr:colOff>
      <xdr:row>7</xdr:row>
      <xdr:rowOff>137160</xdr:rowOff>
    </xdr:from>
    <xdr:to>
      <xdr:col>5</xdr:col>
      <xdr:colOff>708660</xdr:colOff>
      <xdr:row>8</xdr:row>
      <xdr:rowOff>53340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4D652E0D-0884-4DAB-BB4B-34F43CCFB46B}"/>
            </a:ext>
          </a:extLst>
        </xdr:cNvPr>
        <xdr:cNvSpPr txBox="1"/>
      </xdr:nvSpPr>
      <xdr:spPr>
        <a:xfrm>
          <a:off x="4229100" y="143256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615</a:t>
          </a:r>
        </a:p>
      </xdr:txBody>
    </xdr:sp>
    <xdr:clientData/>
  </xdr:twoCellAnchor>
  <xdr:twoCellAnchor>
    <xdr:from>
      <xdr:col>5</xdr:col>
      <xdr:colOff>266700</xdr:colOff>
      <xdr:row>8</xdr:row>
      <xdr:rowOff>99060</xdr:rowOff>
    </xdr:from>
    <xdr:to>
      <xdr:col>5</xdr:col>
      <xdr:colOff>708660</xdr:colOff>
      <xdr:row>9</xdr:row>
      <xdr:rowOff>22860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7C4F292A-41E6-451B-9F39-65F140A113A0}"/>
            </a:ext>
          </a:extLst>
        </xdr:cNvPr>
        <xdr:cNvSpPr txBox="1"/>
      </xdr:nvSpPr>
      <xdr:spPr>
        <a:xfrm>
          <a:off x="4229100" y="158496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109</a:t>
          </a:r>
        </a:p>
      </xdr:txBody>
    </xdr:sp>
    <xdr:clientData/>
  </xdr:twoCellAnchor>
  <xdr:twoCellAnchor>
    <xdr:from>
      <xdr:col>5</xdr:col>
      <xdr:colOff>274320</xdr:colOff>
      <xdr:row>6</xdr:row>
      <xdr:rowOff>190500</xdr:rowOff>
    </xdr:from>
    <xdr:to>
      <xdr:col>5</xdr:col>
      <xdr:colOff>716280</xdr:colOff>
      <xdr:row>7</xdr:row>
      <xdr:rowOff>99060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A59134F6-5505-49A9-8EB4-08040CAE5500}"/>
            </a:ext>
          </a:extLst>
        </xdr:cNvPr>
        <xdr:cNvSpPr txBox="1"/>
      </xdr:nvSpPr>
      <xdr:spPr>
        <a:xfrm>
          <a:off x="4236720" y="128778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127</a:t>
          </a:r>
        </a:p>
      </xdr:txBody>
    </xdr:sp>
    <xdr:clientData/>
  </xdr:twoCellAnchor>
  <xdr:twoCellAnchor>
    <xdr:from>
      <xdr:col>3</xdr:col>
      <xdr:colOff>594360</xdr:colOff>
      <xdr:row>16</xdr:row>
      <xdr:rowOff>91440</xdr:rowOff>
    </xdr:from>
    <xdr:to>
      <xdr:col>4</xdr:col>
      <xdr:colOff>243840</xdr:colOff>
      <xdr:row>17</xdr:row>
      <xdr:rowOff>15240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F2A90855-FA2A-4636-B712-DC9F52714C4D}"/>
            </a:ext>
          </a:extLst>
        </xdr:cNvPr>
        <xdr:cNvSpPr txBox="1"/>
      </xdr:nvSpPr>
      <xdr:spPr>
        <a:xfrm>
          <a:off x="2971800" y="308610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534</a:t>
          </a:r>
        </a:p>
      </xdr:txBody>
    </xdr:sp>
    <xdr:clientData/>
  </xdr:twoCellAnchor>
  <xdr:twoCellAnchor>
    <xdr:from>
      <xdr:col>4</xdr:col>
      <xdr:colOff>175260</xdr:colOff>
      <xdr:row>17</xdr:row>
      <xdr:rowOff>60960</xdr:rowOff>
    </xdr:from>
    <xdr:to>
      <xdr:col>4</xdr:col>
      <xdr:colOff>617220</xdr:colOff>
      <xdr:row>17</xdr:row>
      <xdr:rowOff>167640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D7F6D316-08D5-4CB1-8841-78A1968FB8B9}"/>
            </a:ext>
          </a:extLst>
        </xdr:cNvPr>
        <xdr:cNvSpPr txBox="1"/>
      </xdr:nvSpPr>
      <xdr:spPr>
        <a:xfrm>
          <a:off x="3345180" y="323850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1271</a:t>
          </a:r>
        </a:p>
      </xdr:txBody>
    </xdr:sp>
    <xdr:clientData/>
  </xdr:twoCellAnchor>
  <xdr:twoCellAnchor>
    <xdr:from>
      <xdr:col>4</xdr:col>
      <xdr:colOff>510540</xdr:colOff>
      <xdr:row>16</xdr:row>
      <xdr:rowOff>91440</xdr:rowOff>
    </xdr:from>
    <xdr:to>
      <xdr:col>5</xdr:col>
      <xdr:colOff>160020</xdr:colOff>
      <xdr:row>17</xdr:row>
      <xdr:rowOff>15240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6C7D917A-2B07-4607-B003-2C3C04EDD5A4}"/>
            </a:ext>
          </a:extLst>
        </xdr:cNvPr>
        <xdr:cNvSpPr txBox="1"/>
      </xdr:nvSpPr>
      <xdr:spPr>
        <a:xfrm>
          <a:off x="3680460" y="308610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58</a:t>
          </a:r>
        </a:p>
      </xdr:txBody>
    </xdr:sp>
    <xdr:clientData/>
  </xdr:twoCellAnchor>
  <xdr:twoCellAnchor>
    <xdr:from>
      <xdr:col>2</xdr:col>
      <xdr:colOff>609600</xdr:colOff>
      <xdr:row>4</xdr:row>
      <xdr:rowOff>175260</xdr:rowOff>
    </xdr:from>
    <xdr:to>
      <xdr:col>3</xdr:col>
      <xdr:colOff>259080</xdr:colOff>
      <xdr:row>5</xdr:row>
      <xdr:rowOff>99060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95748CCF-6241-4DFB-8AFB-A300E0E66C52}"/>
            </a:ext>
          </a:extLst>
        </xdr:cNvPr>
        <xdr:cNvSpPr txBox="1"/>
      </xdr:nvSpPr>
      <xdr:spPr>
        <a:xfrm>
          <a:off x="2194560" y="90678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79</a:t>
          </a:r>
        </a:p>
      </xdr:txBody>
    </xdr:sp>
    <xdr:clientData/>
  </xdr:twoCellAnchor>
  <xdr:twoCellAnchor>
    <xdr:from>
      <xdr:col>3</xdr:col>
      <xdr:colOff>190500</xdr:colOff>
      <xdr:row>4</xdr:row>
      <xdr:rowOff>22860</xdr:rowOff>
    </xdr:from>
    <xdr:to>
      <xdr:col>3</xdr:col>
      <xdr:colOff>632460</xdr:colOff>
      <xdr:row>4</xdr:row>
      <xdr:rowOff>129540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1A41400B-FE5C-4B36-87D7-EA71EB6734E8}"/>
            </a:ext>
          </a:extLst>
        </xdr:cNvPr>
        <xdr:cNvSpPr txBox="1"/>
      </xdr:nvSpPr>
      <xdr:spPr>
        <a:xfrm>
          <a:off x="2567940" y="75438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725</a:t>
          </a:r>
        </a:p>
      </xdr:txBody>
    </xdr:sp>
    <xdr:clientData/>
  </xdr:twoCellAnchor>
  <xdr:twoCellAnchor>
    <xdr:from>
      <xdr:col>3</xdr:col>
      <xdr:colOff>525780</xdr:colOff>
      <xdr:row>4</xdr:row>
      <xdr:rowOff>175260</xdr:rowOff>
    </xdr:from>
    <xdr:to>
      <xdr:col>4</xdr:col>
      <xdr:colOff>175260</xdr:colOff>
      <xdr:row>5</xdr:row>
      <xdr:rowOff>99060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A948B27D-1403-4B28-81ED-B294C93A4D67}"/>
            </a:ext>
          </a:extLst>
        </xdr:cNvPr>
        <xdr:cNvSpPr txBox="1"/>
      </xdr:nvSpPr>
      <xdr:spPr>
        <a:xfrm>
          <a:off x="2903220" y="90678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293</a:t>
          </a:r>
        </a:p>
      </xdr:txBody>
    </xdr:sp>
    <xdr:clientData/>
  </xdr:twoCellAnchor>
  <xdr:twoCellAnchor>
    <xdr:from>
      <xdr:col>10</xdr:col>
      <xdr:colOff>457200</xdr:colOff>
      <xdr:row>15</xdr:row>
      <xdr:rowOff>68580</xdr:rowOff>
    </xdr:from>
    <xdr:to>
      <xdr:col>11</xdr:col>
      <xdr:colOff>51995</xdr:colOff>
      <xdr:row>19</xdr:row>
      <xdr:rowOff>90992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F37C0581-C04C-40BC-BC4F-672683FF33B4}"/>
            </a:ext>
          </a:extLst>
        </xdr:cNvPr>
        <xdr:cNvGrpSpPr/>
      </xdr:nvGrpSpPr>
      <xdr:grpSpPr>
        <a:xfrm>
          <a:off x="8382000" y="2857500"/>
          <a:ext cx="387275" cy="784412"/>
          <a:chOff x="2130014" y="2286000"/>
          <a:chExt cx="387275" cy="792032"/>
        </a:xfrm>
      </xdr:grpSpPr>
      <xdr:sp macro="" textlink="">
        <xdr:nvSpPr>
          <xdr:cNvPr id="53" name="Flecha: doblada hacia arriba 52">
            <a:extLst>
              <a:ext uri="{FF2B5EF4-FFF2-40B4-BE49-F238E27FC236}">
                <a16:creationId xmlns:a16="http://schemas.microsoft.com/office/drawing/2014/main" id="{215B74CA-B48C-3AF7-EF20-34C27DDC4E7C}"/>
              </a:ext>
            </a:extLst>
          </xdr:cNvPr>
          <xdr:cNvSpPr/>
        </xdr:nvSpPr>
        <xdr:spPr>
          <a:xfrm rot="10800000" flipH="1">
            <a:off x="2179576" y="2896948"/>
            <a:ext cx="312165" cy="181084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54" name="Flecha: hacia la izquierda 53">
            <a:extLst>
              <a:ext uri="{FF2B5EF4-FFF2-40B4-BE49-F238E27FC236}">
                <a16:creationId xmlns:a16="http://schemas.microsoft.com/office/drawing/2014/main" id="{19B904B9-6B22-4714-536B-DD23FBA17501}"/>
              </a:ext>
            </a:extLst>
          </xdr:cNvPr>
          <xdr:cNvSpPr/>
        </xdr:nvSpPr>
        <xdr:spPr>
          <a:xfrm rot="10800000">
            <a:off x="2130014" y="2619934"/>
            <a:ext cx="387275" cy="110715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55" name="Flecha: doblada hacia arriba 54">
            <a:extLst>
              <a:ext uri="{FF2B5EF4-FFF2-40B4-BE49-F238E27FC236}">
                <a16:creationId xmlns:a16="http://schemas.microsoft.com/office/drawing/2014/main" id="{D3546CB9-3BB2-4157-45F7-2376BF950F2B}"/>
              </a:ext>
            </a:extLst>
          </xdr:cNvPr>
          <xdr:cNvSpPr/>
        </xdr:nvSpPr>
        <xdr:spPr>
          <a:xfrm rot="10800000" flipH="1" flipV="1">
            <a:off x="2186940" y="2286000"/>
            <a:ext cx="312165" cy="198120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9</xdr:col>
      <xdr:colOff>723900</xdr:colOff>
      <xdr:row>17</xdr:row>
      <xdr:rowOff>15240</xdr:rowOff>
    </xdr:from>
    <xdr:to>
      <xdr:col>10</xdr:col>
      <xdr:colOff>373380</xdr:colOff>
      <xdr:row>17</xdr:row>
      <xdr:rowOff>121920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5FDE727E-4E97-4AEB-9FB4-602179900CD9}"/>
            </a:ext>
          </a:extLst>
        </xdr:cNvPr>
        <xdr:cNvSpPr txBox="1"/>
      </xdr:nvSpPr>
      <xdr:spPr>
        <a:xfrm>
          <a:off x="7856220" y="319278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1205</a:t>
          </a:r>
        </a:p>
      </xdr:txBody>
    </xdr:sp>
    <xdr:clientData/>
  </xdr:twoCellAnchor>
  <xdr:twoCellAnchor>
    <xdr:from>
      <xdr:col>9</xdr:col>
      <xdr:colOff>731520</xdr:colOff>
      <xdr:row>18</xdr:row>
      <xdr:rowOff>68580</xdr:rowOff>
    </xdr:from>
    <xdr:to>
      <xdr:col>10</xdr:col>
      <xdr:colOff>381000</xdr:colOff>
      <xdr:row>18</xdr:row>
      <xdr:rowOff>175260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4EA30D8E-8E70-4328-8CBE-2AD726315299}"/>
            </a:ext>
          </a:extLst>
        </xdr:cNvPr>
        <xdr:cNvSpPr txBox="1"/>
      </xdr:nvSpPr>
      <xdr:spPr>
        <a:xfrm>
          <a:off x="7863840" y="342900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49</a:t>
          </a:r>
        </a:p>
      </xdr:txBody>
    </xdr:sp>
    <xdr:clientData/>
  </xdr:twoCellAnchor>
  <xdr:twoCellAnchor>
    <xdr:from>
      <xdr:col>9</xdr:col>
      <xdr:colOff>731520</xdr:colOff>
      <xdr:row>15</xdr:row>
      <xdr:rowOff>198120</xdr:rowOff>
    </xdr:from>
    <xdr:to>
      <xdr:col>10</xdr:col>
      <xdr:colOff>381000</xdr:colOff>
      <xdr:row>16</xdr:row>
      <xdr:rowOff>99060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51A2BF76-9E01-4287-9BC5-F18BDAFB7EBF}"/>
            </a:ext>
          </a:extLst>
        </xdr:cNvPr>
        <xdr:cNvSpPr txBox="1"/>
      </xdr:nvSpPr>
      <xdr:spPr>
        <a:xfrm>
          <a:off x="7863840" y="298704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394</a:t>
          </a:r>
        </a:p>
      </xdr:txBody>
    </xdr:sp>
    <xdr:clientData/>
  </xdr:twoCellAnchor>
  <xdr:twoCellAnchor>
    <xdr:from>
      <xdr:col>11</xdr:col>
      <xdr:colOff>647700</xdr:colOff>
      <xdr:row>11</xdr:row>
      <xdr:rowOff>76200</xdr:rowOff>
    </xdr:from>
    <xdr:to>
      <xdr:col>12</xdr:col>
      <xdr:colOff>242495</xdr:colOff>
      <xdr:row>15</xdr:row>
      <xdr:rowOff>113852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20296AB0-51A9-4302-B95C-35CB5F01EFB9}"/>
            </a:ext>
          </a:extLst>
        </xdr:cNvPr>
        <xdr:cNvGrpSpPr/>
      </xdr:nvGrpSpPr>
      <xdr:grpSpPr>
        <a:xfrm rot="10800000">
          <a:off x="9364980" y="2118360"/>
          <a:ext cx="387275" cy="784412"/>
          <a:chOff x="2130014" y="2286000"/>
          <a:chExt cx="387275" cy="792032"/>
        </a:xfrm>
      </xdr:grpSpPr>
      <xdr:sp macro="" textlink="">
        <xdr:nvSpPr>
          <xdr:cNvPr id="63" name="Flecha: doblada hacia arriba 62">
            <a:extLst>
              <a:ext uri="{FF2B5EF4-FFF2-40B4-BE49-F238E27FC236}">
                <a16:creationId xmlns:a16="http://schemas.microsoft.com/office/drawing/2014/main" id="{02DB9283-F5FE-7607-4AA6-5C5E34E0F67A}"/>
              </a:ext>
            </a:extLst>
          </xdr:cNvPr>
          <xdr:cNvSpPr/>
        </xdr:nvSpPr>
        <xdr:spPr>
          <a:xfrm rot="10800000" flipH="1">
            <a:off x="2179576" y="2896948"/>
            <a:ext cx="312165" cy="181084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64" name="Flecha: hacia la izquierda 63">
            <a:extLst>
              <a:ext uri="{FF2B5EF4-FFF2-40B4-BE49-F238E27FC236}">
                <a16:creationId xmlns:a16="http://schemas.microsoft.com/office/drawing/2014/main" id="{9FBEF69E-588C-7683-04CC-7BE5E2DE6E2B}"/>
              </a:ext>
            </a:extLst>
          </xdr:cNvPr>
          <xdr:cNvSpPr/>
        </xdr:nvSpPr>
        <xdr:spPr>
          <a:xfrm rot="10800000">
            <a:off x="2130014" y="2619934"/>
            <a:ext cx="387275" cy="110715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65" name="Flecha: doblada hacia arriba 64">
            <a:extLst>
              <a:ext uri="{FF2B5EF4-FFF2-40B4-BE49-F238E27FC236}">
                <a16:creationId xmlns:a16="http://schemas.microsoft.com/office/drawing/2014/main" id="{078C640A-9B2C-219B-0DA2-3956652664E0}"/>
              </a:ext>
            </a:extLst>
          </xdr:cNvPr>
          <xdr:cNvSpPr/>
        </xdr:nvSpPr>
        <xdr:spPr>
          <a:xfrm rot="10800000" flipH="1" flipV="1">
            <a:off x="2186940" y="2286000"/>
            <a:ext cx="312165" cy="198120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12</xdr:col>
      <xdr:colOff>320040</xdr:colOff>
      <xdr:row>13</xdr:row>
      <xdr:rowOff>22860</xdr:rowOff>
    </xdr:from>
    <xdr:to>
      <xdr:col>12</xdr:col>
      <xdr:colOff>762000</xdr:colOff>
      <xdr:row>13</xdr:row>
      <xdr:rowOff>129540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4E99EB0C-C717-4BDB-8B28-416A3CDE434C}"/>
            </a:ext>
          </a:extLst>
        </xdr:cNvPr>
        <xdr:cNvSpPr txBox="1"/>
      </xdr:nvSpPr>
      <xdr:spPr>
        <a:xfrm>
          <a:off x="9829800" y="243840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1017</a:t>
          </a:r>
        </a:p>
      </xdr:txBody>
    </xdr:sp>
    <xdr:clientData/>
  </xdr:twoCellAnchor>
  <xdr:twoCellAnchor>
    <xdr:from>
      <xdr:col>12</xdr:col>
      <xdr:colOff>327660</xdr:colOff>
      <xdr:row>14</xdr:row>
      <xdr:rowOff>60960</xdr:rowOff>
    </xdr:from>
    <xdr:to>
      <xdr:col>12</xdr:col>
      <xdr:colOff>769620</xdr:colOff>
      <xdr:row>14</xdr:row>
      <xdr:rowOff>167640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CE0F1F0C-0155-4553-928A-0F2B67ABD037}"/>
            </a:ext>
          </a:extLst>
        </xdr:cNvPr>
        <xdr:cNvSpPr txBox="1"/>
      </xdr:nvSpPr>
      <xdr:spPr>
        <a:xfrm>
          <a:off x="9837420" y="266700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125</a:t>
          </a:r>
        </a:p>
      </xdr:txBody>
    </xdr:sp>
    <xdr:clientData/>
  </xdr:twoCellAnchor>
  <xdr:twoCellAnchor>
    <xdr:from>
      <xdr:col>12</xdr:col>
      <xdr:colOff>327660</xdr:colOff>
      <xdr:row>12</xdr:row>
      <xdr:rowOff>0</xdr:rowOff>
    </xdr:from>
    <xdr:to>
      <xdr:col>12</xdr:col>
      <xdr:colOff>769620</xdr:colOff>
      <xdr:row>12</xdr:row>
      <xdr:rowOff>106680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102A95C3-E4B3-4376-95B3-E8536A478377}"/>
            </a:ext>
          </a:extLst>
        </xdr:cNvPr>
        <xdr:cNvSpPr txBox="1"/>
      </xdr:nvSpPr>
      <xdr:spPr>
        <a:xfrm>
          <a:off x="9837420" y="222504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211</a:t>
          </a:r>
        </a:p>
      </xdr:txBody>
    </xdr:sp>
    <xdr:clientData/>
  </xdr:twoCellAnchor>
  <xdr:twoCellAnchor>
    <xdr:from>
      <xdr:col>10</xdr:col>
      <xdr:colOff>7172</xdr:colOff>
      <xdr:row>10</xdr:row>
      <xdr:rowOff>61410</xdr:rowOff>
    </xdr:from>
    <xdr:to>
      <xdr:col>10</xdr:col>
      <xdr:colOff>791584</xdr:colOff>
      <xdr:row>12</xdr:row>
      <xdr:rowOff>75305</xdr:rowOff>
    </xdr:to>
    <xdr:grpSp>
      <xdr:nvGrpSpPr>
        <xdr:cNvPr id="69" name="Grupo 68">
          <a:extLst>
            <a:ext uri="{FF2B5EF4-FFF2-40B4-BE49-F238E27FC236}">
              <a16:creationId xmlns:a16="http://schemas.microsoft.com/office/drawing/2014/main" id="{323E0831-8398-43EF-80EE-6504A4674764}"/>
            </a:ext>
          </a:extLst>
        </xdr:cNvPr>
        <xdr:cNvGrpSpPr/>
      </xdr:nvGrpSpPr>
      <xdr:grpSpPr>
        <a:xfrm rot="5400000">
          <a:off x="8130540" y="1714502"/>
          <a:ext cx="387275" cy="784412"/>
          <a:chOff x="2130014" y="2286000"/>
          <a:chExt cx="387275" cy="792032"/>
        </a:xfrm>
      </xdr:grpSpPr>
      <xdr:sp macro="" textlink="">
        <xdr:nvSpPr>
          <xdr:cNvPr id="70" name="Flecha: doblada hacia arriba 69">
            <a:extLst>
              <a:ext uri="{FF2B5EF4-FFF2-40B4-BE49-F238E27FC236}">
                <a16:creationId xmlns:a16="http://schemas.microsoft.com/office/drawing/2014/main" id="{8C465E42-5D18-8A32-CBBA-E8296F38F6C1}"/>
              </a:ext>
            </a:extLst>
          </xdr:cNvPr>
          <xdr:cNvSpPr/>
        </xdr:nvSpPr>
        <xdr:spPr>
          <a:xfrm rot="10800000" flipH="1">
            <a:off x="2179576" y="2896948"/>
            <a:ext cx="312165" cy="181084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1" name="Flecha: hacia la izquierda 70">
            <a:extLst>
              <a:ext uri="{FF2B5EF4-FFF2-40B4-BE49-F238E27FC236}">
                <a16:creationId xmlns:a16="http://schemas.microsoft.com/office/drawing/2014/main" id="{818C9980-8240-7B5A-C3F3-61F31CDCA4C4}"/>
              </a:ext>
            </a:extLst>
          </xdr:cNvPr>
          <xdr:cNvSpPr/>
        </xdr:nvSpPr>
        <xdr:spPr>
          <a:xfrm rot="10800000">
            <a:off x="2130014" y="2619934"/>
            <a:ext cx="387275" cy="110715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2" name="Flecha: doblada hacia arriba 71">
            <a:extLst>
              <a:ext uri="{FF2B5EF4-FFF2-40B4-BE49-F238E27FC236}">
                <a16:creationId xmlns:a16="http://schemas.microsoft.com/office/drawing/2014/main" id="{2EC6FEA7-2B8B-C318-C17E-952B5CA7E4EF}"/>
              </a:ext>
            </a:extLst>
          </xdr:cNvPr>
          <xdr:cNvSpPr/>
        </xdr:nvSpPr>
        <xdr:spPr>
          <a:xfrm rot="10800000" flipH="1" flipV="1">
            <a:off x="2186940" y="2286000"/>
            <a:ext cx="312165" cy="198120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11</xdr:col>
      <xdr:colOff>30033</xdr:colOff>
      <xdr:row>20</xdr:row>
      <xdr:rowOff>8070</xdr:rowOff>
    </xdr:from>
    <xdr:to>
      <xdr:col>12</xdr:col>
      <xdr:colOff>21965</xdr:colOff>
      <xdr:row>22</xdr:row>
      <xdr:rowOff>29585</xdr:rowOff>
    </xdr:to>
    <xdr:grpSp>
      <xdr:nvGrpSpPr>
        <xdr:cNvPr id="73" name="Grupo 72">
          <a:extLst>
            <a:ext uri="{FF2B5EF4-FFF2-40B4-BE49-F238E27FC236}">
              <a16:creationId xmlns:a16="http://schemas.microsoft.com/office/drawing/2014/main" id="{71E9087C-3EC5-4BA7-A5C5-F53F9FB03070}"/>
            </a:ext>
          </a:extLst>
        </xdr:cNvPr>
        <xdr:cNvGrpSpPr/>
      </xdr:nvGrpSpPr>
      <xdr:grpSpPr>
        <a:xfrm rot="16200000">
          <a:off x="8945881" y="3543302"/>
          <a:ext cx="387275" cy="784412"/>
          <a:chOff x="2130014" y="2286000"/>
          <a:chExt cx="387275" cy="792032"/>
        </a:xfrm>
      </xdr:grpSpPr>
      <xdr:sp macro="" textlink="">
        <xdr:nvSpPr>
          <xdr:cNvPr id="74" name="Flecha: doblada hacia arriba 73">
            <a:extLst>
              <a:ext uri="{FF2B5EF4-FFF2-40B4-BE49-F238E27FC236}">
                <a16:creationId xmlns:a16="http://schemas.microsoft.com/office/drawing/2014/main" id="{0558233D-B8A3-4030-D8F6-1D9057AEB7AA}"/>
              </a:ext>
            </a:extLst>
          </xdr:cNvPr>
          <xdr:cNvSpPr/>
        </xdr:nvSpPr>
        <xdr:spPr>
          <a:xfrm rot="10800000" flipH="1">
            <a:off x="2179576" y="2896948"/>
            <a:ext cx="312165" cy="181084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5" name="Flecha: hacia la izquierda 74">
            <a:extLst>
              <a:ext uri="{FF2B5EF4-FFF2-40B4-BE49-F238E27FC236}">
                <a16:creationId xmlns:a16="http://schemas.microsoft.com/office/drawing/2014/main" id="{18DA8EF1-1153-51D4-9915-BC4456B2DB47}"/>
              </a:ext>
            </a:extLst>
          </xdr:cNvPr>
          <xdr:cNvSpPr/>
        </xdr:nvSpPr>
        <xdr:spPr>
          <a:xfrm rot="10800000">
            <a:off x="2130014" y="2619934"/>
            <a:ext cx="387275" cy="110715"/>
          </a:xfrm>
          <a:prstGeom prst="left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sp macro="" textlink="">
        <xdr:nvSpPr>
          <xdr:cNvPr id="76" name="Flecha: doblada hacia arriba 75">
            <a:extLst>
              <a:ext uri="{FF2B5EF4-FFF2-40B4-BE49-F238E27FC236}">
                <a16:creationId xmlns:a16="http://schemas.microsoft.com/office/drawing/2014/main" id="{24DE378B-196E-8B93-3D29-6B282EBCC7D9}"/>
              </a:ext>
            </a:extLst>
          </xdr:cNvPr>
          <xdr:cNvSpPr/>
        </xdr:nvSpPr>
        <xdr:spPr>
          <a:xfrm rot="10800000" flipH="1" flipV="1">
            <a:off x="2186940" y="2286000"/>
            <a:ext cx="312165" cy="198120"/>
          </a:xfrm>
          <a:prstGeom prst="bent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10</xdr:col>
      <xdr:colOff>586740</xdr:colOff>
      <xdr:row>22</xdr:row>
      <xdr:rowOff>76200</xdr:rowOff>
    </xdr:from>
    <xdr:to>
      <xdr:col>11</xdr:col>
      <xdr:colOff>236220</xdr:colOff>
      <xdr:row>23</xdr:row>
      <xdr:rowOff>0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CC333ADA-D6BE-47A1-8FB6-526B1F333231}"/>
            </a:ext>
          </a:extLst>
        </xdr:cNvPr>
        <xdr:cNvSpPr txBox="1"/>
      </xdr:nvSpPr>
      <xdr:spPr>
        <a:xfrm>
          <a:off x="8511540" y="417576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45</a:t>
          </a:r>
        </a:p>
      </xdr:txBody>
    </xdr:sp>
    <xdr:clientData/>
  </xdr:twoCellAnchor>
  <xdr:twoCellAnchor>
    <xdr:from>
      <xdr:col>11</xdr:col>
      <xdr:colOff>167640</xdr:colOff>
      <xdr:row>23</xdr:row>
      <xdr:rowOff>30480</xdr:rowOff>
    </xdr:from>
    <xdr:to>
      <xdr:col>11</xdr:col>
      <xdr:colOff>609600</xdr:colOff>
      <xdr:row>23</xdr:row>
      <xdr:rowOff>137160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0838F81D-F1D7-429C-99FD-C8CFC7FE5935}"/>
            </a:ext>
          </a:extLst>
        </xdr:cNvPr>
        <xdr:cNvSpPr txBox="1"/>
      </xdr:nvSpPr>
      <xdr:spPr>
        <a:xfrm>
          <a:off x="8884920" y="431292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127</a:t>
          </a:r>
        </a:p>
      </xdr:txBody>
    </xdr:sp>
    <xdr:clientData/>
  </xdr:twoCellAnchor>
  <xdr:twoCellAnchor>
    <xdr:from>
      <xdr:col>11</xdr:col>
      <xdr:colOff>624840</xdr:colOff>
      <xdr:row>22</xdr:row>
      <xdr:rowOff>76200</xdr:rowOff>
    </xdr:from>
    <xdr:to>
      <xdr:col>12</xdr:col>
      <xdr:colOff>274320</xdr:colOff>
      <xdr:row>23</xdr:row>
      <xdr:rowOff>0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BF65D70B-7EBE-4E18-A710-C954185A9555}"/>
            </a:ext>
          </a:extLst>
        </xdr:cNvPr>
        <xdr:cNvSpPr txBox="1"/>
      </xdr:nvSpPr>
      <xdr:spPr>
        <a:xfrm>
          <a:off x="9342120" y="417576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56</a:t>
          </a:r>
        </a:p>
      </xdr:txBody>
    </xdr:sp>
    <xdr:clientData/>
  </xdr:twoCellAnchor>
  <xdr:twoCellAnchor>
    <xdr:from>
      <xdr:col>9</xdr:col>
      <xdr:colOff>533400</xdr:colOff>
      <xdr:row>9</xdr:row>
      <xdr:rowOff>121920</xdr:rowOff>
    </xdr:from>
    <xdr:to>
      <xdr:col>10</xdr:col>
      <xdr:colOff>182880</xdr:colOff>
      <xdr:row>10</xdr:row>
      <xdr:rowOff>45720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9A5C9971-FC3E-40A2-A01B-63CABB1C68DA}"/>
            </a:ext>
          </a:extLst>
        </xdr:cNvPr>
        <xdr:cNvSpPr txBox="1"/>
      </xdr:nvSpPr>
      <xdr:spPr>
        <a:xfrm>
          <a:off x="7665720" y="179070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359</a:t>
          </a:r>
        </a:p>
      </xdr:txBody>
    </xdr:sp>
    <xdr:clientData/>
  </xdr:twoCellAnchor>
  <xdr:twoCellAnchor>
    <xdr:from>
      <xdr:col>10</xdr:col>
      <xdr:colOff>182880</xdr:colOff>
      <xdr:row>8</xdr:row>
      <xdr:rowOff>152400</xdr:rowOff>
    </xdr:from>
    <xdr:to>
      <xdr:col>10</xdr:col>
      <xdr:colOff>624840</xdr:colOff>
      <xdr:row>9</xdr:row>
      <xdr:rowOff>76200</xdr:rowOff>
    </xdr:to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3EA81980-19F7-422E-A0CC-398C4848DAF0}"/>
            </a:ext>
          </a:extLst>
        </xdr:cNvPr>
        <xdr:cNvSpPr txBox="1"/>
      </xdr:nvSpPr>
      <xdr:spPr>
        <a:xfrm>
          <a:off x="8107680" y="163830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130</a:t>
          </a:r>
        </a:p>
      </xdr:txBody>
    </xdr:sp>
    <xdr:clientData/>
  </xdr:twoCellAnchor>
  <xdr:twoCellAnchor>
    <xdr:from>
      <xdr:col>10</xdr:col>
      <xdr:colOff>594360</xdr:colOff>
      <xdr:row>9</xdr:row>
      <xdr:rowOff>121920</xdr:rowOff>
    </xdr:from>
    <xdr:to>
      <xdr:col>11</xdr:col>
      <xdr:colOff>243840</xdr:colOff>
      <xdr:row>10</xdr:row>
      <xdr:rowOff>45720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4703B1A6-ACD2-4F2D-ADD7-3FF9E2117EE3}"/>
            </a:ext>
          </a:extLst>
        </xdr:cNvPr>
        <xdr:cNvSpPr txBox="1"/>
      </xdr:nvSpPr>
      <xdr:spPr>
        <a:xfrm>
          <a:off x="8519160" y="1790700"/>
          <a:ext cx="441960" cy="10668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/>
            <a:t>285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4533-3715-4A9D-BBE2-1EB2DB9DE180}">
  <dimension ref="A1:Q116"/>
  <sheetViews>
    <sheetView topLeftCell="H1" workbookViewId="0">
      <selection activeCell="N4" sqref="N4:N16"/>
    </sheetView>
  </sheetViews>
  <sheetFormatPr baseColWidth="10" defaultRowHeight="14.4" x14ac:dyDescent="0.3"/>
  <cols>
    <col min="2" max="2" width="15.33203125" customWidth="1"/>
    <col min="3" max="3" width="14.109375" customWidth="1"/>
    <col min="4" max="4" width="11.6640625" customWidth="1"/>
    <col min="5" max="5" width="11" customWidth="1"/>
    <col min="10" max="10" width="2.88671875" customWidth="1"/>
    <col min="11" max="11" width="2.109375" customWidth="1"/>
    <col min="13" max="13" width="4.21875" customWidth="1"/>
    <col min="14" max="14" width="26.77734375" customWidth="1"/>
    <col min="16" max="16" width="6.44140625" customWidth="1"/>
  </cols>
  <sheetData>
    <row r="1" spans="1:17" ht="15" thickBot="1" x14ac:dyDescent="0.35"/>
    <row r="2" spans="1:17" ht="15" thickBot="1" x14ac:dyDescent="0.35">
      <c r="C2" s="198" t="s">
        <v>27</v>
      </c>
      <c r="D2" s="199"/>
      <c r="E2" s="199"/>
      <c r="F2" s="199"/>
      <c r="G2" s="200"/>
      <c r="M2" s="198" t="s">
        <v>28</v>
      </c>
      <c r="N2" s="199"/>
      <c r="O2" s="199"/>
      <c r="P2" s="199"/>
      <c r="Q2" s="200"/>
    </row>
    <row r="3" spans="1:17" ht="15" thickBot="1" x14ac:dyDescent="0.35"/>
    <row r="4" spans="1:17" ht="15" thickBot="1" x14ac:dyDescent="0.35">
      <c r="B4" s="4" t="s">
        <v>2</v>
      </c>
      <c r="C4" s="5" t="s">
        <v>3</v>
      </c>
      <c r="D4" s="5" t="s">
        <v>0</v>
      </c>
      <c r="E4" s="5" t="s">
        <v>1</v>
      </c>
      <c r="F4" s="6" t="s">
        <v>4</v>
      </c>
      <c r="G4" s="5" t="s">
        <v>5</v>
      </c>
      <c r="H4" s="7" t="s">
        <v>6</v>
      </c>
      <c r="N4" s="4" t="s">
        <v>2</v>
      </c>
      <c r="O4" s="5" t="s">
        <v>29</v>
      </c>
    </row>
    <row r="5" spans="1:17" x14ac:dyDescent="0.3">
      <c r="B5" s="186" t="s">
        <v>21</v>
      </c>
      <c r="C5" s="2">
        <v>27339</v>
      </c>
      <c r="D5" s="189">
        <f>SUM(C5:C11)/7</f>
        <v>27649</v>
      </c>
      <c r="E5" s="192">
        <f>SQRT(((C6-D5)^2)+((C7-D5)^2)+((C8-D5)^2)+((C9-D5)^2)+((C10-D5)^2)+((C11-D5)^2)+((C5-D5)^2))/6</f>
        <v>434.14161795944466</v>
      </c>
      <c r="F5" s="192">
        <f>(E5/(SQRT(7)))*(SQRT((365-7)/(365-1)))</f>
        <v>162.73209739450323</v>
      </c>
      <c r="G5" s="195">
        <v>1.96</v>
      </c>
      <c r="H5" s="183">
        <f>D5+(G5*F5)</f>
        <v>27967.954910893226</v>
      </c>
      <c r="N5" s="28" t="s">
        <v>30</v>
      </c>
      <c r="O5" s="31">
        <v>2261</v>
      </c>
    </row>
    <row r="6" spans="1:17" x14ac:dyDescent="0.3">
      <c r="B6" s="187"/>
      <c r="C6" s="1">
        <v>26318</v>
      </c>
      <c r="D6" s="190"/>
      <c r="E6" s="193"/>
      <c r="F6" s="193"/>
      <c r="G6" s="196"/>
      <c r="H6" s="184"/>
      <c r="N6" s="29" t="s">
        <v>31</v>
      </c>
      <c r="O6" s="32"/>
    </row>
    <row r="7" spans="1:17" x14ac:dyDescent="0.3">
      <c r="B7" s="187"/>
      <c r="C7" s="1">
        <v>27052</v>
      </c>
      <c r="D7" s="190"/>
      <c r="E7" s="193"/>
      <c r="F7" s="193"/>
      <c r="G7" s="196"/>
      <c r="H7" s="184"/>
      <c r="N7" s="29" t="s">
        <v>32</v>
      </c>
      <c r="O7" s="32"/>
    </row>
    <row r="8" spans="1:17" x14ac:dyDescent="0.3">
      <c r="A8">
        <v>27647</v>
      </c>
      <c r="B8" s="187"/>
      <c r="C8" s="1">
        <v>28633</v>
      </c>
      <c r="D8" s="190"/>
      <c r="E8" s="193"/>
      <c r="F8" s="193"/>
      <c r="G8" s="196"/>
      <c r="H8" s="184"/>
      <c r="N8" s="29" t="s">
        <v>33</v>
      </c>
      <c r="O8" s="32"/>
    </row>
    <row r="9" spans="1:17" x14ac:dyDescent="0.3">
      <c r="B9" s="187"/>
      <c r="C9" s="1">
        <v>29475</v>
      </c>
      <c r="D9" s="190"/>
      <c r="E9" s="193"/>
      <c r="F9" s="193"/>
      <c r="G9" s="196"/>
      <c r="H9" s="184"/>
      <c r="N9" s="29" t="s">
        <v>34</v>
      </c>
      <c r="O9" s="32"/>
    </row>
    <row r="10" spans="1:17" x14ac:dyDescent="0.3">
      <c r="B10" s="187"/>
      <c r="C10" s="1">
        <v>27581</v>
      </c>
      <c r="D10" s="190"/>
      <c r="E10" s="193"/>
      <c r="F10" s="193"/>
      <c r="G10" s="196"/>
      <c r="H10" s="184"/>
      <c r="N10" s="29" t="s">
        <v>35</v>
      </c>
      <c r="O10" s="32"/>
    </row>
    <row r="11" spans="1:17" ht="15" thickBot="1" x14ac:dyDescent="0.35">
      <c r="B11" s="188"/>
      <c r="C11" s="3">
        <v>27145</v>
      </c>
      <c r="D11" s="191"/>
      <c r="E11" s="194"/>
      <c r="F11" s="194"/>
      <c r="G11" s="197"/>
      <c r="H11" s="185"/>
      <c r="N11" s="29" t="s">
        <v>36</v>
      </c>
      <c r="O11" s="32"/>
    </row>
    <row r="12" spans="1:17" x14ac:dyDescent="0.3">
      <c r="B12" s="186" t="s">
        <v>22</v>
      </c>
      <c r="C12" s="2">
        <v>29364</v>
      </c>
      <c r="D12" s="192">
        <f>SUM(C12:C18)/7</f>
        <v>29396.857142857141</v>
      </c>
      <c r="E12" s="192">
        <f>SQRT(((C13-D12)^2)+((C14-D12)^2)+((C15-D12)^2)+((C16-D12)^2)+((C17-D12)^2)+((C18-D12)^2)+((C12-D12)^2))/6</f>
        <v>279.62091685504708</v>
      </c>
      <c r="F12" s="192">
        <f>(E12/(SQRT(7)))*(SQRT((365-7)/(365-1)))</f>
        <v>104.81210829100125</v>
      </c>
      <c r="G12" s="195">
        <v>1.96</v>
      </c>
      <c r="H12" s="183">
        <f>D12+(G12*F12)</f>
        <v>29602.288875107504</v>
      </c>
      <c r="N12" s="29" t="s">
        <v>37</v>
      </c>
      <c r="O12" s="32"/>
    </row>
    <row r="13" spans="1:17" x14ac:dyDescent="0.3">
      <c r="B13" s="187"/>
      <c r="C13" s="1">
        <v>28693</v>
      </c>
      <c r="D13" s="193"/>
      <c r="E13" s="193"/>
      <c r="F13" s="193"/>
      <c r="G13" s="196"/>
      <c r="H13" s="184"/>
      <c r="N13" s="29" t="s">
        <v>38</v>
      </c>
      <c r="O13" s="32"/>
    </row>
    <row r="14" spans="1:17" x14ac:dyDescent="0.3">
      <c r="B14" s="187"/>
      <c r="C14" s="1">
        <v>29182</v>
      </c>
      <c r="D14" s="193"/>
      <c r="E14" s="193"/>
      <c r="F14" s="193"/>
      <c r="G14" s="196"/>
      <c r="H14" s="184"/>
      <c r="N14" s="29" t="s">
        <v>39</v>
      </c>
      <c r="O14" s="32"/>
    </row>
    <row r="15" spans="1:17" x14ac:dyDescent="0.3">
      <c r="A15">
        <v>29397</v>
      </c>
      <c r="B15" s="187"/>
      <c r="C15" s="1">
        <v>29368</v>
      </c>
      <c r="D15" s="193"/>
      <c r="E15" s="193"/>
      <c r="F15" s="193"/>
      <c r="G15" s="196"/>
      <c r="H15" s="184"/>
      <c r="N15" s="29" t="s">
        <v>40</v>
      </c>
      <c r="O15" s="32"/>
    </row>
    <row r="16" spans="1:17" ht="15" thickBot="1" x14ac:dyDescent="0.35">
      <c r="B16" s="187"/>
      <c r="C16" s="1">
        <v>30837</v>
      </c>
      <c r="D16" s="193"/>
      <c r="E16" s="193"/>
      <c r="F16" s="193"/>
      <c r="G16" s="196"/>
      <c r="H16" s="184"/>
      <c r="N16" s="30" t="s">
        <v>41</v>
      </c>
      <c r="O16" s="33"/>
    </row>
    <row r="17" spans="1:8" x14ac:dyDescent="0.3">
      <c r="B17" s="187"/>
      <c r="C17" s="1">
        <v>29381</v>
      </c>
      <c r="D17" s="193"/>
      <c r="E17" s="193"/>
      <c r="F17" s="193"/>
      <c r="G17" s="196"/>
      <c r="H17" s="184"/>
    </row>
    <row r="18" spans="1:8" ht="15" thickBot="1" x14ac:dyDescent="0.35">
      <c r="B18" s="188"/>
      <c r="C18" s="3">
        <v>28953</v>
      </c>
      <c r="D18" s="194"/>
      <c r="E18" s="194"/>
      <c r="F18" s="194"/>
      <c r="G18" s="197"/>
      <c r="H18" s="185"/>
    </row>
    <row r="19" spans="1:8" x14ac:dyDescent="0.3">
      <c r="B19" s="186" t="s">
        <v>7</v>
      </c>
      <c r="C19" s="2">
        <v>18270</v>
      </c>
      <c r="D19" s="192">
        <f>SUM(C19:C25)/7</f>
        <v>18731.714285714286</v>
      </c>
      <c r="E19" s="192">
        <f>SQRT(((C20-D19)^2)+((C21-D19)^2)+((C22-D19)^2)+((C23-D19)^2)+((C24-D19)^2)+((C25-D19)^2)+((C19-D19)^2))/6</f>
        <v>283.73791841980932</v>
      </c>
      <c r="F19" s="192">
        <f>(E19/(SQRT(7)))*(SQRT((365-7)/(365-1)))</f>
        <v>106.35531049022647</v>
      </c>
      <c r="G19" s="195">
        <v>1.96</v>
      </c>
      <c r="H19" s="183">
        <f>D19+(G19*F19)</f>
        <v>18940.17069427513</v>
      </c>
    </row>
    <row r="20" spans="1:8" x14ac:dyDescent="0.3">
      <c r="B20" s="187"/>
      <c r="C20" s="1">
        <v>19713</v>
      </c>
      <c r="D20" s="193"/>
      <c r="E20" s="193"/>
      <c r="F20" s="193"/>
      <c r="G20" s="196"/>
      <c r="H20" s="184"/>
    </row>
    <row r="21" spans="1:8" x14ac:dyDescent="0.3">
      <c r="B21" s="187"/>
      <c r="C21" s="1">
        <v>18562</v>
      </c>
      <c r="D21" s="193"/>
      <c r="E21" s="193"/>
      <c r="F21" s="193"/>
      <c r="G21" s="196"/>
      <c r="H21" s="184"/>
    </row>
    <row r="22" spans="1:8" x14ac:dyDescent="0.3">
      <c r="A22">
        <v>18731</v>
      </c>
      <c r="B22" s="187"/>
      <c r="C22" s="1">
        <v>17843</v>
      </c>
      <c r="D22" s="193"/>
      <c r="E22" s="193"/>
      <c r="F22" s="193"/>
      <c r="G22" s="196"/>
      <c r="H22" s="184"/>
    </row>
    <row r="23" spans="1:8" x14ac:dyDescent="0.3">
      <c r="B23" s="187"/>
      <c r="C23" s="1">
        <v>18859</v>
      </c>
      <c r="D23" s="193"/>
      <c r="E23" s="193"/>
      <c r="F23" s="193"/>
      <c r="G23" s="196"/>
      <c r="H23" s="184"/>
    </row>
    <row r="24" spans="1:8" x14ac:dyDescent="0.3">
      <c r="B24" s="187"/>
      <c r="C24" s="1">
        <v>19571</v>
      </c>
      <c r="D24" s="193"/>
      <c r="E24" s="193"/>
      <c r="F24" s="193"/>
      <c r="G24" s="196"/>
      <c r="H24" s="184"/>
    </row>
    <row r="25" spans="1:8" ht="15" thickBot="1" x14ac:dyDescent="0.35">
      <c r="B25" s="188"/>
      <c r="C25" s="3">
        <v>18304</v>
      </c>
      <c r="D25" s="194"/>
      <c r="E25" s="194"/>
      <c r="F25" s="194"/>
      <c r="G25" s="197"/>
      <c r="H25" s="185"/>
    </row>
    <row r="26" spans="1:8" x14ac:dyDescent="0.3">
      <c r="B26" s="186" t="s">
        <v>8</v>
      </c>
      <c r="C26" s="2">
        <v>19913</v>
      </c>
      <c r="D26" s="189">
        <f>SUM(C26:C32)/7</f>
        <v>19908</v>
      </c>
      <c r="E26" s="192">
        <f>SQRT(((C27-D26)^2)+((C28-D26)^2)+((C29-D26)^2)+((C30-D26)^2)+((C31-D26)^2)+((C32-D26)^2)+((C26-D26)^2))/6</f>
        <v>245.43136628303148</v>
      </c>
      <c r="F26" s="192">
        <f>(E26/(SQRT(7)))*(SQRT((365-7)/(365-1)))</f>
        <v>91.996618958948162</v>
      </c>
      <c r="G26" s="195">
        <v>1.96</v>
      </c>
      <c r="H26" s="183">
        <f>D26+(G26*F26)</f>
        <v>20088.313373159537</v>
      </c>
    </row>
    <row r="27" spans="1:8" x14ac:dyDescent="0.3">
      <c r="B27" s="187"/>
      <c r="C27" s="1">
        <v>20514</v>
      </c>
      <c r="D27" s="190"/>
      <c r="E27" s="193"/>
      <c r="F27" s="193"/>
      <c r="G27" s="196"/>
      <c r="H27" s="184"/>
    </row>
    <row r="28" spans="1:8" x14ac:dyDescent="0.3">
      <c r="B28" s="187"/>
      <c r="C28" s="1">
        <v>19946</v>
      </c>
      <c r="D28" s="190"/>
      <c r="E28" s="193"/>
      <c r="F28" s="193"/>
      <c r="G28" s="196"/>
      <c r="H28" s="184"/>
    </row>
    <row r="29" spans="1:8" x14ac:dyDescent="0.3">
      <c r="A29">
        <v>19907</v>
      </c>
      <c r="B29" s="187"/>
      <c r="C29" s="1">
        <v>18815</v>
      </c>
      <c r="D29" s="190"/>
      <c r="E29" s="193"/>
      <c r="F29" s="193"/>
      <c r="G29" s="196"/>
      <c r="H29" s="184"/>
    </row>
    <row r="30" spans="1:8" x14ac:dyDescent="0.3">
      <c r="B30" s="187"/>
      <c r="C30" s="1">
        <v>20631</v>
      </c>
      <c r="D30" s="190"/>
      <c r="E30" s="193"/>
      <c r="F30" s="193"/>
      <c r="G30" s="196"/>
      <c r="H30" s="184"/>
    </row>
    <row r="31" spans="1:8" x14ac:dyDescent="0.3">
      <c r="B31" s="187"/>
      <c r="C31" s="1">
        <v>19621</v>
      </c>
      <c r="D31" s="190"/>
      <c r="E31" s="193"/>
      <c r="F31" s="193"/>
      <c r="G31" s="196"/>
      <c r="H31" s="184"/>
    </row>
    <row r="32" spans="1:8" ht="15" thickBot="1" x14ac:dyDescent="0.35">
      <c r="B32" s="188"/>
      <c r="C32" s="3">
        <v>19916</v>
      </c>
      <c r="D32" s="191"/>
      <c r="E32" s="194"/>
      <c r="F32" s="194"/>
      <c r="G32" s="197"/>
      <c r="H32" s="185"/>
    </row>
    <row r="33" spans="1:8" x14ac:dyDescent="0.3">
      <c r="B33" s="186" t="s">
        <v>9</v>
      </c>
      <c r="C33" s="2">
        <v>19867</v>
      </c>
      <c r="D33" s="192">
        <f>SUM(C33:C39)/7</f>
        <v>19699.857142857141</v>
      </c>
      <c r="E33" s="192">
        <f>SQRT(((C34-D33)^2)+((C35-D33)^2)+((C36-D33)^2)+((C37-D33)^2)+((C38-D33)^2)+((C39-D33)^2)+((C33-D33)^2))/6</f>
        <v>151.99642330796044</v>
      </c>
      <c r="F33" s="192">
        <f>(E33/(SQRT(7)))*(SQRT((365-7)/(365-1)))</f>
        <v>56.973797807326896</v>
      </c>
      <c r="G33" s="195">
        <v>1.96</v>
      </c>
      <c r="H33" s="183">
        <f>D33+(G33*F33)</f>
        <v>19811.525786559501</v>
      </c>
    </row>
    <row r="34" spans="1:8" x14ac:dyDescent="0.3">
      <c r="B34" s="187"/>
      <c r="C34" s="1">
        <v>20366</v>
      </c>
      <c r="D34" s="193"/>
      <c r="E34" s="193"/>
      <c r="F34" s="193"/>
      <c r="G34" s="196"/>
      <c r="H34" s="184"/>
    </row>
    <row r="35" spans="1:8" x14ac:dyDescent="0.3">
      <c r="B35" s="187"/>
      <c r="C35" s="1">
        <v>19869</v>
      </c>
      <c r="D35" s="193"/>
      <c r="E35" s="193"/>
      <c r="F35" s="193"/>
      <c r="G35" s="196"/>
      <c r="H35" s="184"/>
    </row>
    <row r="36" spans="1:8" x14ac:dyDescent="0.3">
      <c r="A36">
        <v>19699</v>
      </c>
      <c r="B36" s="187"/>
      <c r="C36" s="1">
        <v>19261</v>
      </c>
      <c r="D36" s="193"/>
      <c r="E36" s="193"/>
      <c r="F36" s="193"/>
      <c r="G36" s="196"/>
      <c r="H36" s="184"/>
    </row>
    <row r="37" spans="1:8" x14ac:dyDescent="0.3">
      <c r="B37" s="187"/>
      <c r="C37" s="1">
        <v>19495</v>
      </c>
      <c r="D37" s="193"/>
      <c r="E37" s="193"/>
      <c r="F37" s="193"/>
      <c r="G37" s="196"/>
      <c r="H37" s="184"/>
    </row>
    <row r="38" spans="1:8" x14ac:dyDescent="0.3">
      <c r="B38" s="187"/>
      <c r="C38" s="1">
        <v>19393</v>
      </c>
      <c r="D38" s="193"/>
      <c r="E38" s="193"/>
      <c r="F38" s="193"/>
      <c r="G38" s="196"/>
      <c r="H38" s="184"/>
    </row>
    <row r="39" spans="1:8" ht="15" thickBot="1" x14ac:dyDescent="0.35">
      <c r="B39" s="188"/>
      <c r="C39" s="3">
        <v>19648</v>
      </c>
      <c r="D39" s="194"/>
      <c r="E39" s="194"/>
      <c r="F39" s="194"/>
      <c r="G39" s="197"/>
      <c r="H39" s="185"/>
    </row>
    <row r="40" spans="1:8" x14ac:dyDescent="0.3">
      <c r="B40" s="186" t="s">
        <v>10</v>
      </c>
      <c r="C40" s="2">
        <v>21418</v>
      </c>
      <c r="D40" s="192">
        <f>SUM(C40:C46)/7</f>
        <v>21381.285714285714</v>
      </c>
      <c r="E40" s="192">
        <f>SQRT(((C41-D40)^2)+((C42-D40)^2)+((C43-D40)^2)+((C44-D40)^2)+((C45-D40)^2)+((C46-D40)^2)+((C40-D40)^2))/6</f>
        <v>261.83346215631394</v>
      </c>
      <c r="F40" s="192">
        <f>(E40/(SQRT(7)))*(SQRT((365-7)/(365-1)))</f>
        <v>98.144722141661958</v>
      </c>
      <c r="G40" s="195">
        <v>1.96</v>
      </c>
      <c r="H40" s="183">
        <f>D40+(G40*F40)</f>
        <v>21573.649369683371</v>
      </c>
    </row>
    <row r="41" spans="1:8" x14ac:dyDescent="0.3">
      <c r="B41" s="187"/>
      <c r="C41" s="1">
        <v>22589</v>
      </c>
      <c r="D41" s="193"/>
      <c r="E41" s="193"/>
      <c r="F41" s="193"/>
      <c r="G41" s="196"/>
      <c r="H41" s="184"/>
    </row>
    <row r="42" spans="1:8" x14ac:dyDescent="0.3">
      <c r="B42" s="187"/>
      <c r="C42" s="1">
        <v>20988</v>
      </c>
      <c r="D42" s="193"/>
      <c r="E42" s="193"/>
      <c r="F42" s="193"/>
      <c r="G42" s="196"/>
      <c r="H42" s="184"/>
    </row>
    <row r="43" spans="1:8" x14ac:dyDescent="0.3">
      <c r="A43">
        <v>21380</v>
      </c>
      <c r="B43" s="187"/>
      <c r="C43" s="1">
        <v>20961</v>
      </c>
      <c r="D43" s="193"/>
      <c r="E43" s="193"/>
      <c r="F43" s="193"/>
      <c r="G43" s="196"/>
      <c r="H43" s="184"/>
    </row>
    <row r="44" spans="1:8" x14ac:dyDescent="0.3">
      <c r="B44" s="187"/>
      <c r="C44" s="1">
        <v>20665</v>
      </c>
      <c r="D44" s="193"/>
      <c r="E44" s="193"/>
      <c r="F44" s="193"/>
      <c r="G44" s="196"/>
      <c r="H44" s="184"/>
    </row>
    <row r="45" spans="1:8" x14ac:dyDescent="0.3">
      <c r="B45" s="187"/>
      <c r="C45" s="1">
        <v>21772</v>
      </c>
      <c r="D45" s="193"/>
      <c r="E45" s="193"/>
      <c r="F45" s="193"/>
      <c r="G45" s="196"/>
      <c r="H45" s="184"/>
    </row>
    <row r="46" spans="1:8" ht="15" thickBot="1" x14ac:dyDescent="0.35">
      <c r="B46" s="188"/>
      <c r="C46" s="3">
        <v>21276</v>
      </c>
      <c r="D46" s="194"/>
      <c r="E46" s="194"/>
      <c r="F46" s="194"/>
      <c r="G46" s="197"/>
      <c r="H46" s="185"/>
    </row>
    <row r="47" spans="1:8" x14ac:dyDescent="0.3">
      <c r="B47" s="186" t="s">
        <v>11</v>
      </c>
      <c r="C47" s="2">
        <v>10836</v>
      </c>
      <c r="D47" s="192">
        <f>SUM(C47:C53)/7</f>
        <v>11747.857142857143</v>
      </c>
      <c r="E47" s="192">
        <f>SQRT(((C48-D47)^2)+((C49-D47)^2)+((C50-D47)^2)+((C51-D47)^2)+((C52-D47)^2)+((C53-D47)^2)+((C47-D47)^2))/6</f>
        <v>362.47593242490126</v>
      </c>
      <c r="F47" s="192">
        <f>(E47/(SQRT(7)))*(SQRT((365-7)/(365-1)))</f>
        <v>135.86918714630724</v>
      </c>
      <c r="G47" s="195">
        <v>1.96</v>
      </c>
      <c r="H47" s="183">
        <f>D47+(G47*F47)</f>
        <v>12014.160749663904</v>
      </c>
    </row>
    <row r="48" spans="1:8" x14ac:dyDescent="0.3">
      <c r="B48" s="187"/>
      <c r="C48" s="1">
        <v>10868</v>
      </c>
      <c r="D48" s="193"/>
      <c r="E48" s="193"/>
      <c r="F48" s="193"/>
      <c r="G48" s="196"/>
      <c r="H48" s="184"/>
    </row>
    <row r="49" spans="1:8" x14ac:dyDescent="0.3">
      <c r="B49" s="187"/>
      <c r="C49" s="1">
        <v>11237</v>
      </c>
      <c r="D49" s="193"/>
      <c r="E49" s="193"/>
      <c r="F49" s="193"/>
      <c r="G49" s="196"/>
      <c r="H49" s="184"/>
    </row>
    <row r="50" spans="1:8" x14ac:dyDescent="0.3">
      <c r="A50">
        <v>11747</v>
      </c>
      <c r="B50" s="187"/>
      <c r="C50" s="1">
        <v>12246</v>
      </c>
      <c r="D50" s="193"/>
      <c r="E50" s="193"/>
      <c r="F50" s="193"/>
      <c r="G50" s="196"/>
      <c r="H50" s="184"/>
    </row>
    <row r="51" spans="1:8" x14ac:dyDescent="0.3">
      <c r="B51" s="187"/>
      <c r="C51" s="1">
        <v>12014</v>
      </c>
      <c r="D51" s="193"/>
      <c r="E51" s="193"/>
      <c r="F51" s="193"/>
      <c r="G51" s="196"/>
      <c r="H51" s="184"/>
    </row>
    <row r="52" spans="1:8" x14ac:dyDescent="0.3">
      <c r="B52" s="187"/>
      <c r="C52" s="1">
        <v>11692</v>
      </c>
      <c r="D52" s="193"/>
      <c r="E52" s="193"/>
      <c r="F52" s="193"/>
      <c r="G52" s="196"/>
      <c r="H52" s="184"/>
    </row>
    <row r="53" spans="1:8" ht="15" thickBot="1" x14ac:dyDescent="0.35">
      <c r="B53" s="188"/>
      <c r="C53" s="3">
        <v>13342</v>
      </c>
      <c r="D53" s="194"/>
      <c r="E53" s="194"/>
      <c r="F53" s="194"/>
      <c r="G53" s="197"/>
      <c r="H53" s="185"/>
    </row>
    <row r="54" spans="1:8" x14ac:dyDescent="0.3">
      <c r="B54" s="186" t="s">
        <v>12</v>
      </c>
      <c r="C54" s="2">
        <v>10787</v>
      </c>
      <c r="D54" s="192">
        <f>SUM(C54:C60)/7</f>
        <v>12250.714285714286</v>
      </c>
      <c r="E54" s="192">
        <f>SQRT(((C55-D54)^2)+((C56-D54)^2)+((C57-D54)^2)+((C58-D54)^2)+((C59-D54)^2)+((C60-D54)^2)+((C54-D54)^2))/6</f>
        <v>574.43966486605757</v>
      </c>
      <c r="F54" s="192">
        <f>(E54/(SQRT(7)))*(SQRT((365-7)/(365-1)))</f>
        <v>215.32091746841346</v>
      </c>
      <c r="G54" s="195">
        <v>1.96</v>
      </c>
      <c r="H54" s="183">
        <f>D54+(G54*F54)</f>
        <v>12672.743283952377</v>
      </c>
    </row>
    <row r="55" spans="1:8" x14ac:dyDescent="0.3">
      <c r="B55" s="187"/>
      <c r="C55" s="1">
        <v>10975</v>
      </c>
      <c r="D55" s="193"/>
      <c r="E55" s="193"/>
      <c r="F55" s="193"/>
      <c r="G55" s="196"/>
      <c r="H55" s="184"/>
    </row>
    <row r="56" spans="1:8" x14ac:dyDescent="0.3">
      <c r="B56" s="187"/>
      <c r="C56" s="1">
        <v>13259</v>
      </c>
      <c r="D56" s="193"/>
      <c r="E56" s="193"/>
      <c r="F56" s="193"/>
      <c r="G56" s="196"/>
      <c r="H56" s="184"/>
    </row>
    <row r="57" spans="1:8" x14ac:dyDescent="0.3">
      <c r="B57" s="187"/>
      <c r="C57" s="1">
        <v>13106</v>
      </c>
      <c r="D57" s="193"/>
      <c r="E57" s="193"/>
      <c r="F57" s="193"/>
      <c r="G57" s="196"/>
      <c r="H57" s="184"/>
    </row>
    <row r="58" spans="1:8" x14ac:dyDescent="0.3">
      <c r="A58">
        <v>12250</v>
      </c>
      <c r="B58" s="187"/>
      <c r="C58" s="1">
        <v>13221</v>
      </c>
      <c r="D58" s="193"/>
      <c r="E58" s="193"/>
      <c r="F58" s="193"/>
      <c r="G58" s="196"/>
      <c r="H58" s="184"/>
    </row>
    <row r="59" spans="1:8" x14ac:dyDescent="0.3">
      <c r="B59" s="187"/>
      <c r="C59" s="1">
        <v>10558</v>
      </c>
      <c r="D59" s="193"/>
      <c r="E59" s="193"/>
      <c r="F59" s="193"/>
      <c r="G59" s="196"/>
      <c r="H59" s="184"/>
    </row>
    <row r="60" spans="1:8" ht="15" thickBot="1" x14ac:dyDescent="0.35">
      <c r="B60" s="188"/>
      <c r="C60" s="3">
        <v>13849</v>
      </c>
      <c r="D60" s="194"/>
      <c r="E60" s="194"/>
      <c r="F60" s="194"/>
      <c r="G60" s="197"/>
      <c r="H60" s="185"/>
    </row>
    <row r="61" spans="1:8" x14ac:dyDescent="0.3">
      <c r="B61" s="186" t="s">
        <v>13</v>
      </c>
      <c r="C61" s="2">
        <v>3840</v>
      </c>
      <c r="D61" s="189">
        <f>SUM(C61:C67)/7</f>
        <v>4334</v>
      </c>
      <c r="E61" s="192">
        <f>SQRT(((C62-D61)^2)+((C63-D61)^2)+((C64-D61)^2)+((C65-D61)^2)+((C66-D61)^2)+((C67-D61)^2)+((C61-D61)^2))/6</f>
        <v>527.53535953105131</v>
      </c>
      <c r="F61" s="192">
        <f>(E61/(SQRT(7)))*(SQRT((365-7)/(365-1)))</f>
        <v>197.73947475883483</v>
      </c>
      <c r="G61" s="195">
        <v>1.96</v>
      </c>
      <c r="H61" s="183">
        <f>D61+(G61*F61)</f>
        <v>4721.5693705273161</v>
      </c>
    </row>
    <row r="62" spans="1:8" x14ac:dyDescent="0.3">
      <c r="B62" s="187"/>
      <c r="C62" s="1">
        <v>2942</v>
      </c>
      <c r="D62" s="190"/>
      <c r="E62" s="193"/>
      <c r="F62" s="193"/>
      <c r="G62" s="196"/>
      <c r="H62" s="184"/>
    </row>
    <row r="63" spans="1:8" x14ac:dyDescent="0.3">
      <c r="B63" s="187"/>
      <c r="C63" s="1">
        <v>5073</v>
      </c>
      <c r="D63" s="190"/>
      <c r="E63" s="193"/>
      <c r="F63" s="193"/>
      <c r="G63" s="196"/>
      <c r="H63" s="184"/>
    </row>
    <row r="64" spans="1:8" x14ac:dyDescent="0.3">
      <c r="A64">
        <v>4334</v>
      </c>
      <c r="B64" s="187"/>
      <c r="C64" s="1">
        <v>2337</v>
      </c>
      <c r="D64" s="190"/>
      <c r="E64" s="193"/>
      <c r="F64" s="193"/>
      <c r="G64" s="196"/>
      <c r="H64" s="184"/>
    </row>
    <row r="65" spans="1:8" x14ac:dyDescent="0.3">
      <c r="B65" s="187"/>
      <c r="C65" s="1">
        <v>5311</v>
      </c>
      <c r="D65" s="190"/>
      <c r="E65" s="193"/>
      <c r="F65" s="193"/>
      <c r="G65" s="196"/>
      <c r="H65" s="184"/>
    </row>
    <row r="66" spans="1:8" x14ac:dyDescent="0.3">
      <c r="B66" s="187"/>
      <c r="C66" s="1">
        <v>5429</v>
      </c>
      <c r="D66" s="190"/>
      <c r="E66" s="193"/>
      <c r="F66" s="193"/>
      <c r="G66" s="196"/>
      <c r="H66" s="184"/>
    </row>
    <row r="67" spans="1:8" ht="15" thickBot="1" x14ac:dyDescent="0.35">
      <c r="B67" s="188"/>
      <c r="C67" s="3">
        <v>5406</v>
      </c>
      <c r="D67" s="191"/>
      <c r="E67" s="194"/>
      <c r="F67" s="194"/>
      <c r="G67" s="197"/>
      <c r="H67" s="185"/>
    </row>
    <row r="68" spans="1:8" x14ac:dyDescent="0.3">
      <c r="B68" s="186" t="s">
        <v>14</v>
      </c>
      <c r="C68" s="2">
        <v>1892</v>
      </c>
      <c r="D68" s="192">
        <f>SUM(C68:C74)/7</f>
        <v>1859.1428571428571</v>
      </c>
      <c r="E68" s="192">
        <f>SQRT(((C69-D68)^2)+((C70-D68)^2)+((C71-D68)^2)+((C72-D68)^2)+((C73-D68)^2)+((C74-D68)^2)+((C68-D68)^2))/6</f>
        <v>37.429510469257458</v>
      </c>
      <c r="F68" s="192">
        <f>(E68/(SQRT(7)))*(SQRT((365-7)/(365-1)))</f>
        <v>14.029944357190772</v>
      </c>
      <c r="G68" s="195">
        <v>1.96</v>
      </c>
      <c r="H68" s="183">
        <f>D68+(G68*F68)</f>
        <v>1886.641548082951</v>
      </c>
    </row>
    <row r="69" spans="1:8" x14ac:dyDescent="0.3">
      <c r="B69" s="187"/>
      <c r="C69" s="1">
        <v>1766</v>
      </c>
      <c r="D69" s="193"/>
      <c r="E69" s="193"/>
      <c r="F69" s="193"/>
      <c r="G69" s="196"/>
      <c r="H69" s="184"/>
    </row>
    <row r="70" spans="1:8" x14ac:dyDescent="0.3">
      <c r="B70" s="187"/>
      <c r="C70" s="1">
        <v>1951</v>
      </c>
      <c r="D70" s="193"/>
      <c r="E70" s="193"/>
      <c r="F70" s="193"/>
      <c r="G70" s="196"/>
      <c r="H70" s="184"/>
    </row>
    <row r="71" spans="1:8" x14ac:dyDescent="0.3">
      <c r="A71">
        <v>1858</v>
      </c>
      <c r="B71" s="187"/>
      <c r="C71" s="1">
        <v>1897</v>
      </c>
      <c r="D71" s="193"/>
      <c r="E71" s="193"/>
      <c r="F71" s="193"/>
      <c r="G71" s="196"/>
      <c r="H71" s="184"/>
    </row>
    <row r="72" spans="1:8" x14ac:dyDescent="0.3">
      <c r="B72" s="187"/>
      <c r="C72" s="1">
        <v>1972</v>
      </c>
      <c r="D72" s="193"/>
      <c r="E72" s="193"/>
      <c r="F72" s="193"/>
      <c r="G72" s="196"/>
      <c r="H72" s="184"/>
    </row>
    <row r="73" spans="1:8" x14ac:dyDescent="0.3">
      <c r="B73" s="187"/>
      <c r="C73" s="1">
        <v>1795</v>
      </c>
      <c r="D73" s="193"/>
      <c r="E73" s="193"/>
      <c r="F73" s="193"/>
      <c r="G73" s="196"/>
      <c r="H73" s="184"/>
    </row>
    <row r="74" spans="1:8" ht="15" thickBot="1" x14ac:dyDescent="0.35">
      <c r="B74" s="188"/>
      <c r="C74" s="3">
        <v>1741</v>
      </c>
      <c r="D74" s="194"/>
      <c r="E74" s="194"/>
      <c r="F74" s="194"/>
      <c r="G74" s="197"/>
      <c r="H74" s="185"/>
    </row>
    <row r="75" spans="1:8" x14ac:dyDescent="0.3">
      <c r="B75" s="186" t="s">
        <v>15</v>
      </c>
      <c r="C75" s="2">
        <v>3912</v>
      </c>
      <c r="D75" s="192">
        <f>SUM(C75:C81)/7</f>
        <v>5370.8571428571431</v>
      </c>
      <c r="E75" s="192">
        <f>SQRT(((C76-D75)^2)+((C77-D75)^2)+((C78-D75)^2)+((C79-D75)^2)+((C80-D75)^2)+((C81-D75)^2)+((C75-D75)^2))/6</f>
        <v>456.46354537242973</v>
      </c>
      <c r="F75" s="192">
        <f>(E75/(SQRT(7)))*(SQRT((365-7)/(365-1)))</f>
        <v>171.0991691414516</v>
      </c>
      <c r="G75" s="195">
        <v>1.96</v>
      </c>
      <c r="H75" s="183">
        <f>D75+(G75*F75)</f>
        <v>5706.2115143743886</v>
      </c>
    </row>
    <row r="76" spans="1:8" x14ac:dyDescent="0.3">
      <c r="B76" s="187"/>
      <c r="C76" s="1">
        <v>4946</v>
      </c>
      <c r="D76" s="193"/>
      <c r="E76" s="193"/>
      <c r="F76" s="193"/>
      <c r="G76" s="196"/>
      <c r="H76" s="184"/>
    </row>
    <row r="77" spans="1:8" x14ac:dyDescent="0.3">
      <c r="B77" s="187"/>
      <c r="C77" s="1">
        <v>3905</v>
      </c>
      <c r="D77" s="193"/>
      <c r="E77" s="193"/>
      <c r="F77" s="193"/>
      <c r="G77" s="196"/>
      <c r="H77" s="184"/>
    </row>
    <row r="78" spans="1:8" x14ac:dyDescent="0.3">
      <c r="A78">
        <v>5370</v>
      </c>
      <c r="B78" s="187"/>
      <c r="C78" s="1">
        <v>6033</v>
      </c>
      <c r="D78" s="193"/>
      <c r="E78" s="193"/>
      <c r="F78" s="193"/>
      <c r="G78" s="196"/>
      <c r="H78" s="184"/>
    </row>
    <row r="79" spans="1:8" x14ac:dyDescent="0.3">
      <c r="B79" s="187"/>
      <c r="C79" s="1">
        <v>6507</v>
      </c>
      <c r="D79" s="193"/>
      <c r="E79" s="193"/>
      <c r="F79" s="193"/>
      <c r="G79" s="196"/>
      <c r="H79" s="184"/>
    </row>
    <row r="80" spans="1:8" x14ac:dyDescent="0.3">
      <c r="B80" s="187"/>
      <c r="C80" s="1">
        <v>6382</v>
      </c>
      <c r="D80" s="193"/>
      <c r="E80" s="193"/>
      <c r="F80" s="193"/>
      <c r="G80" s="196"/>
      <c r="H80" s="184"/>
    </row>
    <row r="81" spans="1:8" ht="15" thickBot="1" x14ac:dyDescent="0.35">
      <c r="B81" s="188"/>
      <c r="C81" s="3">
        <v>5911</v>
      </c>
      <c r="D81" s="194"/>
      <c r="E81" s="194"/>
      <c r="F81" s="194"/>
      <c r="G81" s="197"/>
      <c r="H81" s="185"/>
    </row>
    <row r="82" spans="1:8" x14ac:dyDescent="0.3">
      <c r="B82" s="186" t="s">
        <v>16</v>
      </c>
      <c r="C82" s="2">
        <v>5979</v>
      </c>
      <c r="D82" s="192">
        <f>SUM(C82:C88)/7</f>
        <v>6458.1428571428569</v>
      </c>
      <c r="E82" s="192">
        <f>SQRT(((C83-D82)^2)+((C84-D82)^2)+((C85-D82)^2)+((C86-D82)^2)+((C87-D82)^2)+((C88-D82)^2)+((C82-D82)^2))/6</f>
        <v>124.67433768097779</v>
      </c>
      <c r="F82" s="192">
        <f>(E82/(SQRT(7)))*(SQRT((365-7)/(365-1)))</f>
        <v>46.732484569105083</v>
      </c>
      <c r="G82" s="195">
        <v>1.96</v>
      </c>
      <c r="H82" s="183">
        <f>D82+(G82*F82)</f>
        <v>6549.7385268983026</v>
      </c>
    </row>
    <row r="83" spans="1:8" x14ac:dyDescent="0.3">
      <c r="B83" s="187"/>
      <c r="C83" s="1">
        <v>6197</v>
      </c>
      <c r="D83" s="193"/>
      <c r="E83" s="193"/>
      <c r="F83" s="193"/>
      <c r="G83" s="196"/>
      <c r="H83" s="184"/>
    </row>
    <row r="84" spans="1:8" x14ac:dyDescent="0.3">
      <c r="B84" s="187"/>
      <c r="C84" s="1">
        <v>6362</v>
      </c>
      <c r="D84" s="193"/>
      <c r="E84" s="193"/>
      <c r="F84" s="193"/>
      <c r="G84" s="196"/>
      <c r="H84" s="184"/>
    </row>
    <row r="85" spans="1:8" x14ac:dyDescent="0.3">
      <c r="A85">
        <v>6457</v>
      </c>
      <c r="B85" s="187"/>
      <c r="C85" s="1">
        <v>6578</v>
      </c>
      <c r="D85" s="193"/>
      <c r="E85" s="193"/>
      <c r="F85" s="193"/>
      <c r="G85" s="196"/>
      <c r="H85" s="184"/>
    </row>
    <row r="86" spans="1:8" x14ac:dyDescent="0.3">
      <c r="B86" s="187"/>
      <c r="C86" s="1">
        <v>6493</v>
      </c>
      <c r="D86" s="193"/>
      <c r="E86" s="193"/>
      <c r="F86" s="193"/>
      <c r="G86" s="196"/>
      <c r="H86" s="184"/>
    </row>
    <row r="87" spans="1:8" x14ac:dyDescent="0.3">
      <c r="B87" s="187"/>
      <c r="C87" s="1">
        <v>6751</v>
      </c>
      <c r="D87" s="193"/>
      <c r="E87" s="193"/>
      <c r="F87" s="193"/>
      <c r="G87" s="196"/>
      <c r="H87" s="184"/>
    </row>
    <row r="88" spans="1:8" ht="15" thickBot="1" x14ac:dyDescent="0.35">
      <c r="B88" s="188"/>
      <c r="C88" s="3">
        <v>6847</v>
      </c>
      <c r="D88" s="194"/>
      <c r="E88" s="194"/>
      <c r="F88" s="194"/>
      <c r="G88" s="197"/>
      <c r="H88" s="185"/>
    </row>
    <row r="89" spans="1:8" x14ac:dyDescent="0.3">
      <c r="B89" s="186" t="s">
        <v>17</v>
      </c>
      <c r="C89" s="2">
        <v>7945</v>
      </c>
      <c r="D89" s="192">
        <f>SUM(C89:C95)/7</f>
        <v>8477.8571428571431</v>
      </c>
      <c r="E89" s="192">
        <f>SQRT(((C90-D89)^2)+((C91-D89)^2)+((C92-D89)^2)+((C93-D89)^2)+((C94-D89)^2)+((C95-D89)^2)+((C89-D89)^2))/6</f>
        <v>314.93389329009528</v>
      </c>
      <c r="F89" s="192">
        <f>(E89/(SQRT(7)))*(SQRT((365-7)/(365-1)))</f>
        <v>118.04869857121457</v>
      </c>
      <c r="G89" s="195">
        <v>1.96</v>
      </c>
      <c r="H89" s="183">
        <f>D89+(G89*F89)</f>
        <v>8709.2325920567237</v>
      </c>
    </row>
    <row r="90" spans="1:8" x14ac:dyDescent="0.3">
      <c r="B90" s="187"/>
      <c r="C90" s="1">
        <v>7092</v>
      </c>
      <c r="D90" s="193"/>
      <c r="E90" s="193"/>
      <c r="F90" s="193"/>
      <c r="G90" s="196"/>
      <c r="H90" s="184"/>
    </row>
    <row r="91" spans="1:8" x14ac:dyDescent="0.3">
      <c r="B91" s="187"/>
      <c r="C91" s="1">
        <v>8417</v>
      </c>
      <c r="D91" s="193"/>
      <c r="E91" s="193"/>
      <c r="F91" s="193"/>
      <c r="G91" s="196"/>
      <c r="H91" s="184"/>
    </row>
    <row r="92" spans="1:8" x14ac:dyDescent="0.3">
      <c r="A92">
        <v>8477</v>
      </c>
      <c r="B92" s="187"/>
      <c r="C92" s="1">
        <v>9261</v>
      </c>
      <c r="D92" s="193"/>
      <c r="E92" s="193"/>
      <c r="F92" s="193"/>
      <c r="G92" s="196"/>
      <c r="H92" s="184"/>
    </row>
    <row r="93" spans="1:8" x14ac:dyDescent="0.3">
      <c r="B93" s="187"/>
      <c r="C93" s="1">
        <v>8613</v>
      </c>
      <c r="D93" s="193"/>
      <c r="E93" s="193"/>
      <c r="F93" s="193"/>
      <c r="G93" s="196"/>
      <c r="H93" s="184"/>
    </row>
    <row r="94" spans="1:8" x14ac:dyDescent="0.3">
      <c r="B94" s="187"/>
      <c r="C94" s="1">
        <v>8719</v>
      </c>
      <c r="D94" s="193"/>
      <c r="E94" s="193"/>
      <c r="F94" s="193"/>
      <c r="G94" s="196"/>
      <c r="H94" s="184"/>
    </row>
    <row r="95" spans="1:8" ht="15" thickBot="1" x14ac:dyDescent="0.35">
      <c r="B95" s="188"/>
      <c r="C95" s="3">
        <v>9298</v>
      </c>
      <c r="D95" s="194"/>
      <c r="E95" s="194"/>
      <c r="F95" s="194"/>
      <c r="G95" s="197"/>
      <c r="H95" s="185"/>
    </row>
    <row r="96" spans="1:8" x14ac:dyDescent="0.3">
      <c r="B96" s="186" t="s">
        <v>18</v>
      </c>
      <c r="C96" s="2">
        <v>27807</v>
      </c>
      <c r="D96" s="189">
        <f>SUM(C96:C102)/7</f>
        <v>28468</v>
      </c>
      <c r="E96" s="192">
        <f>SQRT(((C97-D96)^2)+((C98-D96)^2)+((C99-D96)^2)+((C100-D96)^2)+((C101-D96)^2)+((C102-D96)^2)+((C96-D96)^2))/6</f>
        <v>438.63272411741769</v>
      </c>
      <c r="F96" s="192">
        <f>(E96/(SQRT(7)))*(SQRT((365-7)/(365-1)))</f>
        <v>164.41552762665526</v>
      </c>
      <c r="G96" s="195">
        <v>1.96</v>
      </c>
      <c r="H96" s="183">
        <f>D96+(G96*F96)</f>
        <v>28790.254434148243</v>
      </c>
    </row>
    <row r="97" spans="1:8" x14ac:dyDescent="0.3">
      <c r="B97" s="187"/>
      <c r="C97" s="1">
        <v>26939</v>
      </c>
      <c r="D97" s="190"/>
      <c r="E97" s="193"/>
      <c r="F97" s="193"/>
      <c r="G97" s="196"/>
      <c r="H97" s="184"/>
    </row>
    <row r="98" spans="1:8" x14ac:dyDescent="0.3">
      <c r="B98" s="187"/>
      <c r="C98" s="1">
        <v>27646</v>
      </c>
      <c r="D98" s="190"/>
      <c r="E98" s="193"/>
      <c r="F98" s="193"/>
      <c r="G98" s="196"/>
      <c r="H98" s="184"/>
    </row>
    <row r="99" spans="1:8" x14ac:dyDescent="0.3">
      <c r="A99">
        <v>28468</v>
      </c>
      <c r="B99" s="187"/>
      <c r="C99" s="1">
        <v>28538</v>
      </c>
      <c r="D99" s="190"/>
      <c r="E99" s="193"/>
      <c r="F99" s="193"/>
      <c r="G99" s="196"/>
      <c r="H99" s="184"/>
    </row>
    <row r="100" spans="1:8" x14ac:dyDescent="0.3">
      <c r="B100" s="187"/>
      <c r="C100" s="1">
        <v>29547</v>
      </c>
      <c r="D100" s="190"/>
      <c r="E100" s="193"/>
      <c r="F100" s="193"/>
      <c r="G100" s="196"/>
      <c r="H100" s="184"/>
    </row>
    <row r="101" spans="1:8" x14ac:dyDescent="0.3">
      <c r="B101" s="187"/>
      <c r="C101" s="1">
        <v>29934</v>
      </c>
      <c r="D101" s="190"/>
      <c r="E101" s="193"/>
      <c r="F101" s="193"/>
      <c r="G101" s="196"/>
      <c r="H101" s="184"/>
    </row>
    <row r="102" spans="1:8" ht="15" thickBot="1" x14ac:dyDescent="0.35">
      <c r="B102" s="188"/>
      <c r="C102" s="3">
        <v>28865</v>
      </c>
      <c r="D102" s="191"/>
      <c r="E102" s="194"/>
      <c r="F102" s="194"/>
      <c r="G102" s="197"/>
      <c r="H102" s="185"/>
    </row>
    <row r="103" spans="1:8" x14ac:dyDescent="0.3">
      <c r="B103" s="186" t="s">
        <v>19</v>
      </c>
      <c r="C103" s="2">
        <v>22512</v>
      </c>
      <c r="D103" s="192">
        <f>SUM(C103:C109)/7</f>
        <v>22530.428571428572</v>
      </c>
      <c r="E103" s="192">
        <f>SQRT(((C104-D103)^2)+((C105-D103)^2)+((C106-D103)^2)+((C107-D103)^2)+((C108-D103)^2)+((C109-D103)^2)+((C103-D103)^2))/6</f>
        <v>447.52758184042295</v>
      </c>
      <c r="F103" s="192">
        <f>(E103/(SQRT(7)))*(SQRT((365-7)/(365-1)))</f>
        <v>167.74964440655253</v>
      </c>
      <c r="G103" s="195">
        <v>1.96</v>
      </c>
      <c r="H103" s="183">
        <f>D103+(G103*F103)</f>
        <v>22859.217874465416</v>
      </c>
    </row>
    <row r="104" spans="1:8" x14ac:dyDescent="0.3">
      <c r="B104" s="187"/>
      <c r="C104" s="1">
        <v>22660</v>
      </c>
      <c r="D104" s="193"/>
      <c r="E104" s="193"/>
      <c r="F104" s="193"/>
      <c r="G104" s="196"/>
      <c r="H104" s="184"/>
    </row>
    <row r="105" spans="1:8" x14ac:dyDescent="0.3">
      <c r="B105" s="187"/>
      <c r="C105" s="1">
        <v>23584</v>
      </c>
      <c r="D105" s="193"/>
      <c r="E105" s="193"/>
      <c r="F105" s="193"/>
      <c r="G105" s="196"/>
      <c r="H105" s="184"/>
    </row>
    <row r="106" spans="1:8" x14ac:dyDescent="0.3">
      <c r="A106">
        <v>22529</v>
      </c>
      <c r="B106" s="187"/>
      <c r="C106" s="1">
        <v>21227</v>
      </c>
      <c r="D106" s="193"/>
      <c r="E106" s="193"/>
      <c r="F106" s="193"/>
      <c r="G106" s="196"/>
      <c r="H106" s="184"/>
    </row>
    <row r="107" spans="1:8" x14ac:dyDescent="0.3">
      <c r="B107" s="187"/>
      <c r="C107" s="1">
        <v>24156</v>
      </c>
      <c r="D107" s="193"/>
      <c r="E107" s="193"/>
      <c r="F107" s="193"/>
      <c r="G107" s="196"/>
      <c r="H107" s="184"/>
    </row>
    <row r="108" spans="1:8" x14ac:dyDescent="0.3">
      <c r="B108" s="187"/>
      <c r="C108" s="1">
        <v>21223</v>
      </c>
      <c r="D108" s="193"/>
      <c r="E108" s="193"/>
      <c r="F108" s="193"/>
      <c r="G108" s="196"/>
      <c r="H108" s="184"/>
    </row>
    <row r="109" spans="1:8" ht="15" thickBot="1" x14ac:dyDescent="0.35">
      <c r="B109" s="188"/>
      <c r="C109" s="3">
        <v>22351</v>
      </c>
      <c r="D109" s="194"/>
      <c r="E109" s="194"/>
      <c r="F109" s="194"/>
      <c r="G109" s="197"/>
      <c r="H109" s="185"/>
    </row>
    <row r="110" spans="1:8" x14ac:dyDescent="0.3">
      <c r="B110" s="186" t="s">
        <v>20</v>
      </c>
      <c r="C110" s="2">
        <v>4813</v>
      </c>
      <c r="D110" s="192">
        <f>SUM(C110:C116)/7</f>
        <v>5076.8571428571431</v>
      </c>
      <c r="E110" s="192">
        <f>SQRT(((C111-D110)^2)+((C112-D110)^2)+((C113-D110)^2)+((C114-D110)^2)+((C115-D110)^2)+((C116-D110)^2)+((C110-D110)^2))/6</f>
        <v>103.64239495373518</v>
      </c>
      <c r="F110" s="192">
        <f>(E110/(SQRT(7)))*(SQRT((365-7)/(365-1)))</f>
        <v>38.848946086035767</v>
      </c>
      <c r="G110" s="195">
        <v>1.96</v>
      </c>
      <c r="H110" s="183">
        <f>D110+(G110*F110)</f>
        <v>5153.0010771857733</v>
      </c>
    </row>
    <row r="111" spans="1:8" x14ac:dyDescent="0.3">
      <c r="B111" s="187"/>
      <c r="C111" s="1">
        <v>4842</v>
      </c>
      <c r="D111" s="193"/>
      <c r="E111" s="193"/>
      <c r="F111" s="193"/>
      <c r="G111" s="196"/>
      <c r="H111" s="184"/>
    </row>
    <row r="112" spans="1:8" x14ac:dyDescent="0.3">
      <c r="B112" s="187"/>
      <c r="C112" s="1">
        <v>4857</v>
      </c>
      <c r="D112" s="193"/>
      <c r="E112" s="193"/>
      <c r="F112" s="193"/>
      <c r="G112" s="196"/>
      <c r="H112" s="184"/>
    </row>
    <row r="113" spans="1:8" x14ac:dyDescent="0.3">
      <c r="A113">
        <v>5075</v>
      </c>
      <c r="B113" s="187"/>
      <c r="C113" s="1">
        <v>5010</v>
      </c>
      <c r="D113" s="193"/>
      <c r="E113" s="193"/>
      <c r="F113" s="193"/>
      <c r="G113" s="196"/>
      <c r="H113" s="184"/>
    </row>
    <row r="114" spans="1:8" x14ac:dyDescent="0.3">
      <c r="B114" s="187"/>
      <c r="C114" s="1">
        <v>5304</v>
      </c>
      <c r="D114" s="193"/>
      <c r="E114" s="193"/>
      <c r="F114" s="193"/>
      <c r="G114" s="196"/>
      <c r="H114" s="184"/>
    </row>
    <row r="115" spans="1:8" x14ac:dyDescent="0.3">
      <c r="B115" s="187"/>
      <c r="C115" s="1">
        <v>5385</v>
      </c>
      <c r="D115" s="193"/>
      <c r="E115" s="193"/>
      <c r="F115" s="193"/>
      <c r="G115" s="196"/>
      <c r="H115" s="184"/>
    </row>
    <row r="116" spans="1:8" ht="15" thickBot="1" x14ac:dyDescent="0.35">
      <c r="B116" s="188"/>
      <c r="C116" s="3">
        <v>5327</v>
      </c>
      <c r="D116" s="194"/>
      <c r="E116" s="194"/>
      <c r="F116" s="194"/>
      <c r="G116" s="197"/>
      <c r="H116" s="185"/>
    </row>
  </sheetData>
  <mergeCells count="98">
    <mergeCell ref="C2:G2"/>
    <mergeCell ref="M2:Q2"/>
    <mergeCell ref="H110:H116"/>
    <mergeCell ref="B103:B109"/>
    <mergeCell ref="D103:D109"/>
    <mergeCell ref="E103:E109"/>
    <mergeCell ref="F103:F109"/>
    <mergeCell ref="G103:G109"/>
    <mergeCell ref="H103:H109"/>
    <mergeCell ref="B110:B116"/>
    <mergeCell ref="D110:D116"/>
    <mergeCell ref="E110:E116"/>
    <mergeCell ref="F110:F116"/>
    <mergeCell ref="G110:G116"/>
    <mergeCell ref="H96:H102"/>
    <mergeCell ref="B89:B95"/>
    <mergeCell ref="D89:D95"/>
    <mergeCell ref="E89:E95"/>
    <mergeCell ref="F89:F95"/>
    <mergeCell ref="G89:G95"/>
    <mergeCell ref="H89:H95"/>
    <mergeCell ref="B96:B102"/>
    <mergeCell ref="D96:D102"/>
    <mergeCell ref="E96:E102"/>
    <mergeCell ref="F96:F102"/>
    <mergeCell ref="G96:G102"/>
    <mergeCell ref="H82:H88"/>
    <mergeCell ref="B75:B81"/>
    <mergeCell ref="D75:D81"/>
    <mergeCell ref="E75:E81"/>
    <mergeCell ref="F75:F81"/>
    <mergeCell ref="G75:G81"/>
    <mergeCell ref="H75:H81"/>
    <mergeCell ref="B82:B88"/>
    <mergeCell ref="D82:D88"/>
    <mergeCell ref="E82:E88"/>
    <mergeCell ref="F82:F88"/>
    <mergeCell ref="G82:G88"/>
    <mergeCell ref="H68:H74"/>
    <mergeCell ref="B61:B67"/>
    <mergeCell ref="D61:D67"/>
    <mergeCell ref="E61:E67"/>
    <mergeCell ref="F61:F67"/>
    <mergeCell ref="G61:G67"/>
    <mergeCell ref="H61:H67"/>
    <mergeCell ref="B68:B74"/>
    <mergeCell ref="D68:D74"/>
    <mergeCell ref="E68:E74"/>
    <mergeCell ref="F68:F74"/>
    <mergeCell ref="G68:G74"/>
    <mergeCell ref="H54:H60"/>
    <mergeCell ref="B47:B53"/>
    <mergeCell ref="D47:D53"/>
    <mergeCell ref="E47:E53"/>
    <mergeCell ref="F47:F53"/>
    <mergeCell ref="G47:G53"/>
    <mergeCell ref="H47:H53"/>
    <mergeCell ref="B54:B60"/>
    <mergeCell ref="D54:D60"/>
    <mergeCell ref="E54:E60"/>
    <mergeCell ref="F54:F60"/>
    <mergeCell ref="G54:G60"/>
    <mergeCell ref="H40:H46"/>
    <mergeCell ref="B33:B39"/>
    <mergeCell ref="D33:D39"/>
    <mergeCell ref="E33:E39"/>
    <mergeCell ref="F33:F39"/>
    <mergeCell ref="G33:G39"/>
    <mergeCell ref="H33:H39"/>
    <mergeCell ref="B40:B46"/>
    <mergeCell ref="D40:D46"/>
    <mergeCell ref="E40:E46"/>
    <mergeCell ref="F40:F46"/>
    <mergeCell ref="G40:G46"/>
    <mergeCell ref="H26:H32"/>
    <mergeCell ref="B19:B25"/>
    <mergeCell ref="D19:D25"/>
    <mergeCell ref="E19:E25"/>
    <mergeCell ref="F19:F25"/>
    <mergeCell ref="G19:G25"/>
    <mergeCell ref="H19:H25"/>
    <mergeCell ref="B26:B32"/>
    <mergeCell ref="D26:D32"/>
    <mergeCell ref="E26:E32"/>
    <mergeCell ref="F26:F32"/>
    <mergeCell ref="G26:G32"/>
    <mergeCell ref="H12:H18"/>
    <mergeCell ref="B5:B11"/>
    <mergeCell ref="D5:D11"/>
    <mergeCell ref="E5:E11"/>
    <mergeCell ref="F5:F11"/>
    <mergeCell ref="G5:G11"/>
    <mergeCell ref="H5:H11"/>
    <mergeCell ref="B12:B18"/>
    <mergeCell ref="D12:D18"/>
    <mergeCell ref="E12:E18"/>
    <mergeCell ref="F12:F18"/>
    <mergeCell ref="G12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69AA-69BE-4517-982E-FF95D4C4A00C}">
  <dimension ref="A1:EB74"/>
  <sheetViews>
    <sheetView zoomScale="55" zoomScaleNormal="55" workbookViewId="0">
      <selection activeCell="C19" sqref="C19"/>
    </sheetView>
  </sheetViews>
  <sheetFormatPr baseColWidth="10" defaultRowHeight="14.4" x14ac:dyDescent="0.3"/>
  <cols>
    <col min="33" max="33" width="8.5546875" customWidth="1"/>
    <col min="34" max="34" width="9.109375" customWidth="1"/>
    <col min="38" max="38" width="8.6640625" customWidth="1"/>
    <col min="39" max="39" width="9" customWidth="1"/>
    <col min="55" max="55" width="9" customWidth="1"/>
    <col min="56" max="56" width="8.88671875" customWidth="1"/>
    <col min="57" max="57" width="8.6640625" customWidth="1"/>
    <col min="58" max="58" width="9.33203125" customWidth="1"/>
    <col min="67" max="67" width="9.33203125" customWidth="1"/>
    <col min="68" max="68" width="9.109375" customWidth="1"/>
    <col min="78" max="78" width="8.5546875" customWidth="1"/>
    <col min="79" max="79" width="9" customWidth="1"/>
    <col min="100" max="100" width="7.77734375" customWidth="1"/>
    <col min="101" max="101" width="8.33203125" customWidth="1"/>
    <col min="111" max="111" width="11.33203125" customWidth="1"/>
    <col min="112" max="112" width="9.33203125" customWidth="1"/>
    <col min="113" max="113" width="9.88671875" customWidth="1"/>
  </cols>
  <sheetData>
    <row r="1" spans="1:132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</row>
    <row r="2" spans="1:132" ht="18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95"/>
      <c r="DH2" s="95">
        <f>+DG3+DH3+DI3</f>
        <v>1049</v>
      </c>
      <c r="DI2" s="95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</row>
    <row r="3" spans="1:132" ht="1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112">
        <v>241</v>
      </c>
      <c r="CA3" s="158">
        <v>418</v>
      </c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159">
        <v>85</v>
      </c>
      <c r="CV3" s="159">
        <v>388</v>
      </c>
      <c r="CW3" s="159">
        <v>121</v>
      </c>
      <c r="CX3" s="8"/>
      <c r="CY3" s="8"/>
      <c r="CZ3" s="8"/>
      <c r="DA3" s="8"/>
      <c r="DB3" s="8"/>
      <c r="DC3" s="8"/>
      <c r="DD3" s="8"/>
      <c r="DE3" s="8"/>
      <c r="DF3" s="8"/>
      <c r="DG3" s="159">
        <v>125</v>
      </c>
      <c r="DH3" s="159">
        <v>484</v>
      </c>
      <c r="DI3" s="159">
        <v>440</v>
      </c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</row>
    <row r="4" spans="1:132" ht="18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156" t="s">
        <v>45</v>
      </c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</row>
    <row r="5" spans="1:132" ht="18.600000000000001" thickBot="1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5"/>
      <c r="Q5" s="95"/>
      <c r="R5" s="95"/>
      <c r="S5" s="95"/>
      <c r="T5" s="95"/>
      <c r="U5" s="201"/>
      <c r="V5" s="201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  <c r="CK5" s="95"/>
      <c r="CL5" s="95"/>
      <c r="CM5" s="95"/>
      <c r="CN5" s="95"/>
      <c r="CO5" s="95"/>
      <c r="CP5" s="95"/>
      <c r="CQ5" s="95"/>
      <c r="CR5" s="95"/>
      <c r="CS5" s="95"/>
      <c r="CT5" s="95"/>
      <c r="CU5" s="95"/>
      <c r="CV5" s="95"/>
      <c r="CW5" s="95"/>
      <c r="CX5" s="95"/>
      <c r="CY5" s="95"/>
      <c r="CZ5" s="95"/>
      <c r="DA5" s="95"/>
      <c r="DB5" s="95"/>
      <c r="DC5" s="95"/>
      <c r="DD5" s="95"/>
      <c r="DE5" s="95"/>
      <c r="DF5" s="95"/>
      <c r="DG5" s="95"/>
      <c r="DH5" s="106"/>
      <c r="DI5" s="106"/>
      <c r="DJ5" s="95"/>
      <c r="DK5" s="95"/>
      <c r="DL5" s="95"/>
      <c r="DM5" s="95"/>
      <c r="DN5" s="106"/>
      <c r="DO5" s="95"/>
      <c r="DP5" s="95"/>
      <c r="DQ5" s="95"/>
      <c r="DR5" s="95"/>
      <c r="DS5" s="95"/>
      <c r="DT5" s="95"/>
      <c r="DU5" s="95"/>
      <c r="DV5" s="95"/>
      <c r="DW5" s="95"/>
      <c r="DX5" s="95"/>
      <c r="DY5" s="95"/>
      <c r="DZ5" s="95"/>
      <c r="EA5" s="95"/>
      <c r="EB5" s="95"/>
    </row>
    <row r="6" spans="1:132" ht="18" x14ac:dyDescent="0.35">
      <c r="A6" s="8"/>
      <c r="B6" s="202" t="s">
        <v>24</v>
      </c>
      <c r="C6" s="203"/>
      <c r="D6" s="203"/>
      <c r="E6" s="203"/>
      <c r="F6" s="204"/>
      <c r="G6" s="8"/>
      <c r="H6" s="8"/>
      <c r="I6" s="8"/>
      <c r="J6" s="8"/>
      <c r="K6" s="8"/>
      <c r="L6" s="8"/>
      <c r="M6" s="8"/>
      <c r="N6" s="8"/>
      <c r="O6" s="8"/>
      <c r="P6" s="95"/>
      <c r="Q6" s="95"/>
      <c r="R6" s="95"/>
      <c r="S6" s="95"/>
      <c r="T6" s="95"/>
      <c r="U6" s="201"/>
      <c r="V6" s="201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106"/>
      <c r="DD6" s="95"/>
      <c r="DE6" s="95"/>
      <c r="DF6" s="95"/>
      <c r="DG6" s="95"/>
      <c r="DH6" s="106"/>
      <c r="DI6" s="106"/>
      <c r="DJ6" s="95"/>
      <c r="DK6" s="95"/>
      <c r="DL6" s="95"/>
      <c r="DM6" s="95"/>
      <c r="DN6" s="106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</row>
    <row r="7" spans="1:132" ht="18" x14ac:dyDescent="0.35">
      <c r="A7" s="8"/>
      <c r="B7" s="205"/>
      <c r="C7" s="206"/>
      <c r="D7" s="206"/>
      <c r="E7" s="206"/>
      <c r="F7" s="207"/>
      <c r="G7" s="8"/>
      <c r="H7" s="8"/>
      <c r="I7" s="8"/>
      <c r="J7" s="8"/>
      <c r="K7" s="8"/>
      <c r="L7" s="8"/>
      <c r="M7" s="8"/>
      <c r="N7" s="8"/>
      <c r="O7" s="8"/>
      <c r="P7" s="95"/>
      <c r="Q7" s="95"/>
      <c r="R7" s="95"/>
      <c r="S7" s="104"/>
      <c r="T7" s="95"/>
      <c r="U7" s="201"/>
      <c r="V7" s="201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106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107">
        <v>0.23</v>
      </c>
      <c r="CW7" s="106"/>
      <c r="CX7" s="95"/>
      <c r="CY7" s="95"/>
      <c r="CZ7" s="95"/>
      <c r="DA7" s="95"/>
      <c r="DB7" s="95"/>
      <c r="DC7" s="106"/>
      <c r="DD7" s="95"/>
      <c r="DE7" s="95"/>
      <c r="DF7" s="95"/>
      <c r="DG7" s="95"/>
      <c r="DH7" s="106"/>
      <c r="DI7" s="106"/>
      <c r="DJ7" s="108"/>
      <c r="DK7" s="108"/>
      <c r="DL7" s="108"/>
      <c r="DM7" s="108"/>
      <c r="DN7" s="106"/>
      <c r="DO7" s="108"/>
      <c r="DP7" s="108"/>
      <c r="DQ7" s="95"/>
      <c r="DR7" s="95"/>
      <c r="DS7" s="95"/>
      <c r="DT7" s="95"/>
      <c r="DU7" s="95"/>
      <c r="DV7" s="95"/>
      <c r="DW7" s="95"/>
      <c r="DX7" s="95"/>
      <c r="DY7" s="95"/>
      <c r="DZ7" s="95"/>
      <c r="EA7" s="95"/>
      <c r="EB7" s="95"/>
    </row>
    <row r="8" spans="1:132" ht="18.600000000000001" thickBot="1" x14ac:dyDescent="0.4">
      <c r="A8" s="8"/>
      <c r="B8" s="205"/>
      <c r="C8" s="206"/>
      <c r="D8" s="206"/>
      <c r="E8" s="206"/>
      <c r="F8" s="207"/>
      <c r="G8" s="8"/>
      <c r="H8" s="8"/>
      <c r="I8" s="8"/>
      <c r="J8" s="8"/>
      <c r="K8" s="8"/>
      <c r="L8" s="8"/>
      <c r="M8" s="8"/>
      <c r="N8" s="8"/>
      <c r="O8" s="8"/>
      <c r="P8" s="95"/>
      <c r="Q8" s="95"/>
      <c r="R8" s="95"/>
      <c r="S8" s="95"/>
      <c r="T8" s="104">
        <f>+S9+U9+T9</f>
        <v>1097</v>
      </c>
      <c r="U8" s="95"/>
      <c r="V8" s="95"/>
      <c r="W8" s="109"/>
      <c r="X8" s="109"/>
      <c r="Y8" s="95"/>
      <c r="Z8" s="95"/>
      <c r="AA8" s="95"/>
      <c r="AB8" s="95"/>
      <c r="AC8" s="95"/>
      <c r="AD8" s="95"/>
      <c r="AE8" s="95"/>
      <c r="AF8" s="159">
        <v>359</v>
      </c>
      <c r="AG8" s="159">
        <v>130</v>
      </c>
      <c r="AH8" s="159">
        <v>285</v>
      </c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159">
        <v>61</v>
      </c>
      <c r="BV8" s="106"/>
      <c r="BW8" s="103">
        <f>+BU13+BW21</f>
        <v>500</v>
      </c>
      <c r="BX8" s="95"/>
      <c r="BY8" s="95"/>
      <c r="BZ8" s="107">
        <v>0.56000000000000005</v>
      </c>
      <c r="CA8" s="106"/>
      <c r="CB8" s="95"/>
      <c r="CC8" s="95"/>
      <c r="CD8" s="106"/>
      <c r="CE8" s="95"/>
      <c r="CF8" s="95"/>
      <c r="CG8" s="95"/>
      <c r="CH8" s="106"/>
      <c r="CI8" s="95"/>
      <c r="CJ8" s="95"/>
      <c r="CK8" s="106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106">
        <f>+CV3+CU3+CW3</f>
        <v>594</v>
      </c>
      <c r="CW8" s="106"/>
      <c r="CX8" s="95"/>
      <c r="CY8" s="95"/>
      <c r="CZ8" s="108"/>
      <c r="DA8" s="108"/>
      <c r="DB8" s="108"/>
      <c r="DC8" s="106"/>
      <c r="DD8" s="108"/>
      <c r="DE8" s="108"/>
      <c r="DF8" s="108"/>
      <c r="DG8" s="108"/>
      <c r="DH8" s="106"/>
      <c r="DI8" s="106"/>
      <c r="DJ8" s="110"/>
      <c r="DK8" s="167">
        <v>450</v>
      </c>
      <c r="DL8" s="111"/>
      <c r="DM8" s="111"/>
      <c r="DN8" s="95"/>
      <c r="DO8" s="111"/>
      <c r="DP8" s="111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</row>
    <row r="9" spans="1:132" ht="18.600000000000001" thickBot="1" x14ac:dyDescent="0.4">
      <c r="A9" s="8"/>
      <c r="B9" s="208"/>
      <c r="C9" s="209"/>
      <c r="D9" s="209"/>
      <c r="E9" s="209"/>
      <c r="F9" s="210"/>
      <c r="G9" s="8"/>
      <c r="H9" s="8"/>
      <c r="I9" s="8"/>
      <c r="J9" s="8"/>
      <c r="K9" s="8"/>
      <c r="L9" s="8"/>
      <c r="M9" s="8"/>
      <c r="N9" s="8"/>
      <c r="O9" s="8"/>
      <c r="P9" s="95"/>
      <c r="Q9" s="95"/>
      <c r="R9" s="95"/>
      <c r="S9" s="159">
        <v>79</v>
      </c>
      <c r="T9" s="160">
        <v>725</v>
      </c>
      <c r="U9" s="161">
        <v>293</v>
      </c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108"/>
      <c r="BP9" s="108"/>
      <c r="BQ9" s="95"/>
      <c r="BR9" s="95"/>
      <c r="BS9" s="95"/>
      <c r="BT9" s="95"/>
      <c r="BU9" s="95"/>
      <c r="BV9" s="106"/>
      <c r="BW9" s="95"/>
      <c r="BX9" s="95"/>
      <c r="BY9" s="95"/>
      <c r="BZ9" s="106">
        <v>659</v>
      </c>
      <c r="CA9" s="106"/>
      <c r="CB9" s="95"/>
      <c r="CC9" s="95"/>
      <c r="CD9" s="106"/>
      <c r="CE9" s="95"/>
      <c r="CF9" s="95"/>
      <c r="CG9" s="95"/>
      <c r="CH9" s="106"/>
      <c r="CI9" s="95"/>
      <c r="CJ9" s="95"/>
      <c r="CK9" s="106"/>
      <c r="CL9" s="95"/>
      <c r="CM9" s="95"/>
      <c r="CN9" s="95"/>
      <c r="CO9" s="108"/>
      <c r="CP9" s="108"/>
      <c r="CQ9" s="108"/>
      <c r="CR9" s="108"/>
      <c r="CS9" s="108"/>
      <c r="CT9" s="108"/>
      <c r="CU9" s="108"/>
      <c r="CV9" s="106"/>
      <c r="CW9" s="106"/>
      <c r="CX9" s="108"/>
      <c r="CY9" s="108"/>
      <c r="CZ9" s="157">
        <v>124</v>
      </c>
      <c r="DA9" s="101"/>
      <c r="DB9" s="101"/>
      <c r="DC9" s="101"/>
      <c r="DD9" s="101"/>
      <c r="DE9" s="101"/>
      <c r="DF9" s="101"/>
      <c r="DG9" s="108"/>
      <c r="DH9" s="95"/>
      <c r="DI9" s="95"/>
      <c r="DJ9" s="108"/>
      <c r="DK9" s="157">
        <v>164</v>
      </c>
      <c r="DL9" s="108"/>
      <c r="DM9" s="108"/>
      <c r="DN9" s="95"/>
      <c r="DO9" s="108"/>
      <c r="DP9" s="108"/>
      <c r="DQ9" s="108"/>
      <c r="DR9" s="108"/>
      <c r="DS9" s="108"/>
      <c r="DT9" s="108"/>
      <c r="DU9" s="108"/>
      <c r="DV9" s="108"/>
      <c r="DW9" s="95"/>
      <c r="DX9" s="95"/>
      <c r="DY9" s="95"/>
      <c r="DZ9" s="95"/>
      <c r="EA9" s="95"/>
      <c r="EB9" s="95"/>
    </row>
    <row r="10" spans="1:132" ht="18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5"/>
      <c r="Q10" s="95"/>
      <c r="R10" s="95"/>
      <c r="S10" s="95"/>
      <c r="T10" s="95"/>
      <c r="U10" s="95"/>
      <c r="V10" s="95"/>
      <c r="W10" s="109"/>
      <c r="X10" s="109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113"/>
      <c r="BO10" s="95"/>
      <c r="BP10" s="95"/>
      <c r="BQ10" s="108"/>
      <c r="BR10" s="108"/>
      <c r="BS10" s="108"/>
      <c r="BT10" s="108"/>
      <c r="BU10" s="108"/>
      <c r="BV10" s="106"/>
      <c r="BW10" s="108"/>
      <c r="BX10" s="108"/>
      <c r="BY10" s="108"/>
      <c r="BZ10" s="106"/>
      <c r="CA10" s="106"/>
      <c r="CB10" s="108"/>
      <c r="CC10" s="108"/>
      <c r="CD10" s="106"/>
      <c r="CE10" s="108"/>
      <c r="CF10" s="108"/>
      <c r="CG10" s="108"/>
      <c r="CH10" s="106"/>
      <c r="CI10" s="108"/>
      <c r="CJ10" s="108"/>
      <c r="CK10" s="106"/>
      <c r="CL10" s="108"/>
      <c r="CM10" s="108"/>
      <c r="CN10" s="108"/>
      <c r="CO10" s="114"/>
      <c r="CP10" s="104"/>
      <c r="CQ10" s="104"/>
      <c r="CR10" s="104">
        <v>620</v>
      </c>
      <c r="CS10" s="104">
        <f>+CZ10+CU3+CW22</f>
        <v>620</v>
      </c>
      <c r="CT10" s="104"/>
      <c r="CU10" s="104"/>
      <c r="CV10" s="95"/>
      <c r="CW10" s="95"/>
      <c r="CX10" s="114">
        <v>0.35</v>
      </c>
      <c r="CY10" s="95"/>
      <c r="CZ10" s="165">
        <v>455</v>
      </c>
      <c r="DA10" s="115"/>
      <c r="DB10" s="115"/>
      <c r="DC10" s="115"/>
      <c r="DD10" s="115"/>
      <c r="DE10" s="116">
        <v>784</v>
      </c>
      <c r="DF10" s="115">
        <f>+DK10+DG3+DH18</f>
        <v>789</v>
      </c>
      <c r="DG10" s="104"/>
      <c r="DH10" s="95"/>
      <c r="DI10" s="95"/>
      <c r="DJ10" s="95"/>
      <c r="DK10" s="165">
        <v>544</v>
      </c>
      <c r="DL10" s="117">
        <f>+DK11+DK10+DK8+DK9</f>
        <v>1508</v>
      </c>
      <c r="DM10" s="95"/>
      <c r="DN10" s="95"/>
      <c r="DO10" s="160">
        <v>1530</v>
      </c>
      <c r="DP10" s="95"/>
      <c r="DQ10" s="95"/>
      <c r="DR10" s="95"/>
      <c r="DS10" s="95"/>
      <c r="DT10" s="95"/>
      <c r="DU10" s="95"/>
      <c r="DV10" s="95"/>
      <c r="DW10" s="95"/>
      <c r="DX10" s="95"/>
      <c r="DY10" s="95"/>
      <c r="DZ10" s="95"/>
      <c r="EA10" s="95"/>
      <c r="EB10" s="95"/>
    </row>
    <row r="11" spans="1:132" ht="18.600000000000001" thickBot="1" x14ac:dyDescent="0.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5"/>
      <c r="Q11" s="95"/>
      <c r="R11" s="95"/>
      <c r="S11" s="95"/>
      <c r="T11" s="95"/>
      <c r="U11" s="109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106"/>
      <c r="BO11" s="95"/>
      <c r="BP11" s="95"/>
      <c r="BQ11" s="95"/>
      <c r="BR11" s="95"/>
      <c r="BS11" s="95"/>
      <c r="BT11" s="95"/>
      <c r="BU11" s="104"/>
      <c r="BV11" s="95"/>
      <c r="BW11" s="111"/>
      <c r="BX11" s="115">
        <v>64</v>
      </c>
      <c r="BY11" s="95"/>
      <c r="BZ11" s="95"/>
      <c r="CA11" s="95"/>
      <c r="CB11" s="95"/>
      <c r="CC11" s="111"/>
      <c r="CD11" s="95"/>
      <c r="CE11" s="95"/>
      <c r="CF11" s="95"/>
      <c r="CG11" s="118">
        <v>585</v>
      </c>
      <c r="CH11" s="95"/>
      <c r="CI11" s="111"/>
      <c r="CJ11" s="95"/>
      <c r="CK11" s="95"/>
      <c r="CL11" s="119">
        <v>436</v>
      </c>
      <c r="CM11" s="120">
        <v>0.31</v>
      </c>
      <c r="CN11" s="95"/>
      <c r="CO11" s="95"/>
      <c r="CP11" s="108"/>
      <c r="CQ11" s="108"/>
      <c r="CR11" s="108"/>
      <c r="CS11" s="108"/>
      <c r="CT11" s="108"/>
      <c r="CU11" s="121"/>
      <c r="CV11" s="95"/>
      <c r="CW11" s="95"/>
      <c r="CX11" s="108">
        <f>+CZ9+CZ10+CZ11</f>
        <v>718</v>
      </c>
      <c r="CY11" s="108"/>
      <c r="CZ11" s="157">
        <v>139</v>
      </c>
      <c r="DA11" s="101"/>
      <c r="DB11" s="101"/>
      <c r="DC11" s="101"/>
      <c r="DD11" s="101"/>
      <c r="DE11" s="101"/>
      <c r="DF11" s="101"/>
      <c r="DG11" s="108"/>
      <c r="DH11" s="95"/>
      <c r="DI11" s="95"/>
      <c r="DJ11" s="95"/>
      <c r="DK11" s="165">
        <v>350</v>
      </c>
      <c r="DL11" s="104"/>
      <c r="DM11" s="95"/>
      <c r="DN11" s="95"/>
      <c r="DO11" s="122"/>
      <c r="DP11" s="123"/>
      <c r="DQ11" s="123"/>
      <c r="DR11" s="95"/>
      <c r="DS11" s="95"/>
      <c r="DT11" s="123"/>
      <c r="DU11" s="95"/>
      <c r="DV11" s="95"/>
      <c r="DW11" s="95"/>
      <c r="DX11" s="95"/>
      <c r="DY11" s="95"/>
      <c r="DZ11" s="95"/>
      <c r="EA11" s="95"/>
      <c r="EB11" s="95"/>
    </row>
    <row r="12" spans="1:132" ht="18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106"/>
      <c r="AH12" s="106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106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113"/>
      <c r="BO12" s="95"/>
      <c r="BP12" s="95"/>
      <c r="BQ12" s="124"/>
      <c r="BR12" s="124"/>
      <c r="BS12" s="124"/>
      <c r="BT12" s="124"/>
      <c r="BU12" s="173">
        <v>436</v>
      </c>
      <c r="BV12" s="95"/>
      <c r="BW12" s="108"/>
      <c r="BX12" s="101">
        <v>436</v>
      </c>
      <c r="BY12" s="126">
        <v>0.28000000000000003</v>
      </c>
      <c r="BZ12" s="95"/>
      <c r="CA12" s="95"/>
      <c r="CB12" s="127">
        <f>BX12+CB22+CA3</f>
        <v>894</v>
      </c>
      <c r="CC12" s="108"/>
      <c r="CD12" s="95"/>
      <c r="CE12" s="124"/>
      <c r="CF12" s="124"/>
      <c r="CG12" s="125"/>
      <c r="CH12" s="95"/>
      <c r="CI12" s="108"/>
      <c r="CJ12" s="124"/>
      <c r="CK12" s="95"/>
      <c r="CL12" s="108"/>
      <c r="CM12" s="108"/>
      <c r="CN12" s="95"/>
      <c r="CO12" s="95"/>
      <c r="CP12" s="104"/>
      <c r="CQ12" s="104"/>
      <c r="CR12" s="128">
        <v>611</v>
      </c>
      <c r="CS12" s="104"/>
      <c r="CT12" s="160">
        <v>39</v>
      </c>
      <c r="CU12" s="129">
        <v>0.2</v>
      </c>
      <c r="CV12" s="95"/>
      <c r="CW12" s="95"/>
      <c r="CX12" s="95"/>
      <c r="CY12" s="95"/>
      <c r="CZ12" s="95"/>
      <c r="DA12" s="95"/>
      <c r="DB12" s="95"/>
      <c r="DC12" s="95"/>
      <c r="DD12" s="95"/>
      <c r="DE12" s="95"/>
      <c r="DF12" s="130"/>
      <c r="DG12" s="95"/>
      <c r="DH12" s="95"/>
      <c r="DI12" s="95"/>
      <c r="DJ12" s="96"/>
      <c r="DK12" s="96"/>
      <c r="DL12" s="96"/>
      <c r="DM12" s="96"/>
      <c r="DN12" s="95"/>
      <c r="DO12" s="182">
        <v>1584</v>
      </c>
      <c r="DP12" s="95"/>
      <c r="DQ12" s="95"/>
      <c r="DR12" s="96"/>
      <c r="DS12" s="96"/>
      <c r="DT12" s="95"/>
      <c r="DU12" s="96"/>
      <c r="DV12" s="96"/>
      <c r="DW12" s="95"/>
      <c r="DX12" s="95"/>
      <c r="DY12" s="95"/>
      <c r="DZ12" s="95"/>
      <c r="EA12" s="95"/>
      <c r="EB12" s="95"/>
    </row>
    <row r="13" spans="1:132" ht="18" x14ac:dyDescent="0.35">
      <c r="A13" s="8"/>
      <c r="B13" s="8"/>
      <c r="C13" s="8"/>
      <c r="D13" s="8"/>
      <c r="E13" s="8"/>
      <c r="F13" s="8"/>
      <c r="G13" s="8"/>
      <c r="H13" s="9"/>
      <c r="I13" s="8"/>
      <c r="J13" s="8"/>
      <c r="K13" s="8"/>
      <c r="L13" s="9"/>
      <c r="M13" s="8"/>
      <c r="N13" s="8"/>
      <c r="O13" s="9"/>
      <c r="P13" s="95"/>
      <c r="Q13" s="95"/>
      <c r="R13" s="106"/>
      <c r="S13" s="95"/>
      <c r="T13" s="95"/>
      <c r="U13" s="106"/>
      <c r="V13" s="132"/>
      <c r="W13" s="95"/>
      <c r="X13" s="95"/>
      <c r="Y13" s="95"/>
      <c r="Z13" s="162">
        <v>200</v>
      </c>
      <c r="AA13" s="95"/>
      <c r="AB13" s="95"/>
      <c r="AC13" s="95"/>
      <c r="AD13" s="95"/>
      <c r="AE13" s="95"/>
      <c r="AF13" s="95"/>
      <c r="AG13" s="106"/>
      <c r="AH13" s="106"/>
      <c r="AI13" s="95"/>
      <c r="AJ13" s="95"/>
      <c r="AK13" s="95"/>
      <c r="AL13" s="106"/>
      <c r="AM13" s="106"/>
      <c r="AN13" s="95"/>
      <c r="AO13" s="95"/>
      <c r="AP13" s="106"/>
      <c r="AQ13" s="95"/>
      <c r="AR13" s="106"/>
      <c r="AS13" s="95"/>
      <c r="AT13" s="95"/>
      <c r="AU13" s="95"/>
      <c r="AV13" s="95"/>
      <c r="AW13" s="106"/>
      <c r="AX13" s="95"/>
      <c r="AY13" s="95"/>
      <c r="AZ13" s="95"/>
      <c r="BA13" s="95"/>
      <c r="BB13" s="95"/>
      <c r="BC13" s="95"/>
      <c r="BD13" s="95"/>
      <c r="BE13" s="169">
        <v>360</v>
      </c>
      <c r="BF13" s="164">
        <v>458</v>
      </c>
      <c r="BG13" s="95"/>
      <c r="BH13" s="95"/>
      <c r="BI13" s="95"/>
      <c r="BJ13" s="95"/>
      <c r="BK13" s="95"/>
      <c r="BL13" s="95"/>
      <c r="BM13" s="95"/>
      <c r="BN13" s="113"/>
      <c r="BO13" s="106"/>
      <c r="BP13" s="106"/>
      <c r="BQ13" s="95"/>
      <c r="BR13" s="95"/>
      <c r="BS13" s="95"/>
      <c r="BT13" s="95"/>
      <c r="BU13" s="133">
        <f>+BO20+BQ17</f>
        <v>500</v>
      </c>
      <c r="BV13" s="106"/>
      <c r="BW13" s="95"/>
      <c r="BX13" s="116">
        <f>BX12+BX11</f>
        <v>500</v>
      </c>
      <c r="BY13" s="95">
        <v>326</v>
      </c>
      <c r="BZ13" s="106"/>
      <c r="CA13" s="107">
        <v>0.17</v>
      </c>
      <c r="CB13" s="95">
        <f>+BX12+CA3+CB22</f>
        <v>894</v>
      </c>
      <c r="CC13" s="95"/>
      <c r="CD13" s="106"/>
      <c r="CE13" s="95"/>
      <c r="CF13" s="95"/>
      <c r="CG13" s="104"/>
      <c r="CH13" s="106"/>
      <c r="CI13" s="95"/>
      <c r="CJ13" s="95"/>
      <c r="CK13" s="106"/>
      <c r="CL13" s="95"/>
      <c r="CM13" s="95"/>
      <c r="CN13" s="106"/>
      <c r="CO13" s="106"/>
      <c r="CP13" s="108"/>
      <c r="CQ13" s="108"/>
      <c r="CR13" s="108">
        <f>+CL11+CO16</f>
        <v>611</v>
      </c>
      <c r="CS13" s="108"/>
      <c r="CT13" s="168">
        <v>436</v>
      </c>
      <c r="CU13" s="171">
        <f>+CT12+CT13+CT14</f>
        <v>595</v>
      </c>
      <c r="CV13" s="95"/>
      <c r="CW13" s="95"/>
      <c r="CX13" s="108"/>
      <c r="CY13" s="134">
        <f>+CT13+CW3+CY22</f>
        <v>678</v>
      </c>
      <c r="CZ13" s="108"/>
      <c r="DA13" s="108"/>
      <c r="DB13" s="108"/>
      <c r="DC13" s="95"/>
      <c r="DD13" s="108"/>
      <c r="DE13" s="108"/>
      <c r="DF13" s="135">
        <v>672</v>
      </c>
      <c r="DG13" s="108"/>
      <c r="DH13" s="95"/>
      <c r="DI13" s="95"/>
      <c r="DJ13" s="108"/>
      <c r="DK13" s="134"/>
      <c r="DL13" s="108"/>
      <c r="DM13" s="108"/>
      <c r="DN13" s="95"/>
      <c r="DO13" s="121"/>
      <c r="DP13" s="108"/>
      <c r="DQ13" s="108"/>
      <c r="DR13" s="108"/>
      <c r="DS13" s="108"/>
      <c r="DT13" s="108"/>
      <c r="DU13" s="108"/>
      <c r="DV13" s="108"/>
      <c r="DW13" s="95"/>
      <c r="DX13" s="95"/>
      <c r="DY13" s="95"/>
      <c r="DZ13" s="95"/>
      <c r="EA13" s="95"/>
      <c r="EB13" s="95"/>
    </row>
    <row r="14" spans="1:132" ht="18.600000000000001" thickBot="1" x14ac:dyDescent="0.4">
      <c r="A14" s="8"/>
      <c r="B14" s="8"/>
      <c r="C14" s="8"/>
      <c r="D14" s="8"/>
      <c r="E14" s="8"/>
      <c r="F14" s="8"/>
      <c r="G14" s="8"/>
      <c r="H14" s="9"/>
      <c r="I14" s="8"/>
      <c r="J14" s="8"/>
      <c r="K14" s="8"/>
      <c r="L14" s="9"/>
      <c r="M14" s="8"/>
      <c r="N14" s="8"/>
      <c r="O14" s="9"/>
      <c r="P14" s="95"/>
      <c r="Q14" s="95"/>
      <c r="R14" s="106"/>
      <c r="S14" s="95"/>
      <c r="T14" s="95"/>
      <c r="U14" s="106"/>
      <c r="V14" s="106"/>
      <c r="W14" s="95"/>
      <c r="X14" s="95"/>
      <c r="Y14" s="95"/>
      <c r="Z14" s="106"/>
      <c r="AA14" s="95"/>
      <c r="AB14" s="95"/>
      <c r="AC14" s="95"/>
      <c r="AD14" s="95"/>
      <c r="AE14" s="95"/>
      <c r="AF14" s="95"/>
      <c r="AG14" s="107"/>
      <c r="AH14" s="106"/>
      <c r="AI14" s="95"/>
      <c r="AJ14" s="95"/>
      <c r="AK14" s="95"/>
      <c r="AL14" s="106"/>
      <c r="AM14" s="106"/>
      <c r="AN14" s="177">
        <f>+AV18-AI19</f>
        <v>396</v>
      </c>
      <c r="AO14" s="95"/>
      <c r="AP14" s="106"/>
      <c r="AQ14" s="95"/>
      <c r="AR14" s="106"/>
      <c r="AS14" s="95"/>
      <c r="AT14" s="95"/>
      <c r="AU14" s="95"/>
      <c r="AV14" s="95"/>
      <c r="AW14" s="106"/>
      <c r="AX14" s="95"/>
      <c r="AY14" s="95"/>
      <c r="AZ14" s="106"/>
      <c r="BA14" s="95"/>
      <c r="BB14" s="95"/>
      <c r="BC14" s="95"/>
      <c r="BD14" s="95"/>
      <c r="BE14" s="106"/>
      <c r="BF14" s="106"/>
      <c r="BG14" s="95"/>
      <c r="BH14" s="104"/>
      <c r="BI14" s="95"/>
      <c r="BJ14" s="95"/>
      <c r="BK14" s="95"/>
      <c r="BL14" s="95"/>
      <c r="BM14" s="95"/>
      <c r="BN14" s="95"/>
      <c r="BO14" s="136"/>
      <c r="BP14" s="106"/>
      <c r="BQ14" s="95"/>
      <c r="BR14" s="95"/>
      <c r="BS14" s="95"/>
      <c r="BT14" s="95"/>
      <c r="BU14" s="104"/>
      <c r="BV14" s="106"/>
      <c r="BW14" s="104"/>
      <c r="BX14" s="95"/>
      <c r="BY14" s="95"/>
      <c r="BZ14" s="106"/>
      <c r="CA14" s="106">
        <v>199</v>
      </c>
      <c r="CB14" s="95"/>
      <c r="CC14" s="95"/>
      <c r="CD14" s="106"/>
      <c r="CE14" s="95"/>
      <c r="CF14" s="95"/>
      <c r="CG14" s="104"/>
      <c r="CH14" s="106"/>
      <c r="CI14" s="95"/>
      <c r="CJ14" s="95"/>
      <c r="CK14" s="106"/>
      <c r="CL14" s="95"/>
      <c r="CM14" s="95"/>
      <c r="CN14" s="107">
        <v>0.52</v>
      </c>
      <c r="CO14" s="106"/>
      <c r="CP14" s="95"/>
      <c r="CQ14" s="95"/>
      <c r="CR14" s="95"/>
      <c r="CS14" s="95"/>
      <c r="CT14" s="159">
        <v>120</v>
      </c>
      <c r="CU14" s="104"/>
      <c r="CV14" s="106"/>
      <c r="CW14" s="107">
        <v>0.22</v>
      </c>
      <c r="CX14" s="95"/>
      <c r="CY14" s="95"/>
      <c r="CZ14" s="108"/>
      <c r="DA14" s="108"/>
      <c r="DB14" s="108"/>
      <c r="DC14" s="106"/>
      <c r="DD14" s="108"/>
      <c r="DE14" s="108"/>
      <c r="DF14" s="168">
        <v>150</v>
      </c>
      <c r="DG14" s="108"/>
      <c r="DH14" s="95"/>
      <c r="DI14" s="95"/>
      <c r="DJ14" s="95"/>
      <c r="DK14" s="181">
        <f>+DF13+DF14+DJ18+DI3</f>
        <v>1588</v>
      </c>
      <c r="DL14" s="111"/>
      <c r="DM14" s="95"/>
      <c r="DN14" s="95"/>
      <c r="DO14" s="137"/>
      <c r="DP14" s="111"/>
      <c r="DQ14" s="95"/>
      <c r="DR14" s="95"/>
      <c r="DS14" s="95"/>
      <c r="DT14" s="95"/>
      <c r="DU14" s="95"/>
      <c r="DV14" s="95"/>
      <c r="DW14" s="95"/>
      <c r="DX14" s="95"/>
      <c r="DY14" s="95"/>
      <c r="DZ14" s="95"/>
      <c r="EA14" s="95"/>
      <c r="EB14" s="95"/>
    </row>
    <row r="15" spans="1:132" ht="18" x14ac:dyDescent="0.35">
      <c r="A15" s="8"/>
      <c r="B15" s="8"/>
      <c r="C15" s="10"/>
      <c r="D15" s="10"/>
      <c r="E15" s="10"/>
      <c r="F15" s="10"/>
      <c r="G15" s="10"/>
      <c r="H15" s="9"/>
      <c r="I15" s="10"/>
      <c r="J15" s="10"/>
      <c r="K15" s="10"/>
      <c r="L15" s="9"/>
      <c r="M15" s="10"/>
      <c r="N15" s="10"/>
      <c r="O15" s="9"/>
      <c r="P15" s="108"/>
      <c r="Q15" s="108"/>
      <c r="R15" s="106"/>
      <c r="S15" s="108"/>
      <c r="T15" s="108"/>
      <c r="U15" s="106"/>
      <c r="V15" s="106"/>
      <c r="W15" s="108"/>
      <c r="X15" s="108"/>
      <c r="Y15" s="108"/>
      <c r="Z15" s="106"/>
      <c r="AA15" s="108"/>
      <c r="AB15" s="108"/>
      <c r="AC15" s="108"/>
      <c r="AD15" s="108"/>
      <c r="AE15" s="108"/>
      <c r="AF15" s="108"/>
      <c r="AG15" s="106">
        <f>+AF8+AG8+AH8</f>
        <v>774</v>
      </c>
      <c r="AH15" s="106"/>
      <c r="AI15" s="108"/>
      <c r="AJ15" s="108"/>
      <c r="AK15" s="108"/>
      <c r="AL15" s="106"/>
      <c r="AM15" s="106"/>
      <c r="AN15" s="108"/>
      <c r="AO15" s="108"/>
      <c r="AP15" s="106"/>
      <c r="AQ15" s="108"/>
      <c r="AR15" s="106"/>
      <c r="AS15" s="108"/>
      <c r="AT15" s="108"/>
      <c r="AU15" s="108"/>
      <c r="AV15" s="108"/>
      <c r="AW15" s="106"/>
      <c r="AX15" s="95"/>
      <c r="AY15" s="95"/>
      <c r="AZ15" s="106"/>
      <c r="BA15" s="95"/>
      <c r="BB15" s="95"/>
      <c r="BC15" s="95"/>
      <c r="BD15" s="95"/>
      <c r="BE15" s="106"/>
      <c r="BF15" s="106"/>
      <c r="BG15" s="95"/>
      <c r="BH15" s="95"/>
      <c r="BI15" s="95"/>
      <c r="BJ15" s="95"/>
      <c r="BK15" s="95"/>
      <c r="BL15" s="95"/>
      <c r="BM15" s="95"/>
      <c r="BN15" s="95"/>
      <c r="BO15" s="136"/>
      <c r="BP15" s="136"/>
      <c r="BQ15" s="136"/>
      <c r="BR15" s="95"/>
      <c r="BS15" s="95"/>
      <c r="BT15" s="95"/>
      <c r="BU15" s="104"/>
      <c r="BV15" s="106"/>
      <c r="BW15" s="95"/>
      <c r="BX15" s="95"/>
      <c r="BY15" s="95"/>
      <c r="BZ15" s="106"/>
      <c r="CA15" s="106"/>
      <c r="CB15" s="95"/>
      <c r="CC15" s="95"/>
      <c r="CD15" s="106"/>
      <c r="CE15" s="95"/>
      <c r="CF15" s="95"/>
      <c r="CG15" s="104"/>
      <c r="CH15" s="106"/>
      <c r="CI15" s="95"/>
      <c r="CJ15" s="95"/>
      <c r="CK15" s="106"/>
      <c r="CL15" s="95"/>
      <c r="CM15" s="95"/>
      <c r="CN15" s="162">
        <v>620</v>
      </c>
      <c r="CO15" s="107">
        <v>0.17</v>
      </c>
      <c r="CP15" s="95"/>
      <c r="CQ15" s="95"/>
      <c r="CR15" s="95"/>
      <c r="CS15" s="95"/>
      <c r="CT15" s="95"/>
      <c r="CU15" s="104"/>
      <c r="CV15" s="106"/>
      <c r="CW15" s="106">
        <f>+CW22+CX22+CY22</f>
        <v>503</v>
      </c>
      <c r="CX15" s="95"/>
      <c r="CY15" s="95"/>
      <c r="CZ15" s="95"/>
      <c r="DA15" s="95"/>
      <c r="DB15" s="95"/>
      <c r="DC15" s="106"/>
      <c r="DD15" s="95"/>
      <c r="DE15" s="95"/>
      <c r="DF15" s="159">
        <v>75</v>
      </c>
      <c r="DG15" s="138"/>
      <c r="DH15" s="95"/>
      <c r="DI15" s="95"/>
      <c r="DJ15" s="124"/>
      <c r="DK15" s="124"/>
      <c r="DL15" s="108"/>
      <c r="DM15" s="124"/>
      <c r="DN15" s="95"/>
      <c r="DO15" s="121"/>
      <c r="DP15" s="108"/>
      <c r="DQ15" s="95"/>
      <c r="DR15" s="95"/>
      <c r="DS15" s="95"/>
      <c r="DT15" s="95"/>
      <c r="DU15" s="95"/>
      <c r="DV15" s="95"/>
      <c r="DW15" s="95"/>
      <c r="DX15" s="95"/>
      <c r="DY15" s="95"/>
      <c r="DZ15" s="95"/>
      <c r="EA15" s="95"/>
      <c r="EB15" s="95"/>
    </row>
    <row r="16" spans="1:132" ht="18.600000000000001" thickBot="1" x14ac:dyDescent="0.4">
      <c r="A16" s="8"/>
      <c r="B16" s="18"/>
      <c r="C16" s="8"/>
      <c r="D16" s="18"/>
      <c r="E16" s="18"/>
      <c r="F16" s="18"/>
      <c r="G16" s="18"/>
      <c r="H16" s="8"/>
      <c r="I16" s="18"/>
      <c r="J16" s="18"/>
      <c r="K16" s="18"/>
      <c r="L16" s="8"/>
      <c r="M16" s="18"/>
      <c r="N16" s="18"/>
      <c r="O16" s="8"/>
      <c r="P16" s="111"/>
      <c r="Q16" s="111"/>
      <c r="R16" s="95"/>
      <c r="S16" s="111"/>
      <c r="T16" s="111"/>
      <c r="U16" s="95"/>
      <c r="V16" s="95"/>
      <c r="W16" s="163">
        <v>195</v>
      </c>
      <c r="X16" s="100"/>
      <c r="Y16" s="111"/>
      <c r="Z16" s="95"/>
      <c r="AA16" s="111"/>
      <c r="AB16" s="111"/>
      <c r="AC16" s="95"/>
      <c r="AD16" s="111"/>
      <c r="AE16" s="111"/>
      <c r="AF16" s="111"/>
      <c r="AG16" s="95"/>
      <c r="AH16" s="95"/>
      <c r="AI16" s="111"/>
      <c r="AJ16" s="154">
        <v>322</v>
      </c>
      <c r="AK16" s="111"/>
      <c r="AL16" s="95"/>
      <c r="AM16" s="95"/>
      <c r="AN16" s="111"/>
      <c r="AO16" s="111"/>
      <c r="AP16" s="95"/>
      <c r="AQ16" s="111"/>
      <c r="AR16" s="95"/>
      <c r="AS16" s="111"/>
      <c r="AT16" s="95"/>
      <c r="AU16" s="111"/>
      <c r="AV16" s="111"/>
      <c r="AW16" s="113"/>
      <c r="AX16" s="108"/>
      <c r="AY16" s="108"/>
      <c r="AZ16" s="106"/>
      <c r="BA16" s="108"/>
      <c r="BB16" s="108"/>
      <c r="BC16" s="108"/>
      <c r="BD16" s="139"/>
      <c r="BE16" s="106"/>
      <c r="BF16" s="106"/>
      <c r="BG16" s="108"/>
      <c r="BH16" s="108"/>
      <c r="BI16" s="108"/>
      <c r="BJ16" s="108"/>
      <c r="BK16" s="108"/>
      <c r="BL16" s="95"/>
      <c r="BM16" s="95"/>
      <c r="BN16" s="95"/>
      <c r="BO16" s="136"/>
      <c r="BP16" s="136"/>
      <c r="BQ16" s="136"/>
      <c r="BR16" s="95"/>
      <c r="BS16" s="95"/>
      <c r="BT16" s="95"/>
      <c r="BU16" s="104"/>
      <c r="BV16" s="95"/>
      <c r="BW16" s="104"/>
      <c r="BX16" s="95"/>
      <c r="BY16" s="95"/>
      <c r="BZ16" s="106"/>
      <c r="CA16" s="95"/>
      <c r="CB16" s="95"/>
      <c r="CC16" s="95"/>
      <c r="CD16" s="95"/>
      <c r="CE16" s="95"/>
      <c r="CF16" s="95"/>
      <c r="CG16" s="104"/>
      <c r="CH16" s="95"/>
      <c r="CI16" s="95"/>
      <c r="CJ16" s="95"/>
      <c r="CK16" s="95"/>
      <c r="CL16" s="95"/>
      <c r="CM16" s="95"/>
      <c r="CN16" s="106"/>
      <c r="CO16" s="162">
        <v>175</v>
      </c>
      <c r="CP16" s="95"/>
      <c r="CQ16" s="95"/>
      <c r="CR16" s="95"/>
      <c r="CS16" s="95"/>
      <c r="CT16" s="95"/>
      <c r="CU16" s="104"/>
      <c r="CV16" s="106"/>
      <c r="CW16" s="106"/>
      <c r="CX16" s="95"/>
      <c r="CY16" s="95"/>
      <c r="CZ16" s="95"/>
      <c r="DA16" s="95"/>
      <c r="DB16" s="95"/>
      <c r="DC16" s="106"/>
      <c r="DD16" s="95"/>
      <c r="DE16" s="95"/>
      <c r="DF16" s="95"/>
      <c r="DG16" s="95"/>
      <c r="DH16" s="106"/>
      <c r="DI16" s="106"/>
      <c r="DJ16" s="95"/>
      <c r="DK16" s="95"/>
      <c r="DL16" s="95"/>
      <c r="DM16" s="95"/>
      <c r="DN16" s="106"/>
      <c r="DO16" s="104"/>
      <c r="DP16" s="95"/>
      <c r="DQ16" s="95"/>
      <c r="DR16" s="95"/>
      <c r="DS16" s="95"/>
      <c r="DT16" s="95"/>
      <c r="DU16" s="95"/>
      <c r="DV16" s="95"/>
      <c r="DW16" s="95"/>
      <c r="DX16" s="95"/>
      <c r="DY16" s="95"/>
      <c r="DZ16" s="95"/>
      <c r="EA16" s="95"/>
      <c r="EB16" s="95"/>
    </row>
    <row r="17" spans="1:132" ht="18" x14ac:dyDescent="0.35">
      <c r="A17" s="8"/>
      <c r="B17" s="10"/>
      <c r="C17" s="19"/>
      <c r="D17" s="10"/>
      <c r="E17" s="10"/>
      <c r="F17" s="10"/>
      <c r="G17" s="10"/>
      <c r="H17" s="8"/>
      <c r="I17" s="10"/>
      <c r="J17" s="10"/>
      <c r="K17" s="10"/>
      <c r="L17" s="8"/>
      <c r="M17" s="10"/>
      <c r="N17" s="10"/>
      <c r="O17" s="8"/>
      <c r="P17" s="108"/>
      <c r="Q17" s="108"/>
      <c r="R17" s="95"/>
      <c r="S17" s="108"/>
      <c r="T17" s="108"/>
      <c r="U17" s="95"/>
      <c r="V17" s="95"/>
      <c r="W17" s="157">
        <v>486</v>
      </c>
      <c r="X17" s="101"/>
      <c r="Y17" s="108"/>
      <c r="Z17" s="95"/>
      <c r="AA17" s="108"/>
      <c r="AB17" s="108"/>
      <c r="AC17" s="95"/>
      <c r="AD17" s="108"/>
      <c r="AE17" s="108"/>
      <c r="AF17" s="108"/>
      <c r="AG17" s="95"/>
      <c r="AH17" s="95"/>
      <c r="AI17" s="108"/>
      <c r="AJ17" s="108"/>
      <c r="AK17" s="108"/>
      <c r="AL17" s="95"/>
      <c r="AM17" s="95"/>
      <c r="AN17" s="108"/>
      <c r="AO17" s="108"/>
      <c r="AP17" s="95"/>
      <c r="AQ17" s="108"/>
      <c r="AR17" s="95"/>
      <c r="AS17" s="108"/>
      <c r="AT17" s="95"/>
      <c r="AU17" s="108"/>
      <c r="AV17" s="108"/>
      <c r="AW17" s="95"/>
      <c r="AX17" s="95"/>
      <c r="AY17" s="104"/>
      <c r="AZ17" s="95"/>
      <c r="BA17" s="95"/>
      <c r="BB17" s="95"/>
      <c r="BC17" s="95"/>
      <c r="BD17" s="160">
        <f>0.75*BH18</f>
        <v>1001.25</v>
      </c>
      <c r="BE17" s="95"/>
      <c r="BF17" s="95"/>
      <c r="BG17" s="95"/>
      <c r="BH17" s="160">
        <v>231</v>
      </c>
      <c r="BI17" s="95"/>
      <c r="BJ17" s="95"/>
      <c r="BK17" s="95"/>
      <c r="BL17" s="108"/>
      <c r="BM17" s="108"/>
      <c r="BN17" s="108"/>
      <c r="BO17" s="136"/>
      <c r="BP17" s="136"/>
      <c r="BQ17" s="166">
        <v>64</v>
      </c>
      <c r="BR17" s="95"/>
      <c r="BS17" s="95"/>
      <c r="BT17" s="95"/>
      <c r="BU17" s="104"/>
      <c r="BV17" s="159">
        <v>249</v>
      </c>
      <c r="BW17" s="165">
        <v>60</v>
      </c>
      <c r="BX17" s="95"/>
      <c r="BY17" s="95"/>
      <c r="BZ17" s="95"/>
      <c r="CA17" s="95"/>
      <c r="CB17" s="95"/>
      <c r="CC17" s="95"/>
      <c r="CD17" s="95"/>
      <c r="CE17" s="95"/>
      <c r="CF17" s="95"/>
      <c r="CG17" s="104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95"/>
      <c r="CS17" s="95"/>
      <c r="CT17" s="95"/>
      <c r="CU17" s="95"/>
      <c r="CV17" s="106"/>
      <c r="CW17" s="106"/>
      <c r="CX17" s="95"/>
      <c r="CY17" s="95"/>
      <c r="CZ17" s="95"/>
      <c r="DA17" s="95"/>
      <c r="DB17" s="95"/>
      <c r="DC17" s="159">
        <f>+DF14+DF15</f>
        <v>225</v>
      </c>
      <c r="DD17" s="95"/>
      <c r="DE17" s="95"/>
      <c r="DF17" s="95"/>
      <c r="DG17" s="95"/>
      <c r="DH17" s="106"/>
      <c r="DI17" s="106"/>
      <c r="DJ17" s="95"/>
      <c r="DK17" s="95"/>
      <c r="DL17" s="95"/>
      <c r="DM17" s="95"/>
      <c r="DN17" s="106"/>
      <c r="DO17" s="95"/>
      <c r="DP17" s="95"/>
      <c r="DQ17" s="95"/>
      <c r="DR17" s="95"/>
      <c r="DS17" s="95"/>
      <c r="DT17" s="95"/>
      <c r="DU17" s="95"/>
      <c r="DV17" s="95"/>
      <c r="DW17" s="95"/>
      <c r="DX17" s="95"/>
      <c r="DY17" s="95"/>
      <c r="DZ17" s="95"/>
      <c r="EA17" s="95"/>
      <c r="EB17" s="95"/>
    </row>
    <row r="18" spans="1:132" ht="18" x14ac:dyDescent="0.35">
      <c r="A18" s="8"/>
      <c r="B18" s="21"/>
      <c r="C18" s="159">
        <v>1614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95"/>
      <c r="Q18" s="95"/>
      <c r="R18" s="159">
        <f>+S9+U29+U18+W17</f>
        <v>1714</v>
      </c>
      <c r="S18" s="95">
        <v>1714</v>
      </c>
      <c r="T18" s="97"/>
      <c r="U18" s="159">
        <v>615</v>
      </c>
      <c r="V18" s="141"/>
      <c r="W18" s="104"/>
      <c r="X18" s="104"/>
      <c r="Y18" s="160">
        <v>1536</v>
      </c>
      <c r="Z18" s="95"/>
      <c r="AA18" s="95"/>
      <c r="AB18" s="181">
        <v>1536</v>
      </c>
      <c r="AC18" s="95"/>
      <c r="AD18" s="97">
        <f>+AK18+AG31+AF8</f>
        <v>1421</v>
      </c>
      <c r="AE18" s="95"/>
      <c r="AF18" s="95"/>
      <c r="AG18" s="95"/>
      <c r="AH18" s="104"/>
      <c r="AI18" s="114"/>
      <c r="AJ18" s="114"/>
      <c r="AK18" s="115">
        <v>1017</v>
      </c>
      <c r="AL18" s="155">
        <f>+AK18-AJ16</f>
        <v>695</v>
      </c>
      <c r="AM18" s="95"/>
      <c r="AN18" s="95"/>
      <c r="AO18" s="95"/>
      <c r="AP18" s="95"/>
      <c r="AQ18" s="95"/>
      <c r="AR18" s="95"/>
      <c r="AS18" s="95"/>
      <c r="AT18" s="95"/>
      <c r="AU18" s="104"/>
      <c r="AV18" s="103">
        <v>1538</v>
      </c>
      <c r="AW18" s="95"/>
      <c r="AX18" s="104"/>
      <c r="AY18" s="133">
        <f>+BD17+BE13+BE26</f>
        <v>1539.25</v>
      </c>
      <c r="AZ18" s="104"/>
      <c r="BA18" s="95"/>
      <c r="BB18" s="95"/>
      <c r="BC18" s="95"/>
      <c r="BD18" s="160">
        <f>0.25*BH18</f>
        <v>333.75</v>
      </c>
      <c r="BE18" s="95"/>
      <c r="BF18" s="95"/>
      <c r="BG18" s="104"/>
      <c r="BH18" s="160">
        <v>1335</v>
      </c>
      <c r="BI18" s="133">
        <f>BN18+BJ28+BK28</f>
        <v>1565</v>
      </c>
      <c r="BJ18" s="104"/>
      <c r="BK18" s="95"/>
      <c r="BL18" s="114"/>
      <c r="BM18" s="114"/>
      <c r="BN18" s="165">
        <v>831</v>
      </c>
      <c r="BO18" s="95"/>
      <c r="BP18" s="95"/>
      <c r="BQ18" s="95"/>
      <c r="BR18" s="95"/>
      <c r="BS18" s="95"/>
      <c r="BT18" s="95"/>
      <c r="BU18" s="104"/>
      <c r="BV18" s="95"/>
      <c r="BW18" s="95"/>
      <c r="BX18" s="95"/>
      <c r="BY18" s="95"/>
      <c r="BZ18" s="95"/>
      <c r="CA18" s="95"/>
      <c r="CB18" s="95"/>
      <c r="CC18" s="95"/>
      <c r="CD18" s="95"/>
      <c r="CE18" s="95"/>
      <c r="CF18" s="95"/>
      <c r="CG18" s="95"/>
      <c r="CH18" s="95"/>
      <c r="CI18" s="95"/>
      <c r="CJ18" s="95"/>
      <c r="CK18" s="95"/>
      <c r="CL18" s="95"/>
      <c r="CM18" s="95"/>
      <c r="CN18" s="95"/>
      <c r="CO18" s="95"/>
      <c r="CP18" s="95"/>
      <c r="CQ18" s="95"/>
      <c r="CR18" s="95"/>
      <c r="CS18" s="95"/>
      <c r="CT18" s="95"/>
      <c r="CU18" s="95"/>
      <c r="CV18" s="106"/>
      <c r="CW18" s="106"/>
      <c r="CX18" s="95"/>
      <c r="CY18" s="95"/>
      <c r="CZ18" s="95"/>
      <c r="DA18" s="95"/>
      <c r="DB18" s="95"/>
      <c r="DC18" s="95"/>
      <c r="DD18" s="95"/>
      <c r="DE18" s="95"/>
      <c r="DF18" s="95"/>
      <c r="DG18" s="95"/>
      <c r="DH18" s="162">
        <v>120</v>
      </c>
      <c r="DI18" s="162">
        <v>605</v>
      </c>
      <c r="DJ18" s="165">
        <v>326</v>
      </c>
      <c r="DK18" s="95"/>
      <c r="DL18" s="104"/>
      <c r="DM18" s="95"/>
      <c r="DN18" s="106"/>
      <c r="DO18" s="95"/>
      <c r="DP18" s="95"/>
      <c r="DQ18" s="95"/>
      <c r="DR18" s="95"/>
      <c r="DS18" s="95"/>
      <c r="DT18" s="95"/>
      <c r="DU18" s="95"/>
      <c r="DV18" s="95"/>
      <c r="DW18" s="95"/>
      <c r="DX18" s="95"/>
      <c r="DY18" s="95"/>
      <c r="DZ18" s="95"/>
      <c r="EA18" s="95"/>
      <c r="EB18" s="95"/>
    </row>
    <row r="19" spans="1:132" ht="18.600000000000001" thickBot="1" x14ac:dyDescent="0.4">
      <c r="A19" s="8"/>
      <c r="B19" s="8"/>
      <c r="C19" s="8"/>
      <c r="D19" s="17"/>
      <c r="E19" s="8"/>
      <c r="F19" s="8"/>
      <c r="G19" s="17"/>
      <c r="H19" s="8"/>
      <c r="I19" s="17"/>
      <c r="J19" s="17"/>
      <c r="K19" s="17"/>
      <c r="L19" s="8"/>
      <c r="M19" s="17"/>
      <c r="N19" s="17"/>
      <c r="O19" s="8"/>
      <c r="P19" s="123"/>
      <c r="Q19" s="123"/>
      <c r="R19" s="95"/>
      <c r="S19" s="123"/>
      <c r="T19" s="123"/>
      <c r="U19" s="95"/>
      <c r="V19" s="95"/>
      <c r="W19" s="123"/>
      <c r="X19" s="123"/>
      <c r="Y19" s="122"/>
      <c r="Z19" s="95"/>
      <c r="AA19" s="123"/>
      <c r="AB19" s="180"/>
      <c r="AC19" s="95"/>
      <c r="AD19" s="123"/>
      <c r="AE19" s="159">
        <v>394</v>
      </c>
      <c r="AF19" s="123"/>
      <c r="AG19" s="95"/>
      <c r="AH19" s="104"/>
      <c r="AI19" s="142">
        <f>+AK18+AK19</f>
        <v>1142</v>
      </c>
      <c r="AJ19" s="123"/>
      <c r="AK19" s="178">
        <v>125</v>
      </c>
      <c r="AL19" s="95"/>
      <c r="AM19" s="95"/>
      <c r="AN19" s="123"/>
      <c r="AO19" s="123"/>
      <c r="AP19" s="95"/>
      <c r="AQ19" s="123"/>
      <c r="AR19" s="95"/>
      <c r="AS19" s="123"/>
      <c r="AT19" s="95"/>
      <c r="AU19" s="95"/>
      <c r="AV19" s="104"/>
      <c r="AW19" s="95"/>
      <c r="AX19" s="108"/>
      <c r="AY19" s="108"/>
      <c r="AZ19" s="95"/>
      <c r="BA19" s="108"/>
      <c r="BB19" s="108"/>
      <c r="BC19" s="108"/>
      <c r="BD19" s="108"/>
      <c r="BE19" s="95"/>
      <c r="BF19" s="95"/>
      <c r="BG19" s="108"/>
      <c r="BH19" s="108"/>
      <c r="BI19" s="108"/>
      <c r="BJ19" s="121"/>
      <c r="BK19" s="95"/>
      <c r="BL19" s="108"/>
      <c r="BM19" s="108"/>
      <c r="BN19" s="157">
        <v>87</v>
      </c>
      <c r="BO19" s="95"/>
      <c r="BP19" s="95"/>
      <c r="BQ19" s="168">
        <f>+BN18+BN19</f>
        <v>918</v>
      </c>
      <c r="BR19" s="95"/>
      <c r="BS19" s="104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106"/>
      <c r="CW19" s="106"/>
      <c r="CX19" s="95"/>
      <c r="CY19" s="95"/>
      <c r="CZ19" s="95"/>
      <c r="DA19" s="95"/>
      <c r="DB19" s="95"/>
      <c r="DC19" s="156" t="s">
        <v>45</v>
      </c>
      <c r="DD19" s="95"/>
      <c r="DE19" s="95"/>
      <c r="DF19" s="95"/>
      <c r="DG19" s="95"/>
      <c r="DH19" s="106"/>
      <c r="DI19" s="106"/>
      <c r="DJ19" s="95"/>
      <c r="DK19" s="95"/>
      <c r="DL19" s="95"/>
      <c r="DM19" s="95"/>
      <c r="DN19" s="95"/>
      <c r="DO19" s="95"/>
      <c r="DP19" s="95"/>
      <c r="DQ19" s="95"/>
      <c r="DR19" s="95"/>
      <c r="DS19" s="95"/>
      <c r="DT19" s="95"/>
      <c r="DU19" s="95"/>
      <c r="DV19" s="95"/>
      <c r="DW19" s="95"/>
      <c r="DX19" s="95"/>
      <c r="DY19" s="95"/>
      <c r="DZ19" s="95"/>
      <c r="EA19" s="95"/>
      <c r="EB19" s="95"/>
    </row>
    <row r="20" spans="1:132" ht="18" x14ac:dyDescent="0.35">
      <c r="A20" s="8"/>
      <c r="B20" s="22"/>
      <c r="C20" s="170">
        <v>1467</v>
      </c>
      <c r="D20" s="8"/>
      <c r="E20" s="16"/>
      <c r="F20" s="16"/>
      <c r="G20" s="8"/>
      <c r="H20" s="8"/>
      <c r="I20" s="8"/>
      <c r="J20" s="8"/>
      <c r="K20" s="8"/>
      <c r="L20" s="8"/>
      <c r="M20" s="8"/>
      <c r="N20" s="8"/>
      <c r="O20" s="8"/>
      <c r="P20" s="95"/>
      <c r="Q20" s="95"/>
      <c r="R20" s="95"/>
      <c r="S20" s="104">
        <f>+T22+T23+U20</f>
        <v>1467</v>
      </c>
      <c r="T20" s="95"/>
      <c r="U20" s="160">
        <v>771</v>
      </c>
      <c r="V20" s="141"/>
      <c r="W20" s="104"/>
      <c r="X20" s="104"/>
      <c r="Y20" s="182">
        <v>1784</v>
      </c>
      <c r="Z20" s="95"/>
      <c r="AA20" s="95"/>
      <c r="AB20" s="159">
        <v>1784</v>
      </c>
      <c r="AC20" s="95"/>
      <c r="AD20" s="105">
        <f>AE19+AE20+AE21</f>
        <v>1648</v>
      </c>
      <c r="AE20" s="179">
        <v>1205</v>
      </c>
      <c r="AF20" s="11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104"/>
      <c r="AU20" s="143"/>
      <c r="AV20" s="144">
        <v>1412</v>
      </c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104"/>
      <c r="BI20" s="159">
        <v>806</v>
      </c>
      <c r="BJ20" s="129"/>
      <c r="BK20" s="95"/>
      <c r="BL20" s="95"/>
      <c r="BM20" s="95"/>
      <c r="BN20" s="95"/>
      <c r="BO20" s="160">
        <v>436</v>
      </c>
      <c r="BP20" s="95"/>
      <c r="BQ20" s="95"/>
      <c r="BR20" s="95"/>
      <c r="BS20" s="104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106"/>
      <c r="CW20" s="106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5"/>
      <c r="DV20" s="95"/>
      <c r="DW20" s="95"/>
      <c r="DX20" s="95"/>
      <c r="DY20" s="95"/>
      <c r="DZ20" s="95"/>
      <c r="EA20" s="95"/>
      <c r="EB20" s="95"/>
    </row>
    <row r="21" spans="1:132" ht="18" x14ac:dyDescent="0.35">
      <c r="A21" s="8"/>
      <c r="B21" s="23"/>
      <c r="C21" s="10"/>
      <c r="D21" s="10"/>
      <c r="E21" s="8"/>
      <c r="F21" s="10"/>
      <c r="G21" s="10"/>
      <c r="H21" s="8"/>
      <c r="I21" s="10"/>
      <c r="J21" s="10"/>
      <c r="K21" s="10"/>
      <c r="L21" s="10"/>
      <c r="M21" s="10"/>
      <c r="N21" s="10"/>
      <c r="O21" s="8"/>
      <c r="P21" s="108"/>
      <c r="Q21" s="108"/>
      <c r="R21" s="95"/>
      <c r="S21" s="108"/>
      <c r="T21" s="108"/>
      <c r="U21" s="95"/>
      <c r="V21" s="95"/>
      <c r="W21" s="108"/>
      <c r="X21" s="108"/>
      <c r="Y21" s="102">
        <f>T22+U9+W29+U20</f>
        <v>1453</v>
      </c>
      <c r="Z21" s="104"/>
      <c r="AA21" s="108"/>
      <c r="AB21" s="121"/>
      <c r="AC21" s="95"/>
      <c r="AD21" s="171">
        <f>U20+W29+U9+Z13+T22</f>
        <v>1653</v>
      </c>
      <c r="AE21" s="159">
        <v>49</v>
      </c>
      <c r="AF21" s="121">
        <f>+AE19+AE20+AE21</f>
        <v>1648</v>
      </c>
      <c r="AG21" s="108"/>
      <c r="AH21" s="104"/>
      <c r="AI21" s="97">
        <f>+AE20+AI31+AH8</f>
        <v>1546</v>
      </c>
      <c r="AJ21" s="108"/>
      <c r="AK21" s="108"/>
      <c r="AL21" s="95"/>
      <c r="AM21" s="95"/>
      <c r="AN21" s="108"/>
      <c r="AO21" s="108"/>
      <c r="AP21" s="95"/>
      <c r="AQ21" s="108"/>
      <c r="AR21" s="95"/>
      <c r="AS21" s="108"/>
      <c r="AT21" s="104"/>
      <c r="AU21" s="171">
        <f>+U20+T22+99+210</f>
        <v>1411</v>
      </c>
      <c r="AV21" s="121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104"/>
      <c r="BH21" s="104"/>
      <c r="BI21" s="160">
        <v>581</v>
      </c>
      <c r="BJ21" s="104"/>
      <c r="BK21" s="95"/>
      <c r="BL21" s="108"/>
      <c r="BM21" s="108"/>
      <c r="BN21" s="102">
        <f>(BI21/1.5)+BL28+BI20</f>
        <v>1238.3333333333333</v>
      </c>
      <c r="BO21" s="171">
        <f>+BN21-BO20</f>
        <v>802.33333333333326</v>
      </c>
      <c r="BP21" s="108"/>
      <c r="BQ21" s="108"/>
      <c r="BR21" s="95"/>
      <c r="BS21" s="95"/>
      <c r="BT21" s="95"/>
      <c r="BU21" s="95"/>
      <c r="BV21" s="95"/>
      <c r="BW21" s="11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106"/>
      <c r="CW21" s="106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5"/>
      <c r="DV21" s="95"/>
      <c r="DW21" s="95"/>
      <c r="DX21" s="95"/>
      <c r="DY21" s="95"/>
      <c r="DZ21" s="95"/>
      <c r="EA21" s="95"/>
      <c r="EB21" s="95"/>
    </row>
    <row r="22" spans="1:132" ht="18.600000000000001" thickBot="1" x14ac:dyDescent="0.4">
      <c r="A22" s="8"/>
      <c r="B22" s="24"/>
      <c r="C22" s="18"/>
      <c r="D22" s="18"/>
      <c r="E22" s="8"/>
      <c r="F22" s="18"/>
      <c r="G22" s="18"/>
      <c r="H22" s="8"/>
      <c r="I22" s="18"/>
      <c r="J22" s="18"/>
      <c r="K22" s="18"/>
      <c r="L22" s="18"/>
      <c r="M22" s="18"/>
      <c r="N22" s="18"/>
      <c r="O22" s="8"/>
      <c r="P22" s="111"/>
      <c r="Q22" s="111"/>
      <c r="R22" s="95"/>
      <c r="S22" s="137"/>
      <c r="T22" s="163">
        <v>331</v>
      </c>
      <c r="U22" s="95"/>
      <c r="V22" s="95"/>
      <c r="W22" s="111"/>
      <c r="X22" s="111"/>
      <c r="Y22" s="137"/>
      <c r="Z22" s="95"/>
      <c r="AA22" s="111"/>
      <c r="AB22" s="111"/>
      <c r="AC22" s="95"/>
      <c r="AD22" s="137"/>
      <c r="AE22" s="111"/>
      <c r="AF22" s="111"/>
      <c r="AG22" s="111"/>
      <c r="AH22" s="95"/>
      <c r="AI22" s="137"/>
      <c r="AJ22" s="111"/>
      <c r="AK22" s="111"/>
      <c r="AL22" s="95"/>
      <c r="AM22" s="95"/>
      <c r="AN22" s="111"/>
      <c r="AO22" s="111"/>
      <c r="AP22" s="95"/>
      <c r="AQ22" s="111"/>
      <c r="AR22" s="95"/>
      <c r="AS22" s="95"/>
      <c r="AT22" s="95"/>
      <c r="AU22" s="111"/>
      <c r="AV22" s="137"/>
      <c r="AW22" s="95"/>
      <c r="AX22" s="108"/>
      <c r="AY22" s="108"/>
      <c r="AZ22" s="95"/>
      <c r="BA22" s="108"/>
      <c r="BB22" s="108"/>
      <c r="BC22" s="95"/>
      <c r="BD22" s="95"/>
      <c r="BE22" s="95"/>
      <c r="BF22" s="95"/>
      <c r="BG22" s="108"/>
      <c r="BH22" s="102">
        <f>BD30+BF27+BG27</f>
        <v>1566</v>
      </c>
      <c r="BI22" s="168">
        <v>179</v>
      </c>
      <c r="BJ22" s="121"/>
      <c r="BK22" s="106"/>
      <c r="BL22" s="95"/>
      <c r="BM22" s="95"/>
      <c r="BN22" s="95">
        <v>1238</v>
      </c>
      <c r="BO22" s="95"/>
      <c r="BP22" s="95"/>
      <c r="BQ22" s="95"/>
      <c r="BR22" s="95"/>
      <c r="BS22" s="95"/>
      <c r="BT22" s="95"/>
      <c r="BU22" s="95"/>
      <c r="BV22" s="95"/>
      <c r="BW22" s="95"/>
      <c r="BX22" s="95"/>
      <c r="BY22" s="95"/>
      <c r="BZ22" s="159">
        <v>28</v>
      </c>
      <c r="CA22" s="158">
        <v>131</v>
      </c>
      <c r="CB22" s="158">
        <v>40</v>
      </c>
      <c r="CC22" s="95"/>
      <c r="CD22" s="95"/>
      <c r="CE22" s="95"/>
      <c r="CF22" s="95"/>
      <c r="CG22" s="95"/>
      <c r="CH22" s="95"/>
      <c r="CI22" s="95"/>
      <c r="CJ22" s="95"/>
      <c r="CK22" s="95"/>
      <c r="CL22" s="95"/>
      <c r="CM22" s="95"/>
      <c r="CN22" s="95"/>
      <c r="CO22" s="95"/>
      <c r="CP22" s="95"/>
      <c r="CQ22" s="95"/>
      <c r="CR22" s="95"/>
      <c r="CS22" s="95"/>
      <c r="CT22" s="95"/>
      <c r="CU22" s="95"/>
      <c r="CV22" s="106">
        <f>+CZ11+CV3+CT14</f>
        <v>647</v>
      </c>
      <c r="CW22" s="162">
        <v>80</v>
      </c>
      <c r="CX22" s="158">
        <v>302</v>
      </c>
      <c r="CY22" s="165">
        <v>121</v>
      </c>
      <c r="CZ22" s="95"/>
      <c r="DA22" s="95"/>
      <c r="DB22" s="95"/>
      <c r="DC22" s="95"/>
      <c r="DD22" s="95"/>
      <c r="DE22" s="95"/>
      <c r="DF22" s="95"/>
      <c r="DG22" s="95"/>
      <c r="DH22" s="95"/>
      <c r="DI22" s="95"/>
      <c r="DJ22" s="95"/>
      <c r="DK22" s="95"/>
      <c r="DL22" s="95"/>
      <c r="DM22" s="95"/>
      <c r="DN22" s="95"/>
      <c r="DO22" s="95"/>
      <c r="DP22" s="95"/>
      <c r="DQ22" s="95"/>
      <c r="DR22" s="95"/>
      <c r="DS22" s="95"/>
      <c r="DT22" s="95"/>
      <c r="DU22" s="95"/>
      <c r="DV22" s="95"/>
      <c r="DW22" s="95"/>
      <c r="DX22" s="95"/>
      <c r="DY22" s="95"/>
      <c r="DZ22" s="95"/>
      <c r="EA22" s="95"/>
      <c r="EB22" s="95"/>
    </row>
    <row r="23" spans="1:132" ht="18" x14ac:dyDescent="0.35">
      <c r="A23" s="8"/>
      <c r="B23" s="23"/>
      <c r="C23" s="10"/>
      <c r="D23" s="10"/>
      <c r="E23" s="8"/>
      <c r="F23" s="10"/>
      <c r="G23" s="10"/>
      <c r="H23" s="8"/>
      <c r="I23" s="10"/>
      <c r="J23" s="10"/>
      <c r="K23" s="10"/>
      <c r="L23" s="10"/>
      <c r="M23" s="10"/>
      <c r="N23" s="10"/>
      <c r="O23" s="8"/>
      <c r="P23" s="108"/>
      <c r="Q23" s="108"/>
      <c r="R23" s="95"/>
      <c r="S23" s="108"/>
      <c r="T23" s="157">
        <v>365</v>
      </c>
      <c r="U23" s="95"/>
      <c r="V23" s="95"/>
      <c r="W23" s="108"/>
      <c r="X23" s="108"/>
      <c r="Y23" s="121"/>
      <c r="Z23" s="108"/>
      <c r="AA23" s="108"/>
      <c r="AB23" s="108"/>
      <c r="AC23" s="95"/>
      <c r="AD23" s="108"/>
      <c r="AE23" s="108"/>
      <c r="AF23" s="108"/>
      <c r="AG23" s="108"/>
      <c r="AH23" s="95"/>
      <c r="AI23" s="108"/>
      <c r="AJ23" s="108"/>
      <c r="AK23" s="108"/>
      <c r="AL23" s="108"/>
      <c r="AM23" s="108"/>
      <c r="AN23" s="108"/>
      <c r="AO23" s="108"/>
      <c r="AP23" s="95"/>
      <c r="AQ23" s="108"/>
      <c r="AR23" s="95"/>
      <c r="AS23" s="124"/>
      <c r="AT23" s="95"/>
      <c r="AU23" s="108"/>
      <c r="AV23" s="121"/>
      <c r="AW23" s="113"/>
      <c r="AX23" s="95"/>
      <c r="AY23" s="95"/>
      <c r="AZ23" s="106"/>
      <c r="BA23" s="95"/>
      <c r="BB23" s="95"/>
      <c r="BC23" s="211" t="s">
        <v>23</v>
      </c>
      <c r="BD23" s="212"/>
      <c r="BE23" s="211"/>
      <c r="BF23" s="212"/>
      <c r="BG23" s="95"/>
      <c r="BH23" s="104"/>
      <c r="BI23" s="104">
        <f>+BI20+BI21+BI22</f>
        <v>1566</v>
      </c>
      <c r="BJ23" s="104"/>
      <c r="BK23" s="107"/>
      <c r="BL23" s="95"/>
      <c r="BM23" s="145">
        <f>BI21/1.5</f>
        <v>387.33333333333331</v>
      </c>
      <c r="BN23" s="146" t="s">
        <v>44</v>
      </c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106"/>
      <c r="CW23" s="106"/>
      <c r="CX23" s="95"/>
      <c r="CY23" s="95"/>
      <c r="CZ23" s="95"/>
      <c r="DA23" s="95"/>
      <c r="DB23" s="95"/>
      <c r="DC23" s="95"/>
      <c r="DD23" s="95"/>
      <c r="DE23" s="95"/>
      <c r="DF23" s="95"/>
      <c r="DG23" s="95"/>
      <c r="DH23" s="95"/>
      <c r="DI23" s="95"/>
      <c r="DJ23" s="95"/>
      <c r="DK23" s="95"/>
      <c r="DL23" s="95"/>
      <c r="DM23" s="95"/>
      <c r="DN23" s="95"/>
      <c r="DO23" s="95"/>
      <c r="DP23" s="95"/>
      <c r="DQ23" s="95"/>
      <c r="DR23" s="95"/>
      <c r="DS23" s="95"/>
      <c r="DT23" s="95"/>
      <c r="DU23" s="95"/>
      <c r="DV23" s="95"/>
      <c r="DW23" s="95"/>
      <c r="DX23" s="95"/>
      <c r="DY23" s="95"/>
      <c r="DZ23" s="95"/>
      <c r="EA23" s="95"/>
      <c r="EB23" s="95"/>
    </row>
    <row r="24" spans="1:132" ht="18.600000000000001" thickBot="1" x14ac:dyDescent="0.4">
      <c r="A24" s="8"/>
      <c r="B24" s="21"/>
      <c r="C24" s="8"/>
      <c r="D24" s="8"/>
      <c r="E24" s="9"/>
      <c r="F24" s="8"/>
      <c r="G24" s="8"/>
      <c r="H24" s="9"/>
      <c r="I24" s="8"/>
      <c r="J24" s="8"/>
      <c r="K24" s="8"/>
      <c r="L24" s="8"/>
      <c r="M24" s="8"/>
      <c r="N24" s="8"/>
      <c r="O24" s="9"/>
      <c r="P24" s="95"/>
      <c r="Q24" s="95"/>
      <c r="R24" s="106"/>
      <c r="S24" s="95"/>
      <c r="T24" s="95"/>
      <c r="U24" s="106"/>
      <c r="V24" s="106"/>
      <c r="W24" s="95"/>
      <c r="X24" s="95"/>
      <c r="Y24" s="104"/>
      <c r="Z24" s="95"/>
      <c r="AA24" s="95"/>
      <c r="AB24" s="95"/>
      <c r="AC24" s="106"/>
      <c r="AD24" s="95"/>
      <c r="AE24" s="95"/>
      <c r="AF24" s="95"/>
      <c r="AG24" s="95"/>
      <c r="AH24" s="106"/>
      <c r="AI24" s="95"/>
      <c r="AJ24" s="95"/>
      <c r="AK24" s="95"/>
      <c r="AL24" s="95"/>
      <c r="AM24" s="104"/>
      <c r="AN24" s="95"/>
      <c r="AO24" s="95"/>
      <c r="AP24" s="106"/>
      <c r="AQ24" s="95"/>
      <c r="AR24" s="106"/>
      <c r="AS24" s="95"/>
      <c r="AT24" s="106"/>
      <c r="AU24" s="95"/>
      <c r="AV24" s="104"/>
      <c r="AW24" s="106"/>
      <c r="AX24" s="95"/>
      <c r="AY24" s="95"/>
      <c r="AZ24" s="106"/>
      <c r="BA24" s="95"/>
      <c r="BB24" s="95"/>
      <c r="BC24" s="211"/>
      <c r="BD24" s="212"/>
      <c r="BE24" s="211"/>
      <c r="BF24" s="212"/>
      <c r="BG24" s="95"/>
      <c r="BH24" s="104"/>
      <c r="BI24" s="95"/>
      <c r="BJ24" s="104"/>
      <c r="BK24" s="106"/>
      <c r="BL24" s="95"/>
      <c r="BM24" s="147">
        <f>+BI21-BM23</f>
        <v>193.66666666666669</v>
      </c>
      <c r="BN24" s="148" t="s">
        <v>43</v>
      </c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  <c r="CI24" s="95"/>
      <c r="CJ24" s="95"/>
      <c r="CK24" s="95"/>
      <c r="CL24" s="95"/>
      <c r="CM24" s="95"/>
      <c r="CN24" s="95"/>
      <c r="CO24" s="95"/>
      <c r="CP24" s="95"/>
      <c r="CQ24" s="95"/>
      <c r="CR24" s="95"/>
      <c r="CS24" s="95"/>
      <c r="CT24" s="95"/>
      <c r="CU24" s="95"/>
      <c r="CV24" s="149">
        <f>+CV25+CW25+CU25</f>
        <v>648</v>
      </c>
      <c r="CW24" s="106"/>
      <c r="CX24" s="95"/>
      <c r="CY24" s="95"/>
      <c r="CZ24" s="95"/>
      <c r="DA24" s="95"/>
      <c r="DB24" s="95"/>
      <c r="DC24" s="95"/>
      <c r="DD24" s="95"/>
      <c r="DE24" s="95"/>
      <c r="DF24" s="95"/>
      <c r="DG24" s="95"/>
      <c r="DH24" s="95"/>
      <c r="DI24" s="95"/>
      <c r="DJ24" s="95"/>
      <c r="DK24" s="95"/>
      <c r="DL24" s="95"/>
      <c r="DM24" s="95"/>
      <c r="DN24" s="95"/>
      <c r="DO24" s="95"/>
      <c r="DP24" s="95"/>
      <c r="DQ24" s="95"/>
      <c r="DR24" s="95"/>
      <c r="DS24" s="95"/>
      <c r="DT24" s="95"/>
      <c r="DU24" s="95"/>
      <c r="DV24" s="95"/>
      <c r="DW24" s="95"/>
      <c r="DX24" s="95"/>
      <c r="DY24" s="95"/>
      <c r="DZ24" s="95"/>
      <c r="EA24" s="95"/>
      <c r="EB24" s="95"/>
    </row>
    <row r="25" spans="1:132" ht="18" x14ac:dyDescent="0.35">
      <c r="A25" s="8"/>
      <c r="B25" s="21"/>
      <c r="C25" s="8"/>
      <c r="D25" s="8"/>
      <c r="E25" s="9"/>
      <c r="F25" s="8"/>
      <c r="G25" s="8"/>
      <c r="H25" s="9"/>
      <c r="I25" s="8"/>
      <c r="J25" s="8"/>
      <c r="K25" s="8"/>
      <c r="L25" s="8"/>
      <c r="M25" s="8"/>
      <c r="N25" s="8"/>
      <c r="O25" s="9"/>
      <c r="P25" s="95"/>
      <c r="Q25" s="95"/>
      <c r="R25" s="106"/>
      <c r="S25" s="95"/>
      <c r="T25" s="95"/>
      <c r="U25" s="106"/>
      <c r="V25" s="106"/>
      <c r="W25" s="95"/>
      <c r="X25" s="95"/>
      <c r="Y25" s="95"/>
      <c r="Z25" s="95"/>
      <c r="AA25" s="95"/>
      <c r="AB25" s="95"/>
      <c r="AC25" s="106"/>
      <c r="AD25" s="95"/>
      <c r="AE25" s="95"/>
      <c r="AF25" s="95"/>
      <c r="AG25" s="95"/>
      <c r="AH25" s="106"/>
      <c r="AI25" s="95"/>
      <c r="AJ25" s="95"/>
      <c r="AK25" s="95"/>
      <c r="AL25" s="95"/>
      <c r="AM25" s="95"/>
      <c r="AN25" s="95"/>
      <c r="AO25" s="95"/>
      <c r="AP25" s="106"/>
      <c r="AQ25" s="95"/>
      <c r="AR25" s="106"/>
      <c r="AS25" s="95"/>
      <c r="AT25" s="106"/>
      <c r="AU25" s="95"/>
      <c r="AV25" s="95"/>
      <c r="AW25" s="106"/>
      <c r="AX25" s="95"/>
      <c r="AY25" s="95"/>
      <c r="AZ25" s="106"/>
      <c r="BA25" s="95"/>
      <c r="BB25" s="95"/>
      <c r="BC25" s="211"/>
      <c r="BD25" s="212"/>
      <c r="BE25" s="211"/>
      <c r="BF25" s="212"/>
      <c r="BG25" s="95"/>
      <c r="BH25" s="104"/>
      <c r="BI25" s="95"/>
      <c r="BJ25" s="95"/>
      <c r="BK25" s="106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159">
        <v>122</v>
      </c>
      <c r="CV25" s="162">
        <v>414</v>
      </c>
      <c r="CW25" s="162">
        <v>112</v>
      </c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</row>
    <row r="26" spans="1:132" ht="18" x14ac:dyDescent="0.35">
      <c r="A26" s="8"/>
      <c r="B26" s="21"/>
      <c r="C26" s="8"/>
      <c r="D26" s="8"/>
      <c r="E26" s="9"/>
      <c r="F26" s="8"/>
      <c r="G26" s="8"/>
      <c r="H26" s="9"/>
      <c r="I26" s="8"/>
      <c r="J26" s="8"/>
      <c r="K26" s="8"/>
      <c r="L26" s="8"/>
      <c r="M26" s="8"/>
      <c r="N26" s="8"/>
      <c r="O26" s="9"/>
      <c r="P26" s="95"/>
      <c r="Q26" s="95"/>
      <c r="R26" s="106"/>
      <c r="S26" s="95"/>
      <c r="T26" s="95"/>
      <c r="U26" s="106"/>
      <c r="V26" s="106"/>
      <c r="W26" s="95"/>
      <c r="X26" s="95"/>
      <c r="Y26" s="95"/>
      <c r="Z26" s="95"/>
      <c r="AA26" s="95"/>
      <c r="AB26" s="95"/>
      <c r="AC26" s="106"/>
      <c r="AD26" s="95"/>
      <c r="AE26" s="95"/>
      <c r="AF26" s="95"/>
      <c r="AG26" s="95"/>
      <c r="AH26" s="107"/>
      <c r="AI26" s="95"/>
      <c r="AJ26" s="95"/>
      <c r="AK26" s="95"/>
      <c r="AL26" s="95"/>
      <c r="AM26" s="95"/>
      <c r="AN26" s="95"/>
      <c r="AO26" s="95"/>
      <c r="AP26" s="106"/>
      <c r="AQ26" s="95"/>
      <c r="AR26" s="106"/>
      <c r="AS26" s="95"/>
      <c r="AT26" s="106"/>
      <c r="AU26" s="95"/>
      <c r="AV26" s="95"/>
      <c r="AW26" s="106"/>
      <c r="AX26" s="95"/>
      <c r="AY26" s="95"/>
      <c r="AZ26" s="106"/>
      <c r="BA26" s="95"/>
      <c r="BB26" s="95"/>
      <c r="BC26" s="95"/>
      <c r="BD26" s="95"/>
      <c r="BE26" s="160">
        <v>178</v>
      </c>
      <c r="BF26" s="95"/>
      <c r="BG26" s="95"/>
      <c r="BH26" s="95"/>
      <c r="BI26" s="95"/>
      <c r="BJ26" s="95"/>
      <c r="BK26" s="106"/>
      <c r="BL26" s="95"/>
      <c r="BM26" s="95"/>
      <c r="BN26" s="95"/>
      <c r="BO26" s="95"/>
      <c r="BP26" s="95"/>
      <c r="BQ26" s="95"/>
      <c r="BR26" s="95"/>
      <c r="BS26" s="95"/>
      <c r="BT26" s="95"/>
      <c r="BU26" s="95"/>
      <c r="BV26" s="95"/>
      <c r="BW26" s="95"/>
      <c r="BX26" s="95"/>
      <c r="BY26" s="95"/>
      <c r="BZ26" s="95"/>
      <c r="CA26" s="95"/>
      <c r="CB26" s="95"/>
      <c r="CC26" s="95"/>
      <c r="CD26" s="95"/>
      <c r="CE26" s="95"/>
      <c r="CF26" s="95"/>
      <c r="CG26" s="95"/>
      <c r="CH26" s="95"/>
      <c r="CI26" s="95"/>
      <c r="CJ26" s="95"/>
      <c r="CK26" s="95"/>
      <c r="CL26" s="95"/>
      <c r="CM26" s="95"/>
      <c r="CN26" s="95"/>
      <c r="CO26" s="95"/>
      <c r="CP26" s="95"/>
      <c r="CQ26" s="95"/>
      <c r="CR26" s="95"/>
      <c r="CS26" s="95"/>
      <c r="CT26" s="95"/>
      <c r="CU26" s="95"/>
      <c r="CV26" s="106"/>
      <c r="CW26" s="106"/>
      <c r="CX26" s="95"/>
      <c r="CY26" s="95"/>
      <c r="CZ26" s="95"/>
      <c r="DA26" s="95"/>
      <c r="DB26" s="95"/>
      <c r="DC26" s="95"/>
      <c r="DD26" s="95"/>
      <c r="DE26" s="95"/>
      <c r="DF26" s="95"/>
      <c r="DG26" s="95"/>
      <c r="DH26" s="95"/>
      <c r="DI26" s="95"/>
      <c r="DJ26" s="95"/>
      <c r="DK26" s="95"/>
      <c r="DL26" s="95"/>
      <c r="DM26" s="95"/>
      <c r="DN26" s="95"/>
      <c r="DO26" s="95"/>
      <c r="DP26" s="95"/>
      <c r="DQ26" s="95"/>
      <c r="DR26" s="95"/>
      <c r="DS26" s="95"/>
      <c r="DT26" s="95"/>
      <c r="DU26" s="95"/>
      <c r="DV26" s="95"/>
      <c r="DW26" s="95"/>
      <c r="DX26" s="95"/>
      <c r="DY26" s="95"/>
      <c r="DZ26" s="95"/>
      <c r="EA26" s="95"/>
      <c r="EB26" s="95"/>
    </row>
    <row r="27" spans="1:132" ht="18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>
        <f>+AH31+AG31+AI31</f>
        <v>228</v>
      </c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160">
        <v>429</v>
      </c>
      <c r="BG27" s="160">
        <v>534</v>
      </c>
      <c r="BH27" s="95"/>
      <c r="BI27" s="95"/>
      <c r="BJ27" s="95"/>
      <c r="BK27" s="106"/>
      <c r="BL27" s="95"/>
      <c r="BM27" s="95"/>
      <c r="BN27" s="95"/>
      <c r="BO27" s="95"/>
      <c r="BP27" s="95"/>
      <c r="BQ27" s="95"/>
      <c r="BR27" s="95"/>
      <c r="BS27" s="95"/>
      <c r="BT27" s="95"/>
      <c r="BU27" s="95"/>
      <c r="BV27" s="95"/>
      <c r="BW27" s="95"/>
      <c r="BX27" s="95"/>
      <c r="BY27" s="95"/>
      <c r="BZ27" s="95"/>
      <c r="CA27" s="95"/>
      <c r="CB27" s="95"/>
      <c r="CC27" s="95"/>
      <c r="CD27" s="95"/>
      <c r="CE27" s="95"/>
      <c r="CF27" s="95"/>
      <c r="CG27" s="95"/>
      <c r="CH27" s="95"/>
      <c r="CI27" s="95"/>
      <c r="CJ27" s="95"/>
      <c r="CK27" s="95"/>
      <c r="CL27" s="95"/>
      <c r="CM27" s="95"/>
      <c r="CN27" s="95"/>
      <c r="CO27" s="95"/>
      <c r="CP27" s="95"/>
      <c r="CQ27" s="95"/>
      <c r="CR27" s="95"/>
      <c r="CS27" s="95"/>
      <c r="CT27" s="95"/>
      <c r="CU27" s="95"/>
      <c r="CV27" s="106"/>
      <c r="CW27" s="106"/>
      <c r="CX27" s="95"/>
      <c r="CY27" s="95"/>
      <c r="CZ27" s="95"/>
      <c r="DA27" s="95"/>
      <c r="DB27" s="95"/>
      <c r="DC27" s="95"/>
      <c r="DD27" s="95"/>
      <c r="DE27" s="95"/>
      <c r="DF27" s="95"/>
      <c r="DG27" s="95"/>
      <c r="DH27" s="95"/>
      <c r="DI27" s="95"/>
      <c r="DJ27" s="95"/>
      <c r="DK27" s="95"/>
      <c r="DL27" s="95"/>
      <c r="DM27" s="95"/>
      <c r="DN27" s="95"/>
      <c r="DO27" s="95"/>
      <c r="DP27" s="95"/>
      <c r="DQ27" s="95"/>
      <c r="DR27" s="95"/>
      <c r="DS27" s="95"/>
      <c r="DT27" s="95"/>
      <c r="DU27" s="95"/>
      <c r="DV27" s="95"/>
      <c r="DW27" s="95"/>
      <c r="DX27" s="95"/>
      <c r="DY27" s="95"/>
      <c r="DZ27" s="95"/>
      <c r="EA27" s="95"/>
      <c r="EB27" s="95"/>
    </row>
    <row r="28" spans="1:132" ht="18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159">
        <v>352</v>
      </c>
      <c r="BK28" s="172">
        <v>382</v>
      </c>
      <c r="BL28" s="165">
        <v>45</v>
      </c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5"/>
      <c r="CC28" s="95"/>
      <c r="CD28" s="95"/>
      <c r="CE28" s="95"/>
      <c r="CF28" s="95"/>
      <c r="CG28" s="95"/>
      <c r="CH28" s="95"/>
      <c r="CI28" s="95"/>
      <c r="CJ28" s="95"/>
      <c r="CK28" s="95"/>
      <c r="CL28" s="95"/>
      <c r="CM28" s="95"/>
      <c r="CN28" s="95"/>
      <c r="CO28" s="95"/>
      <c r="CP28" s="95"/>
      <c r="CQ28" s="95"/>
      <c r="CR28" s="95"/>
      <c r="CS28" s="95"/>
      <c r="CT28" s="95"/>
      <c r="CU28" s="95"/>
      <c r="CV28" s="106"/>
      <c r="CW28" s="106"/>
      <c r="CX28" s="95"/>
      <c r="CY28" s="95"/>
      <c r="CZ28" s="95"/>
      <c r="DA28" s="95"/>
      <c r="DB28" s="95"/>
      <c r="DC28" s="95"/>
      <c r="DD28" s="95"/>
      <c r="DE28" s="95"/>
      <c r="DF28" s="95"/>
      <c r="DG28" s="95"/>
      <c r="DH28" s="95"/>
      <c r="DI28" s="95"/>
      <c r="DJ28" s="95"/>
      <c r="DK28" s="95"/>
      <c r="DL28" s="95"/>
      <c r="DM28" s="95"/>
      <c r="DN28" s="95"/>
      <c r="DO28" s="95"/>
      <c r="DP28" s="95"/>
      <c r="DQ28" s="95"/>
      <c r="DR28" s="95"/>
      <c r="DS28" s="95"/>
      <c r="DT28" s="95"/>
      <c r="DU28" s="95"/>
      <c r="DV28" s="95"/>
      <c r="DW28" s="95"/>
      <c r="DX28" s="95"/>
      <c r="DY28" s="95"/>
      <c r="DZ28" s="95"/>
      <c r="EA28" s="95"/>
      <c r="EB28" s="95"/>
    </row>
    <row r="29" spans="1:132" ht="18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5"/>
      <c r="Q29" s="95"/>
      <c r="R29" s="95"/>
      <c r="S29" s="95"/>
      <c r="T29" s="95"/>
      <c r="U29" s="158">
        <v>534</v>
      </c>
      <c r="V29" s="158">
        <v>1271</v>
      </c>
      <c r="W29" s="158">
        <v>58</v>
      </c>
      <c r="X29" s="109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104"/>
      <c r="BG29" s="95"/>
      <c r="BH29" s="95"/>
      <c r="BI29" s="95"/>
      <c r="BJ29" s="95"/>
      <c r="BK29" s="106"/>
      <c r="BL29" s="95"/>
      <c r="BM29" s="95"/>
      <c r="BN29" s="95"/>
      <c r="BO29" s="95"/>
      <c r="BP29" s="95"/>
      <c r="BQ29" s="95"/>
      <c r="BR29" s="95"/>
      <c r="BS29" s="95"/>
      <c r="BT29" s="95"/>
      <c r="BU29" s="95"/>
      <c r="BV29" s="95"/>
      <c r="BW29" s="95"/>
      <c r="BX29" s="95"/>
      <c r="BY29" s="95"/>
      <c r="BZ29" s="95"/>
      <c r="CA29" s="95"/>
      <c r="CB29" s="95"/>
      <c r="CC29" s="95"/>
      <c r="CD29" s="95"/>
      <c r="CE29" s="95"/>
      <c r="CF29" s="95"/>
      <c r="CG29" s="95"/>
      <c r="CH29" s="95"/>
      <c r="CI29" s="95"/>
      <c r="CJ29" s="95"/>
      <c r="CK29" s="95"/>
      <c r="CL29" s="95"/>
      <c r="CM29" s="95"/>
      <c r="CN29" s="95"/>
      <c r="CO29" s="95"/>
      <c r="CP29" s="95"/>
      <c r="CQ29" s="95"/>
      <c r="CR29" s="95"/>
      <c r="CS29" s="95"/>
      <c r="CT29" s="95"/>
      <c r="CU29" s="95"/>
      <c r="CV29" s="150">
        <v>0.33079999999999998</v>
      </c>
      <c r="CW29" s="106"/>
      <c r="CX29" s="95"/>
      <c r="CY29" s="95"/>
      <c r="CZ29" s="95"/>
      <c r="DA29" s="95"/>
      <c r="DB29" s="95"/>
      <c r="DC29" s="95"/>
      <c r="DD29" s="95"/>
      <c r="DE29" s="95"/>
      <c r="DF29" s="95"/>
      <c r="DG29" s="95"/>
      <c r="DH29" s="95"/>
      <c r="DI29" s="95"/>
      <c r="DJ29" s="95"/>
      <c r="DK29" s="95"/>
      <c r="DL29" s="95"/>
      <c r="DM29" s="95"/>
      <c r="DN29" s="95"/>
      <c r="DO29" s="95"/>
      <c r="DP29" s="95"/>
      <c r="DQ29" s="95"/>
      <c r="DR29" s="95"/>
      <c r="DS29" s="95"/>
      <c r="DT29" s="95"/>
      <c r="DU29" s="95"/>
      <c r="DV29" s="95"/>
      <c r="DW29" s="95"/>
      <c r="DX29" s="95"/>
      <c r="DY29" s="95"/>
      <c r="DZ29" s="95"/>
      <c r="EA29" s="95"/>
      <c r="EB29" s="95"/>
    </row>
    <row r="30" spans="1:132" ht="18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160">
        <f>0.8*AV20</f>
        <v>1129.6000000000001</v>
      </c>
      <c r="BD30" s="177">
        <v>603</v>
      </c>
      <c r="BE30" s="95"/>
      <c r="BF30" s="95"/>
      <c r="BG30" s="95"/>
      <c r="BH30" s="95"/>
      <c r="BI30" s="95"/>
      <c r="BJ30" s="95"/>
      <c r="BK30" s="132">
        <f>+BK28+BJ28+BL28</f>
        <v>779</v>
      </c>
      <c r="BL30" s="95"/>
      <c r="BM30" s="95"/>
      <c r="BN30" s="95"/>
      <c r="BO30" s="95"/>
      <c r="BP30" s="95"/>
      <c r="BQ30" s="95"/>
      <c r="BR30" s="95"/>
      <c r="BS30" s="95"/>
      <c r="BT30" s="95"/>
      <c r="BU30" s="95"/>
      <c r="BV30" s="95"/>
      <c r="BW30" s="95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108"/>
      <c r="CP30" s="108"/>
      <c r="CQ30" s="108"/>
      <c r="CR30" s="108"/>
      <c r="CS30" s="108"/>
      <c r="CT30" s="108"/>
      <c r="CU30" s="108"/>
      <c r="CV30" s="151">
        <v>648</v>
      </c>
      <c r="CW30" s="106"/>
      <c r="CX30" s="108"/>
      <c r="CY30" s="108"/>
      <c r="CZ30" s="165">
        <v>30</v>
      </c>
      <c r="DA30" s="95"/>
      <c r="DB30" s="95"/>
      <c r="DC30" s="95"/>
      <c r="DD30" s="95"/>
      <c r="DE30" s="95"/>
      <c r="DF30" s="95"/>
      <c r="DG30" s="95"/>
      <c r="DH30" s="95"/>
      <c r="DI30" s="95"/>
      <c r="DJ30" s="95"/>
      <c r="DK30" s="95"/>
      <c r="DL30" s="95"/>
      <c r="DM30" s="95"/>
      <c r="DN30" s="95"/>
      <c r="DO30" s="95"/>
      <c r="DP30" s="95"/>
      <c r="DQ30" s="95"/>
      <c r="DR30" s="95"/>
      <c r="DS30" s="95"/>
      <c r="DT30" s="95"/>
      <c r="DU30" s="95"/>
      <c r="DV30" s="95"/>
      <c r="DW30" s="95"/>
      <c r="DX30" s="95"/>
      <c r="DY30" s="95"/>
      <c r="DZ30" s="95"/>
      <c r="EA30" s="95"/>
      <c r="EB30" s="95"/>
    </row>
    <row r="31" spans="1:132" ht="18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159">
        <v>45</v>
      </c>
      <c r="AH31" s="159">
        <v>127</v>
      </c>
      <c r="AI31" s="159">
        <v>56</v>
      </c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106"/>
      <c r="BL31" s="95"/>
      <c r="BM31" s="95"/>
      <c r="BN31" s="95"/>
      <c r="BO31" s="95"/>
      <c r="BP31" s="95"/>
      <c r="BQ31" s="95"/>
      <c r="BR31" s="95"/>
      <c r="BS31" s="95"/>
      <c r="BT31" s="95"/>
      <c r="BU31" s="95"/>
      <c r="BV31" s="95"/>
      <c r="BW31" s="95"/>
      <c r="BX31" s="95"/>
      <c r="BY31" s="95"/>
      <c r="BZ31" s="95"/>
      <c r="CA31" s="95"/>
      <c r="CB31" s="95"/>
      <c r="CC31" s="95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95"/>
      <c r="CT31" s="95"/>
      <c r="CU31" s="152"/>
      <c r="CV31" s="95"/>
      <c r="CW31" s="95"/>
      <c r="CX31" s="152">
        <v>0.19950000000000001</v>
      </c>
      <c r="CY31" s="95"/>
      <c r="CZ31" s="165">
        <v>53</v>
      </c>
      <c r="DA31" s="115"/>
      <c r="DB31" s="115"/>
      <c r="DC31" s="115"/>
      <c r="DD31" s="95"/>
      <c r="DE31" s="95"/>
      <c r="DF31" s="95"/>
      <c r="DG31" s="95"/>
      <c r="DH31" s="95"/>
      <c r="DI31" s="95"/>
      <c r="DJ31" s="95"/>
      <c r="DK31" s="95"/>
      <c r="DL31" s="95"/>
      <c r="DM31" s="95"/>
      <c r="DN31" s="95"/>
      <c r="DO31" s="95"/>
      <c r="DP31" s="95"/>
      <c r="DQ31" s="95"/>
      <c r="DR31" s="95"/>
      <c r="DS31" s="95"/>
      <c r="DT31" s="95"/>
      <c r="DU31" s="95"/>
      <c r="DV31" s="95"/>
      <c r="DW31" s="95"/>
      <c r="DX31" s="95"/>
      <c r="DY31" s="95"/>
      <c r="DZ31" s="95"/>
      <c r="EA31" s="95"/>
      <c r="EB31" s="95"/>
    </row>
    <row r="32" spans="1:132" ht="18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104"/>
      <c r="BH32" s="95"/>
      <c r="BI32" s="95"/>
      <c r="BJ32" s="95"/>
      <c r="BK32" s="106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108"/>
      <c r="CP32" s="108"/>
      <c r="CQ32" s="108"/>
      <c r="CR32" s="108"/>
      <c r="CS32" s="168">
        <v>68</v>
      </c>
      <c r="CT32" s="108"/>
      <c r="CU32" s="108"/>
      <c r="CV32" s="95"/>
      <c r="CW32" s="95"/>
      <c r="CX32" s="108">
        <f>+CZ32+CZ31+CZ33</f>
        <v>496</v>
      </c>
      <c r="CY32" s="108"/>
      <c r="CZ32" s="165">
        <v>346</v>
      </c>
      <c r="DA32" s="115"/>
      <c r="DB32" s="115"/>
      <c r="DC32" s="115"/>
      <c r="DD32" s="95"/>
      <c r="DE32" s="95"/>
      <c r="DF32" s="95"/>
      <c r="DG32" s="95"/>
      <c r="DH32" s="95"/>
      <c r="DI32" s="95"/>
      <c r="DJ32" s="95"/>
      <c r="DK32" s="95"/>
      <c r="DL32" s="95"/>
      <c r="DM32" s="95"/>
      <c r="DN32" s="95"/>
      <c r="DO32" s="95"/>
      <c r="DP32" s="95"/>
      <c r="DQ32" s="95"/>
      <c r="DR32" s="95"/>
      <c r="DS32" s="95"/>
      <c r="DT32" s="95"/>
      <c r="DU32" s="95"/>
      <c r="DV32" s="95"/>
      <c r="DW32" s="95"/>
      <c r="DX32" s="95"/>
      <c r="DY32" s="95"/>
      <c r="DZ32" s="95"/>
      <c r="EA32" s="95"/>
      <c r="EB32" s="95"/>
    </row>
    <row r="33" spans="1:132" ht="18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104"/>
      <c r="BH33" s="95"/>
      <c r="BI33" s="95"/>
      <c r="BJ33" s="95"/>
      <c r="BK33" s="106"/>
      <c r="BL33" s="95"/>
      <c r="BM33" s="95"/>
      <c r="BN33" s="95"/>
      <c r="BO33" s="95"/>
      <c r="BP33" s="95"/>
      <c r="BQ33" s="95"/>
      <c r="BR33" s="95"/>
      <c r="BS33" s="95"/>
      <c r="BT33" s="95"/>
      <c r="BU33" s="95"/>
      <c r="BV33" s="95"/>
      <c r="BW33" s="95"/>
      <c r="BX33" s="95"/>
      <c r="BY33" s="95"/>
      <c r="BZ33" s="95"/>
      <c r="CA33" s="95"/>
      <c r="CB33" s="95"/>
      <c r="CC33" s="95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159">
        <v>441</v>
      </c>
      <c r="CT33" s="95"/>
      <c r="CU33" s="152">
        <v>0.24460000000000001</v>
      </c>
      <c r="CV33" s="95"/>
      <c r="CW33" s="95"/>
      <c r="CX33" s="95"/>
      <c r="CY33" s="95"/>
      <c r="CZ33" s="165">
        <v>97</v>
      </c>
      <c r="DA33" s="115"/>
      <c r="DB33" s="115"/>
      <c r="DC33" s="115"/>
      <c r="DD33" s="95"/>
      <c r="DE33" s="95"/>
      <c r="DF33" s="95"/>
      <c r="DG33" s="95"/>
      <c r="DH33" s="95"/>
      <c r="DI33" s="95"/>
      <c r="DJ33" s="95"/>
      <c r="DK33" s="95"/>
      <c r="DL33" s="95"/>
      <c r="DM33" s="95"/>
      <c r="DN33" s="95"/>
      <c r="DO33" s="95"/>
      <c r="DP33" s="95"/>
      <c r="DQ33" s="95"/>
      <c r="DR33" s="95"/>
      <c r="DS33" s="95"/>
      <c r="DT33" s="95"/>
      <c r="DU33" s="95"/>
      <c r="DV33" s="95"/>
      <c r="DW33" s="95"/>
      <c r="DX33" s="95"/>
      <c r="DY33" s="95"/>
      <c r="DZ33" s="95"/>
      <c r="EA33" s="95"/>
      <c r="EB33" s="95"/>
    </row>
    <row r="34" spans="1:132" ht="18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>
        <v>99</v>
      </c>
      <c r="BD34" s="95">
        <v>603</v>
      </c>
      <c r="BE34" s="95"/>
      <c r="BF34" s="95"/>
      <c r="BG34" s="95"/>
      <c r="BH34" s="95"/>
      <c r="BI34" s="95"/>
      <c r="BJ34" s="95"/>
      <c r="BK34" s="106"/>
      <c r="BL34" s="95"/>
      <c r="BM34" s="95"/>
      <c r="BN34" s="95"/>
      <c r="BO34" s="95"/>
      <c r="BP34" s="95"/>
      <c r="BQ34" s="95"/>
      <c r="BR34" s="95"/>
      <c r="BS34" s="95"/>
      <c r="BT34" s="95"/>
      <c r="BU34" s="95"/>
      <c r="BV34" s="95"/>
      <c r="BW34" s="95"/>
      <c r="BX34" s="95"/>
      <c r="BY34" s="95"/>
      <c r="BZ34" s="95"/>
      <c r="CA34" s="95"/>
      <c r="CB34" s="95"/>
      <c r="CC34" s="95"/>
      <c r="CD34" s="95"/>
      <c r="CE34" s="95"/>
      <c r="CF34" s="95"/>
      <c r="CG34" s="95"/>
      <c r="CH34" s="95"/>
      <c r="CI34" s="95"/>
      <c r="CJ34" s="95"/>
      <c r="CK34" s="95"/>
      <c r="CL34" s="95"/>
      <c r="CM34" s="95"/>
      <c r="CN34" s="95"/>
      <c r="CO34" s="108"/>
      <c r="CP34" s="108"/>
      <c r="CQ34" s="108"/>
      <c r="CR34" s="108"/>
      <c r="CS34" s="168">
        <v>84</v>
      </c>
      <c r="CT34" s="108"/>
      <c r="CU34" s="108">
        <f>+CS34+CS33+CS32</f>
        <v>593</v>
      </c>
      <c r="CV34" s="95"/>
      <c r="CW34" s="95"/>
      <c r="CX34" s="108"/>
      <c r="CY34" s="108"/>
      <c r="CZ34" s="95"/>
      <c r="DA34" s="95"/>
      <c r="DB34" s="95"/>
      <c r="DC34" s="95"/>
      <c r="DD34" s="95"/>
      <c r="DE34" s="95"/>
      <c r="DF34" s="95"/>
      <c r="DG34" s="95"/>
      <c r="DH34" s="95"/>
      <c r="DI34" s="95"/>
      <c r="DJ34" s="95"/>
      <c r="DK34" s="95"/>
      <c r="DL34" s="95"/>
      <c r="DM34" s="95"/>
      <c r="DN34" s="95"/>
      <c r="DO34" s="95"/>
      <c r="DP34" s="95"/>
      <c r="DQ34" s="95"/>
      <c r="DR34" s="95"/>
      <c r="DS34" s="95"/>
      <c r="DT34" s="95"/>
      <c r="DU34" s="95"/>
      <c r="DV34" s="95"/>
      <c r="DW34" s="95"/>
      <c r="DX34" s="95"/>
      <c r="DY34" s="95"/>
      <c r="DZ34" s="95"/>
      <c r="EA34" s="95"/>
      <c r="EB34" s="95"/>
    </row>
    <row r="35" spans="1:132" ht="18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>
        <v>210</v>
      </c>
      <c r="BD35" s="95"/>
      <c r="BE35" s="95"/>
      <c r="BF35" s="95"/>
      <c r="BG35" s="95"/>
      <c r="BH35" s="95"/>
      <c r="BI35" s="95"/>
      <c r="BJ35" s="95"/>
      <c r="BK35" s="106"/>
      <c r="BL35" s="95"/>
      <c r="BM35" s="95"/>
      <c r="BN35" s="95"/>
      <c r="BO35" s="159">
        <v>66</v>
      </c>
      <c r="BP35" s="159">
        <v>396</v>
      </c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106"/>
      <c r="CW35" s="107">
        <v>0.23</v>
      </c>
      <c r="CX35" s="95"/>
      <c r="CY35" s="95"/>
      <c r="CZ35" s="95"/>
      <c r="DA35" s="95"/>
      <c r="DB35" s="95"/>
      <c r="DC35" s="95"/>
      <c r="DD35" s="95"/>
      <c r="DE35" s="95"/>
      <c r="DF35" s="95"/>
      <c r="DG35" s="95"/>
      <c r="DH35" s="95"/>
      <c r="DI35" s="95"/>
      <c r="DJ35" s="95"/>
      <c r="DK35" s="95"/>
      <c r="DL35" s="95"/>
      <c r="DM35" s="95"/>
      <c r="DN35" s="95"/>
      <c r="DO35" s="95"/>
      <c r="DP35" s="95"/>
      <c r="DQ35" s="95"/>
      <c r="DR35" s="95"/>
      <c r="DS35" s="95"/>
      <c r="DT35" s="95"/>
      <c r="DU35" s="95"/>
      <c r="DV35" s="95"/>
      <c r="DW35" s="95"/>
      <c r="DX35" s="95"/>
      <c r="DY35" s="95"/>
      <c r="DZ35" s="95"/>
      <c r="EA35" s="95"/>
      <c r="EB35" s="95"/>
    </row>
    <row r="36" spans="1:132" ht="18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>
        <v>331</v>
      </c>
      <c r="BD36" s="95"/>
      <c r="BE36" s="95"/>
      <c r="BF36" s="95"/>
      <c r="BG36" s="95"/>
      <c r="BH36" s="95"/>
      <c r="BI36" s="95"/>
      <c r="BJ36" s="95"/>
      <c r="BK36" s="106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106"/>
      <c r="CW36" s="162">
        <v>221</v>
      </c>
      <c r="CX36" s="95"/>
      <c r="CY36" s="95"/>
      <c r="CZ36" s="95"/>
      <c r="DA36" s="95"/>
      <c r="DB36" s="95"/>
      <c r="DC36" s="95"/>
      <c r="DD36" s="95"/>
      <c r="DE36" s="95"/>
      <c r="DF36" s="95"/>
      <c r="DG36" s="95"/>
      <c r="DH36" s="95"/>
      <c r="DI36" s="95"/>
      <c r="DJ36" s="95"/>
      <c r="DK36" s="95"/>
      <c r="DL36" s="95"/>
      <c r="DM36" s="95"/>
      <c r="DN36" s="95"/>
      <c r="DO36" s="95"/>
      <c r="DP36" s="95"/>
      <c r="DQ36" s="95"/>
      <c r="DR36" s="95"/>
      <c r="DS36" s="95"/>
      <c r="DT36" s="95"/>
      <c r="DU36" s="95"/>
      <c r="DV36" s="95"/>
      <c r="DW36" s="95"/>
      <c r="DX36" s="95"/>
      <c r="DY36" s="95"/>
      <c r="DZ36" s="95"/>
      <c r="EA36" s="95"/>
      <c r="EB36" s="95"/>
    </row>
    <row r="37" spans="1:132" ht="18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>
        <v>168</v>
      </c>
      <c r="BD37" s="95"/>
      <c r="BE37" s="95"/>
      <c r="BF37" s="95"/>
      <c r="BG37" s="95"/>
      <c r="BH37" s="95"/>
      <c r="BI37" s="95"/>
      <c r="BJ37" s="95"/>
      <c r="BK37" s="106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106"/>
      <c r="CW37" s="162">
        <v>130</v>
      </c>
      <c r="CX37" s="95"/>
      <c r="CY37" s="95"/>
      <c r="CZ37" s="95"/>
      <c r="DA37" s="95"/>
      <c r="DB37" s="95"/>
      <c r="DC37" s="95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5"/>
      <c r="DR37" s="95"/>
      <c r="DS37" s="95"/>
      <c r="DT37" s="95"/>
      <c r="DU37" s="95"/>
      <c r="DV37" s="95"/>
      <c r="DW37" s="95"/>
      <c r="DX37" s="95"/>
      <c r="DY37" s="95"/>
      <c r="DZ37" s="95"/>
      <c r="EA37" s="95"/>
      <c r="EB37" s="95"/>
    </row>
    <row r="38" spans="1:132" ht="18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106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 t="s">
        <v>26</v>
      </c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>
        <v>275</v>
      </c>
      <c r="CV38" s="149">
        <f>+CS34+CV25+CZ33</f>
        <v>595</v>
      </c>
      <c r="CW38" s="106"/>
      <c r="CX38" s="95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DZ38" s="95"/>
      <c r="EA38" s="95"/>
      <c r="EB38" s="95"/>
    </row>
    <row r="39" spans="1:132" ht="18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106"/>
      <c r="BL39" s="95"/>
      <c r="BM39" s="95"/>
      <c r="BN39" s="95"/>
      <c r="BO39" s="95"/>
      <c r="BP39" s="95" t="s">
        <v>42</v>
      </c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>
        <v>139</v>
      </c>
      <c r="CV39" s="106"/>
      <c r="CW39" s="106"/>
      <c r="CX39" s="95"/>
      <c r="CY39" s="95"/>
      <c r="CZ39" s="95"/>
      <c r="DA39" s="95"/>
      <c r="DB39" s="95"/>
      <c r="DC39" s="95"/>
      <c r="DD39" s="95"/>
      <c r="DE39" s="95"/>
      <c r="DF39" s="95"/>
      <c r="DG39" s="95"/>
      <c r="DH39" s="95"/>
      <c r="DI39" s="95"/>
      <c r="DJ39" s="95"/>
      <c r="DK39" s="95"/>
      <c r="DL39" s="95"/>
      <c r="DM39" s="95"/>
      <c r="DN39" s="95"/>
      <c r="DO39" s="95"/>
      <c r="DP39" s="95"/>
      <c r="DQ39" s="95"/>
      <c r="DR39" s="95"/>
      <c r="DS39" s="95"/>
      <c r="DT39" s="95"/>
      <c r="DU39" s="95"/>
      <c r="DV39" s="95"/>
      <c r="DW39" s="95"/>
      <c r="DX39" s="95"/>
      <c r="DY39" s="95"/>
      <c r="DZ39" s="95"/>
      <c r="EA39" s="95"/>
      <c r="EB39" s="95"/>
    </row>
    <row r="40" spans="1:132" ht="18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106"/>
      <c r="BL40" s="95"/>
      <c r="BM40" s="95"/>
      <c r="BN40" s="95"/>
      <c r="BO40" s="95"/>
      <c r="BP40" s="106"/>
      <c r="BQ40" s="95"/>
      <c r="BR40" s="95"/>
      <c r="BS40" s="95"/>
      <c r="BT40" s="95"/>
      <c r="BU40" s="95"/>
      <c r="BV40" s="106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106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>
        <f>+CU38+CU39+CS34+CZ33</f>
        <v>595</v>
      </c>
      <c r="CV40" s="106"/>
      <c r="CW40" s="106"/>
      <c r="CX40" s="95"/>
      <c r="CY40" s="95"/>
      <c r="CZ40" s="95"/>
      <c r="DA40" s="95"/>
      <c r="DB40" s="95"/>
      <c r="DC40" s="95"/>
      <c r="DD40" s="95"/>
      <c r="DE40" s="95"/>
      <c r="DF40" s="95"/>
      <c r="DG40" s="95"/>
      <c r="DH40" s="95"/>
      <c r="DI40" s="95"/>
      <c r="DJ40" s="95"/>
      <c r="DK40" s="95"/>
      <c r="DL40" s="95"/>
      <c r="DM40" s="95"/>
      <c r="DN40" s="95"/>
      <c r="DO40" s="95"/>
      <c r="DP40" s="95"/>
      <c r="DQ40" s="95"/>
      <c r="DR40" s="95"/>
      <c r="DS40" s="95"/>
      <c r="DT40" s="95"/>
      <c r="DU40" s="95"/>
      <c r="DV40" s="95"/>
      <c r="DW40" s="95"/>
      <c r="DX40" s="95"/>
      <c r="DY40" s="95"/>
      <c r="DZ40" s="95"/>
      <c r="EA40" s="95"/>
      <c r="EB40" s="95"/>
    </row>
    <row r="41" spans="1:132" ht="18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106"/>
      <c r="BL41" s="95"/>
      <c r="BM41" s="95"/>
      <c r="BN41" s="95"/>
      <c r="BO41" s="95"/>
      <c r="BP41" s="106"/>
      <c r="BQ41" s="95"/>
      <c r="BR41" s="95"/>
      <c r="BS41" s="95"/>
      <c r="BT41" s="95"/>
      <c r="BU41" s="95"/>
      <c r="BV41" s="106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106"/>
      <c r="CK41" s="95"/>
      <c r="CL41" s="95"/>
      <c r="CM41" s="106"/>
      <c r="CN41" s="95"/>
      <c r="CO41" s="95"/>
      <c r="CP41" s="95"/>
      <c r="CQ41" s="95"/>
      <c r="CR41" s="95"/>
      <c r="CS41" s="95"/>
      <c r="CT41" s="95"/>
      <c r="CU41" s="95"/>
      <c r="CV41" s="106"/>
      <c r="CW41" s="106"/>
      <c r="CX41" s="95"/>
      <c r="CY41" s="95"/>
      <c r="CZ41" s="95"/>
      <c r="DA41" s="95"/>
      <c r="DB41" s="95"/>
      <c r="DC41" s="95"/>
      <c r="DD41" s="95"/>
      <c r="DE41" s="95"/>
      <c r="DF41" s="95"/>
      <c r="DG41" s="95"/>
      <c r="DH41" s="95"/>
      <c r="DI41" s="95"/>
      <c r="DJ41" s="95"/>
      <c r="DK41" s="95"/>
      <c r="DL41" s="95"/>
      <c r="DM41" s="95"/>
      <c r="DN41" s="95"/>
      <c r="DO41" s="95"/>
      <c r="DP41" s="95"/>
      <c r="DQ41" s="95"/>
      <c r="DR41" s="95"/>
      <c r="DS41" s="95"/>
      <c r="DT41" s="95"/>
      <c r="DU41" s="95"/>
      <c r="DV41" s="95"/>
      <c r="DW41" s="95"/>
      <c r="DX41" s="95"/>
      <c r="DY41" s="95"/>
      <c r="DZ41" s="95"/>
      <c r="EA41" s="95"/>
      <c r="EB41" s="95"/>
    </row>
    <row r="42" spans="1:132" ht="18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106"/>
      <c r="BL42" s="95"/>
      <c r="BM42" s="95"/>
      <c r="BN42" s="95"/>
      <c r="BO42" s="95"/>
      <c r="BP42" s="107">
        <v>0.32</v>
      </c>
      <c r="BQ42" s="95"/>
      <c r="BR42" s="95"/>
      <c r="BS42" s="95"/>
      <c r="BT42" s="95"/>
      <c r="BU42" s="95"/>
      <c r="BV42" s="106"/>
      <c r="BW42" s="165">
        <v>95</v>
      </c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106"/>
      <c r="CK42" s="95"/>
      <c r="CL42" s="95"/>
      <c r="CM42" s="106"/>
      <c r="CN42" s="95"/>
      <c r="CO42" s="95"/>
      <c r="CP42" s="95"/>
      <c r="CQ42" s="95"/>
      <c r="CR42" s="95"/>
      <c r="CS42" s="95"/>
      <c r="CT42" s="95"/>
      <c r="CU42" s="95"/>
      <c r="CV42" s="106"/>
      <c r="CW42" s="106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</row>
    <row r="43" spans="1:132" ht="18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106"/>
      <c r="BL43" s="108"/>
      <c r="BM43" s="108"/>
      <c r="BN43" s="108"/>
      <c r="BO43" s="108"/>
      <c r="BP43" s="106">
        <v>457</v>
      </c>
      <c r="BQ43" s="108">
        <v>394</v>
      </c>
      <c r="BR43" s="108"/>
      <c r="BS43" s="157">
        <v>83</v>
      </c>
      <c r="BT43" s="108">
        <f>+BS43+BS44+BS45</f>
        <v>394</v>
      </c>
      <c r="BU43" s="108"/>
      <c r="BV43" s="106"/>
      <c r="BW43" s="108"/>
      <c r="BX43" s="108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6"/>
      <c r="CK43" s="108"/>
      <c r="CL43" s="108"/>
      <c r="CM43" s="106"/>
      <c r="CN43" s="95"/>
      <c r="CO43" s="95"/>
      <c r="CP43" s="95"/>
      <c r="CQ43" s="95"/>
      <c r="CR43" s="95"/>
      <c r="CS43" s="95"/>
      <c r="CT43" s="95"/>
      <c r="CU43" s="95"/>
      <c r="CV43" s="106"/>
      <c r="CW43" s="106"/>
      <c r="CX43" s="95"/>
      <c r="CY43" s="95"/>
      <c r="CZ43" s="95"/>
      <c r="DA43" s="95"/>
      <c r="DB43" s="95"/>
      <c r="DC43" s="95"/>
      <c r="DD43" s="95"/>
      <c r="DE43" s="95"/>
      <c r="DF43" s="95"/>
      <c r="DG43" s="95"/>
      <c r="DH43" s="95"/>
      <c r="DI43" s="95"/>
      <c r="DJ43" s="95"/>
      <c r="DK43" s="95"/>
      <c r="DL43" s="95"/>
      <c r="DM43" s="95"/>
      <c r="DN43" s="95"/>
      <c r="DO43" s="95"/>
      <c r="DP43" s="95"/>
      <c r="DQ43" s="95"/>
      <c r="DR43" s="95"/>
      <c r="DS43" s="95"/>
      <c r="DT43" s="95"/>
      <c r="DU43" s="95"/>
      <c r="DV43" s="95"/>
      <c r="DW43" s="95"/>
      <c r="DX43" s="95"/>
      <c r="DY43" s="95"/>
      <c r="DZ43" s="95"/>
      <c r="EA43" s="95"/>
      <c r="EB43" s="95"/>
    </row>
    <row r="44" spans="1:132" ht="18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176">
        <f>+BK47+BL44</f>
        <v>780</v>
      </c>
      <c r="BL44" s="175">
        <f>+BO35+BP54+BS44</f>
        <v>378</v>
      </c>
      <c r="BM44" s="95"/>
      <c r="BN44" s="95"/>
      <c r="BO44" s="114"/>
      <c r="BP44" s="95"/>
      <c r="BQ44" s="114">
        <v>0.27</v>
      </c>
      <c r="BR44" s="114"/>
      <c r="BS44" s="165">
        <v>212</v>
      </c>
      <c r="BT44" s="153">
        <v>394</v>
      </c>
      <c r="BU44" s="104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114">
        <v>0.13</v>
      </c>
      <c r="CJ44" s="95"/>
      <c r="CK44" s="114">
        <v>0.61</v>
      </c>
      <c r="CL44" s="95"/>
      <c r="CM44" s="113"/>
      <c r="CN44" s="95"/>
      <c r="CO44" s="95"/>
      <c r="CP44" s="95"/>
      <c r="CQ44" s="95"/>
      <c r="CR44" s="95"/>
      <c r="CS44" s="95"/>
      <c r="CT44" s="95"/>
      <c r="CU44" s="95"/>
      <c r="CV44" s="106"/>
      <c r="CW44" s="106"/>
      <c r="CX44" s="95"/>
      <c r="CY44" s="95"/>
      <c r="CZ44" s="95"/>
      <c r="DA44" s="95"/>
      <c r="DB44" s="95"/>
      <c r="DC44" s="95"/>
      <c r="DD44" s="95"/>
      <c r="DE44" s="95"/>
      <c r="DF44" s="95"/>
      <c r="DG44" s="95"/>
      <c r="DH44" s="95"/>
      <c r="DI44" s="95"/>
      <c r="DJ44" s="95"/>
      <c r="DK44" s="95"/>
      <c r="DL44" s="95"/>
      <c r="DM44" s="95"/>
      <c r="DN44" s="95"/>
      <c r="DO44" s="95"/>
      <c r="DP44" s="95"/>
      <c r="DQ44" s="95"/>
      <c r="DR44" s="95"/>
      <c r="DS44" s="95"/>
      <c r="DT44" s="95"/>
      <c r="DU44" s="95"/>
      <c r="DV44" s="95"/>
      <c r="DW44" s="95"/>
      <c r="DX44" s="95"/>
      <c r="DY44" s="95"/>
      <c r="DZ44" s="95"/>
      <c r="EA44" s="95"/>
      <c r="EB44" s="95"/>
    </row>
    <row r="45" spans="1:132" ht="18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140"/>
      <c r="BL45" s="108"/>
      <c r="BM45" s="168">
        <v>33</v>
      </c>
      <c r="BN45" s="108"/>
      <c r="BO45" s="108"/>
      <c r="BP45" s="95"/>
      <c r="BQ45" s="108"/>
      <c r="BR45" s="108"/>
      <c r="BS45" s="157">
        <v>99</v>
      </c>
      <c r="BT45" s="108"/>
      <c r="BU45" s="121"/>
      <c r="BV45" s="95"/>
      <c r="BW45" s="108"/>
      <c r="BX45" s="108"/>
      <c r="BY45" s="108"/>
      <c r="BZ45" s="108"/>
      <c r="CA45" s="108"/>
      <c r="CB45" s="108"/>
      <c r="CC45" s="108"/>
      <c r="CD45" s="108"/>
      <c r="CE45" s="108"/>
      <c r="CF45" s="108"/>
      <c r="CG45" s="108"/>
      <c r="CH45" s="108"/>
      <c r="CI45" s="168">
        <v>95</v>
      </c>
      <c r="CJ45" s="95"/>
      <c r="CK45" s="134">
        <v>448</v>
      </c>
      <c r="CL45" s="108"/>
      <c r="CM45" s="113"/>
      <c r="CN45" s="95"/>
      <c r="CO45" s="95"/>
      <c r="CP45" s="95"/>
      <c r="CQ45" s="95"/>
      <c r="CR45" s="95"/>
      <c r="CS45" s="95"/>
      <c r="CT45" s="95"/>
      <c r="CU45" s="95"/>
      <c r="CV45" s="106"/>
      <c r="CW45" s="106"/>
      <c r="CX45" s="95"/>
      <c r="CY45" s="95"/>
      <c r="CZ45" s="95"/>
      <c r="DA45" s="95"/>
      <c r="DB45" s="95"/>
      <c r="DC45" s="95"/>
      <c r="DD45" s="95"/>
      <c r="DE45" s="95"/>
      <c r="DF45" s="95"/>
      <c r="DG45" s="95"/>
      <c r="DH45" s="95"/>
      <c r="DI45" s="95"/>
      <c r="DJ45" s="95"/>
      <c r="DK45" s="95"/>
      <c r="DL45" s="95"/>
      <c r="DM45" s="95"/>
      <c r="DN45" s="95"/>
      <c r="DO45" s="95"/>
      <c r="DP45" s="95"/>
      <c r="DQ45" s="95"/>
      <c r="DR45" s="95"/>
      <c r="DS45" s="95"/>
      <c r="DT45" s="95"/>
      <c r="DU45" s="95"/>
      <c r="DV45" s="95"/>
      <c r="DW45" s="95"/>
      <c r="DX45" s="95"/>
      <c r="DY45" s="95"/>
      <c r="DZ45" s="95"/>
      <c r="EA45" s="95"/>
      <c r="EB45" s="95"/>
    </row>
    <row r="46" spans="1:132" ht="18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159">
        <v>34</v>
      </c>
      <c r="BN46" s="95"/>
      <c r="BO46" s="114">
        <v>0.05</v>
      </c>
      <c r="BP46" s="107">
        <v>0.37</v>
      </c>
      <c r="BQ46" s="95"/>
      <c r="BR46" s="95"/>
      <c r="BS46" s="95"/>
      <c r="BT46" s="95"/>
      <c r="BU46" s="104"/>
      <c r="BV46" s="106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106"/>
      <c r="CK46" s="95"/>
      <c r="CL46" s="95"/>
      <c r="CM46" s="106"/>
      <c r="CN46" s="95"/>
      <c r="CO46" s="95"/>
      <c r="CP46" s="95"/>
      <c r="CQ46" s="95"/>
      <c r="CR46" s="95"/>
      <c r="CS46" s="95"/>
      <c r="CT46" s="95"/>
      <c r="CU46" s="95"/>
      <c r="CV46" s="106"/>
      <c r="CW46" s="106"/>
      <c r="CX46" s="95"/>
      <c r="CY46" s="95"/>
      <c r="CZ46" s="95"/>
      <c r="DA46" s="95"/>
      <c r="DB46" s="95"/>
      <c r="DC46" s="95"/>
      <c r="DD46" s="95"/>
      <c r="DE46" s="95"/>
      <c r="DF46" s="95"/>
      <c r="DG46" s="95"/>
      <c r="DH46" s="95"/>
      <c r="DI46" s="95"/>
      <c r="DJ46" s="95"/>
      <c r="DK46" s="95"/>
      <c r="DL46" s="95"/>
      <c r="DM46" s="95"/>
      <c r="DN46" s="95"/>
      <c r="DO46" s="95"/>
      <c r="DP46" s="95"/>
      <c r="DQ46" s="95"/>
      <c r="DR46" s="95"/>
      <c r="DS46" s="95"/>
      <c r="DT46" s="95"/>
      <c r="DU46" s="95"/>
      <c r="DV46" s="95"/>
      <c r="DW46" s="95"/>
      <c r="DX46" s="95"/>
      <c r="DY46" s="95"/>
      <c r="DZ46" s="95"/>
      <c r="EA46" s="95"/>
      <c r="EB46" s="95"/>
    </row>
    <row r="47" spans="1:132" ht="18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159">
        <f>171+231</f>
        <v>402</v>
      </c>
      <c r="BL47" s="95"/>
      <c r="BM47" s="95"/>
      <c r="BN47" s="95"/>
      <c r="BO47" s="95"/>
      <c r="BP47" s="106">
        <v>532</v>
      </c>
      <c r="BQ47" s="95"/>
      <c r="BR47" s="95"/>
      <c r="BS47" s="95"/>
      <c r="BT47" s="95"/>
      <c r="BU47" s="104"/>
      <c r="BV47" s="106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107">
        <v>0.26</v>
      </c>
      <c r="CK47" s="95"/>
      <c r="CL47" s="95"/>
      <c r="CM47" s="106"/>
      <c r="CN47" s="95"/>
      <c r="CO47" s="95"/>
      <c r="CP47" s="95"/>
      <c r="CQ47" s="95"/>
      <c r="CR47" s="95"/>
      <c r="CS47" s="95"/>
      <c r="CT47" s="95"/>
      <c r="CU47" s="95"/>
      <c r="CV47" s="106"/>
      <c r="CW47" s="106"/>
      <c r="CX47" s="95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5"/>
      <c r="DR47" s="95"/>
      <c r="DS47" s="95"/>
      <c r="DT47" s="95"/>
      <c r="DU47" s="95"/>
      <c r="DV47" s="95"/>
      <c r="DW47" s="95"/>
      <c r="DX47" s="95"/>
      <c r="DY47" s="95"/>
      <c r="DZ47" s="95"/>
      <c r="EA47" s="95"/>
      <c r="EB47" s="95"/>
    </row>
    <row r="48" spans="1:132" ht="18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106"/>
      <c r="BQ48" s="95"/>
      <c r="BR48" s="95"/>
      <c r="BS48" s="95"/>
      <c r="BT48" s="95"/>
      <c r="BU48" s="104"/>
      <c r="BV48" s="106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162">
        <v>189</v>
      </c>
      <c r="CK48" s="95"/>
      <c r="CL48" s="95"/>
      <c r="CM48" s="106"/>
      <c r="CN48" s="95"/>
      <c r="CO48" s="95"/>
      <c r="CP48" s="95"/>
      <c r="CQ48" s="95"/>
      <c r="CR48" s="95"/>
      <c r="CS48" s="95"/>
      <c r="CT48" s="95"/>
      <c r="CU48" s="104"/>
      <c r="CV48" s="106"/>
      <c r="CW48" s="106"/>
      <c r="CX48" s="95"/>
      <c r="CY48" s="95"/>
      <c r="CZ48" s="95"/>
      <c r="DA48" s="95"/>
      <c r="DB48" s="95"/>
      <c r="DC48" s="95"/>
      <c r="DD48" s="95"/>
      <c r="DE48" s="95"/>
      <c r="DF48" s="95"/>
      <c r="DG48" s="95"/>
      <c r="DH48" s="95"/>
      <c r="DI48" s="95"/>
      <c r="DJ48" s="95"/>
      <c r="DK48" s="95"/>
      <c r="DL48" s="95"/>
      <c r="DM48" s="95"/>
      <c r="DN48" s="95"/>
      <c r="DO48" s="95"/>
      <c r="DP48" s="95"/>
      <c r="DQ48" s="95"/>
      <c r="DR48" s="95"/>
      <c r="DS48" s="95"/>
      <c r="DT48" s="95"/>
      <c r="DU48" s="95"/>
      <c r="DV48" s="95"/>
      <c r="DW48" s="95"/>
      <c r="DX48" s="95"/>
      <c r="DY48" s="95"/>
      <c r="DZ48" s="95"/>
      <c r="EA48" s="95"/>
      <c r="EB48" s="95"/>
    </row>
    <row r="49" spans="1:132" ht="18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106"/>
      <c r="BQ49" s="95"/>
      <c r="BR49" s="95"/>
      <c r="BS49" s="95"/>
      <c r="BT49" s="95"/>
      <c r="BU49" s="104"/>
      <c r="BV49" s="106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106"/>
      <c r="CK49" s="95"/>
      <c r="CL49" s="95"/>
      <c r="CM49" s="106"/>
      <c r="CN49" s="95"/>
      <c r="CO49" s="95"/>
      <c r="CP49" s="95"/>
      <c r="CQ49" s="95"/>
      <c r="CR49" s="95"/>
      <c r="CS49" s="95"/>
      <c r="CT49" s="95"/>
      <c r="CU49" s="95"/>
      <c r="CV49" s="106"/>
      <c r="CW49" s="106"/>
      <c r="CX49" s="95"/>
      <c r="CY49" s="95"/>
      <c r="CZ49" s="95"/>
      <c r="DA49" s="95"/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95"/>
      <c r="DN49" s="95"/>
      <c r="DO49" s="95"/>
      <c r="DP49" s="95"/>
      <c r="DQ49" s="95"/>
      <c r="DR49" s="95"/>
      <c r="DS49" s="95"/>
      <c r="DT49" s="95"/>
      <c r="DU49" s="95"/>
      <c r="DV49" s="95"/>
      <c r="DW49" s="95"/>
      <c r="DX49" s="95"/>
      <c r="DY49" s="95"/>
      <c r="DZ49" s="95"/>
      <c r="EA49" s="95"/>
      <c r="EB49" s="95"/>
    </row>
    <row r="50" spans="1:132" ht="18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104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106"/>
      <c r="CK50" s="95"/>
      <c r="CL50" s="95"/>
      <c r="CM50" s="106"/>
      <c r="CN50" s="95"/>
      <c r="CO50" s="95"/>
      <c r="CP50" s="95"/>
      <c r="CQ50" s="95"/>
      <c r="CR50" s="95"/>
      <c r="CS50" s="95"/>
      <c r="CT50" s="95"/>
      <c r="CU50" s="104">
        <v>40</v>
      </c>
      <c r="CV50" s="106"/>
      <c r="CW50" s="106"/>
      <c r="CX50" s="95"/>
      <c r="CY50" s="95"/>
      <c r="CZ50" s="95"/>
      <c r="DA50" s="95"/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95"/>
      <c r="DN50" s="95"/>
      <c r="DO50" s="95"/>
      <c r="DP50" s="95"/>
      <c r="DQ50" s="95"/>
      <c r="DR50" s="95"/>
      <c r="DS50" s="95"/>
      <c r="DT50" s="95"/>
      <c r="DU50" s="95"/>
      <c r="DV50" s="95"/>
      <c r="DW50" s="95"/>
      <c r="DX50" s="95"/>
      <c r="DY50" s="95"/>
      <c r="DZ50" s="95"/>
      <c r="EA50" s="95"/>
      <c r="EB50" s="95"/>
    </row>
    <row r="51" spans="1:132" ht="18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106"/>
      <c r="CN51" s="95"/>
      <c r="CO51" s="95"/>
      <c r="CP51" s="95"/>
      <c r="CQ51" s="95"/>
      <c r="CR51" s="95"/>
      <c r="CS51" s="95"/>
      <c r="CT51" s="95"/>
      <c r="CU51" s="160">
        <f>0.3*CV38</f>
        <v>178.5</v>
      </c>
      <c r="CV51" s="174">
        <f>0.7*CV38</f>
        <v>416.5</v>
      </c>
      <c r="CW51" s="106"/>
      <c r="CX51" s="95"/>
      <c r="CY51" s="95"/>
      <c r="CZ51" s="95"/>
      <c r="DA51" s="95"/>
      <c r="DB51" s="95"/>
      <c r="DC51" s="95"/>
      <c r="DD51" s="95"/>
      <c r="DE51" s="95"/>
      <c r="DF51" s="95"/>
      <c r="DG51" s="95"/>
      <c r="DH51" s="95"/>
      <c r="DI51" s="95"/>
      <c r="DJ51" s="95"/>
      <c r="DK51" s="95"/>
      <c r="DL51" s="95"/>
      <c r="DM51" s="95"/>
      <c r="DN51" s="95"/>
      <c r="DO51" s="95"/>
      <c r="DP51" s="95"/>
      <c r="DQ51" s="95"/>
      <c r="DR51" s="95"/>
      <c r="DS51" s="95"/>
      <c r="DT51" s="95"/>
      <c r="DU51" s="95"/>
      <c r="DV51" s="95"/>
      <c r="DW51" s="95"/>
      <c r="DX51" s="95"/>
      <c r="DY51" s="95"/>
      <c r="DZ51" s="95"/>
      <c r="EA51" s="95"/>
      <c r="EB51" s="95"/>
    </row>
    <row r="52" spans="1:132" ht="18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106"/>
      <c r="CN52" s="95"/>
      <c r="CO52" s="95"/>
      <c r="CP52" s="95"/>
      <c r="CQ52" s="95"/>
      <c r="CR52" s="95"/>
      <c r="CS52" s="95"/>
      <c r="CT52" s="95"/>
      <c r="CU52" s="95"/>
      <c r="CV52" s="106"/>
      <c r="CW52" s="106"/>
      <c r="CX52" s="95"/>
      <c r="CY52" s="95"/>
      <c r="CZ52" s="95"/>
      <c r="DA52" s="95"/>
      <c r="DB52" s="95"/>
      <c r="DC52" s="95"/>
      <c r="DD52" s="95"/>
      <c r="DE52" s="95"/>
      <c r="DF52" s="95"/>
      <c r="DG52" s="95"/>
      <c r="DH52" s="95"/>
      <c r="DI52" s="95"/>
      <c r="DJ52" s="95"/>
      <c r="DK52" s="95"/>
      <c r="DL52" s="95"/>
      <c r="DM52" s="95"/>
      <c r="DN52" s="95"/>
      <c r="DO52" s="95"/>
      <c r="DP52" s="95"/>
      <c r="DQ52" s="95"/>
      <c r="DR52" s="95"/>
      <c r="DS52" s="95"/>
      <c r="DT52" s="95"/>
      <c r="DU52" s="95"/>
      <c r="DV52" s="95"/>
      <c r="DW52" s="95"/>
      <c r="DX52" s="95"/>
      <c r="DY52" s="95"/>
      <c r="DZ52" s="95"/>
      <c r="EA52" s="95"/>
      <c r="EB52" s="95"/>
    </row>
    <row r="53" spans="1:132" ht="18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106"/>
      <c r="CN53" s="108"/>
      <c r="CO53" s="108"/>
      <c r="CP53" s="108"/>
      <c r="CQ53" s="108"/>
      <c r="CR53" s="108"/>
      <c r="CS53" s="108"/>
      <c r="CT53" s="108"/>
      <c r="CU53" s="108"/>
      <c r="CV53" s="106"/>
      <c r="CW53" s="106"/>
      <c r="CX53" s="95"/>
      <c r="CY53" s="95"/>
      <c r="CZ53" s="95"/>
      <c r="DA53" s="95"/>
      <c r="DB53" s="95"/>
      <c r="DC53" s="95"/>
      <c r="DD53" s="95"/>
      <c r="DE53" s="95"/>
      <c r="DF53" s="95"/>
      <c r="DG53" s="95"/>
      <c r="DH53" s="95"/>
      <c r="DI53" s="95"/>
      <c r="DJ53" s="95"/>
      <c r="DK53" s="95"/>
      <c r="DL53" s="95"/>
      <c r="DM53" s="95"/>
      <c r="DN53" s="95"/>
      <c r="DO53" s="95"/>
      <c r="DP53" s="95"/>
      <c r="DQ53" s="95"/>
      <c r="DR53" s="95"/>
      <c r="DS53" s="95"/>
      <c r="DT53" s="95"/>
      <c r="DU53" s="95"/>
      <c r="DV53" s="95"/>
      <c r="DW53" s="95"/>
      <c r="DX53" s="95"/>
      <c r="DY53" s="95"/>
      <c r="DZ53" s="95"/>
      <c r="EA53" s="95"/>
      <c r="EB53" s="95"/>
    </row>
    <row r="54" spans="1:132" ht="18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159">
        <v>100</v>
      </c>
      <c r="BQ54" s="159">
        <v>432</v>
      </c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131">
        <f>+CU51+CW59</f>
        <v>463.5</v>
      </c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  <c r="DG54" s="95"/>
      <c r="DH54" s="95"/>
      <c r="DI54" s="95"/>
      <c r="DJ54" s="95"/>
      <c r="DK54" s="95"/>
      <c r="DL54" s="95"/>
      <c r="DM54" s="95"/>
      <c r="DN54" s="95"/>
      <c r="DO54" s="95"/>
      <c r="DP54" s="95"/>
      <c r="DQ54" s="95"/>
      <c r="DR54" s="95"/>
      <c r="DS54" s="95"/>
      <c r="DT54" s="95"/>
      <c r="DU54" s="95"/>
      <c r="DV54" s="95"/>
      <c r="DW54" s="95"/>
      <c r="DX54" s="95"/>
      <c r="DY54" s="95"/>
      <c r="DZ54" s="95"/>
      <c r="EA54" s="95"/>
      <c r="EB54" s="95"/>
    </row>
    <row r="55" spans="1:132" ht="18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108"/>
      <c r="CO55" s="108"/>
      <c r="CP55" s="108"/>
      <c r="CQ55" s="108"/>
      <c r="CR55" s="108"/>
      <c r="CS55" s="108"/>
      <c r="CT55" s="108"/>
      <c r="CU55" s="108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5"/>
      <c r="DV55" s="95"/>
      <c r="DW55" s="95"/>
      <c r="DX55" s="95"/>
      <c r="DY55" s="95"/>
      <c r="DZ55" s="95"/>
      <c r="EA55" s="95"/>
      <c r="EB55" s="95"/>
    </row>
    <row r="56" spans="1:132" ht="18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160">
        <v>16</v>
      </c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159">
        <v>55</v>
      </c>
      <c r="CY56" s="95"/>
      <c r="CZ56" s="95"/>
      <c r="DA56" s="95"/>
      <c r="DB56" s="95"/>
      <c r="DC56" s="95"/>
      <c r="DD56" s="95"/>
      <c r="DE56" s="95"/>
      <c r="DF56" s="95"/>
      <c r="DG56" s="95"/>
      <c r="DH56" s="95"/>
      <c r="DI56" s="95"/>
      <c r="DJ56" s="95"/>
      <c r="DK56" s="95"/>
      <c r="DL56" s="95"/>
      <c r="DM56" s="95"/>
      <c r="DN56" s="95"/>
      <c r="DO56" s="95"/>
      <c r="DP56" s="95"/>
      <c r="DQ56" s="95"/>
      <c r="DR56" s="95"/>
      <c r="DS56" s="95"/>
      <c r="DT56" s="95"/>
      <c r="DU56" s="95"/>
      <c r="DV56" s="95"/>
      <c r="DW56" s="95"/>
      <c r="DX56" s="95"/>
      <c r="DY56" s="95"/>
      <c r="DZ56" s="95"/>
      <c r="EA56" s="95"/>
      <c r="EB56" s="95"/>
    </row>
    <row r="57" spans="1:132" ht="18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101">
        <v>55</v>
      </c>
      <c r="CO57" s="108"/>
      <c r="CP57" s="108"/>
      <c r="CQ57" s="108"/>
      <c r="CR57" s="108"/>
      <c r="CS57" s="108"/>
      <c r="CT57" s="108"/>
      <c r="CU57" s="108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95"/>
      <c r="DH57" s="95"/>
      <c r="DI57" s="95"/>
      <c r="DJ57" s="95"/>
      <c r="DK57" s="95"/>
      <c r="DL57" s="95"/>
      <c r="DM57" s="95"/>
      <c r="DN57" s="95"/>
      <c r="DO57" s="95"/>
      <c r="DP57" s="95"/>
      <c r="DQ57" s="95"/>
      <c r="DR57" s="95"/>
      <c r="DS57" s="95"/>
      <c r="DT57" s="95"/>
      <c r="DU57" s="95"/>
      <c r="DV57" s="95"/>
      <c r="DW57" s="95"/>
      <c r="DX57" s="95"/>
      <c r="DY57" s="95"/>
      <c r="DZ57" s="95"/>
      <c r="EA57" s="95"/>
      <c r="EB57" s="95"/>
    </row>
    <row r="58" spans="1:132" ht="18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106"/>
      <c r="CW58" s="106"/>
      <c r="CX58" s="95"/>
      <c r="CY58" s="95"/>
      <c r="CZ58" s="95"/>
      <c r="DA58" s="95"/>
      <c r="DB58" s="95"/>
      <c r="DC58" s="95"/>
      <c r="DD58" s="95"/>
      <c r="DE58" s="95"/>
      <c r="DF58" s="95"/>
      <c r="DG58" s="95"/>
      <c r="DH58" s="95"/>
      <c r="DI58" s="95"/>
      <c r="DJ58" s="95"/>
      <c r="DK58" s="95"/>
      <c r="DL58" s="95"/>
      <c r="DM58" s="95"/>
      <c r="DN58" s="95"/>
      <c r="DO58" s="95"/>
      <c r="DP58" s="95"/>
      <c r="DQ58" s="95"/>
      <c r="DR58" s="95"/>
      <c r="DS58" s="95"/>
      <c r="DT58" s="95"/>
      <c r="DU58" s="95"/>
      <c r="DV58" s="95"/>
      <c r="DW58" s="95"/>
      <c r="DX58" s="95"/>
      <c r="DY58" s="95"/>
      <c r="DZ58" s="95"/>
      <c r="EA58" s="95"/>
      <c r="EB58" s="95"/>
    </row>
    <row r="59" spans="1:132" ht="18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106"/>
      <c r="CW59" s="164">
        <v>285</v>
      </c>
      <c r="CX59" s="95"/>
      <c r="CY59" s="95"/>
      <c r="CZ59" s="95"/>
      <c r="DA59" s="95"/>
      <c r="DB59" s="95"/>
      <c r="DC59" s="95"/>
      <c r="DD59" s="95"/>
      <c r="DE59" s="95"/>
      <c r="DF59" s="95"/>
      <c r="DG59" s="95"/>
      <c r="DH59" s="95"/>
      <c r="DI59" s="95"/>
      <c r="DJ59" s="95"/>
      <c r="DK59" s="95"/>
      <c r="DL59" s="95"/>
      <c r="DM59" s="95"/>
      <c r="DN59" s="95"/>
      <c r="DO59" s="95"/>
      <c r="DP59" s="95"/>
      <c r="DQ59" s="95"/>
      <c r="DR59" s="95"/>
      <c r="DS59" s="95"/>
      <c r="DT59" s="95"/>
      <c r="DU59" s="95"/>
      <c r="DV59" s="95"/>
      <c r="DW59" s="95"/>
      <c r="DX59" s="95"/>
      <c r="DY59" s="95"/>
      <c r="DZ59" s="95"/>
      <c r="EA59" s="95"/>
      <c r="EB59" s="95"/>
    </row>
    <row r="60" spans="1:132" ht="18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106"/>
      <c r="CW60" s="106"/>
      <c r="CX60" s="95"/>
      <c r="CY60" s="95"/>
      <c r="CZ60" s="95"/>
      <c r="DA60" s="95"/>
      <c r="DB60" s="95"/>
      <c r="DC60" s="95"/>
      <c r="DD60" s="95"/>
      <c r="DE60" s="95"/>
      <c r="DF60" s="95"/>
      <c r="DG60" s="95"/>
      <c r="DH60" s="95"/>
      <c r="DI60" s="95"/>
      <c r="DJ60" s="95"/>
      <c r="DK60" s="95"/>
      <c r="DL60" s="95"/>
      <c r="DM60" s="95"/>
      <c r="DN60" s="95"/>
      <c r="DO60" s="95"/>
      <c r="DP60" s="95"/>
      <c r="DQ60" s="95"/>
      <c r="DR60" s="95"/>
      <c r="DS60" s="95"/>
      <c r="DT60" s="95"/>
      <c r="DU60" s="95"/>
      <c r="DV60" s="95"/>
      <c r="DW60" s="95"/>
      <c r="DX60" s="95"/>
      <c r="DY60" s="95"/>
      <c r="DZ60" s="95"/>
      <c r="EA60" s="95"/>
      <c r="EB60" s="95"/>
    </row>
    <row r="61" spans="1:132" ht="18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106"/>
      <c r="CW61" s="106"/>
      <c r="CX61" s="95"/>
      <c r="CY61" s="95"/>
      <c r="CZ61" s="95"/>
      <c r="DA61" s="95"/>
      <c r="DB61" s="95"/>
      <c r="DC61" s="95"/>
      <c r="DD61" s="95"/>
      <c r="DE61" s="95"/>
      <c r="DF61" s="95"/>
      <c r="DG61" s="95"/>
      <c r="DH61" s="95"/>
      <c r="DI61" s="95"/>
      <c r="DJ61" s="95"/>
      <c r="DK61" s="95"/>
      <c r="DL61" s="95"/>
      <c r="DM61" s="95"/>
      <c r="DN61" s="95"/>
      <c r="DO61" s="95"/>
      <c r="DP61" s="95"/>
      <c r="DQ61" s="95"/>
      <c r="DR61" s="95"/>
      <c r="DS61" s="95"/>
      <c r="DT61" s="95"/>
      <c r="DU61" s="95"/>
      <c r="DV61" s="95"/>
      <c r="DW61" s="95"/>
      <c r="DX61" s="95"/>
      <c r="DY61" s="95"/>
      <c r="DZ61" s="95"/>
      <c r="EA61" s="95"/>
      <c r="EB61" s="95"/>
    </row>
    <row r="62" spans="1:132" ht="18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106"/>
      <c r="CW62" s="106"/>
      <c r="CX62" s="95"/>
      <c r="CY62" s="95"/>
      <c r="CZ62" s="95"/>
      <c r="DA62" s="95"/>
      <c r="DB62" s="95"/>
      <c r="DC62" s="95"/>
      <c r="DD62" s="95"/>
      <c r="DE62" s="95"/>
      <c r="DF62" s="95"/>
      <c r="DG62" s="95"/>
      <c r="DH62" s="95"/>
      <c r="DI62" s="95"/>
      <c r="DJ62" s="95"/>
      <c r="DK62" s="95"/>
      <c r="DL62" s="95"/>
      <c r="DM62" s="95"/>
      <c r="DN62" s="95"/>
      <c r="DO62" s="95"/>
      <c r="DP62" s="95"/>
      <c r="DQ62" s="95"/>
      <c r="DR62" s="95"/>
      <c r="DS62" s="95"/>
      <c r="DT62" s="95"/>
      <c r="DU62" s="95"/>
      <c r="DV62" s="95"/>
      <c r="DW62" s="95"/>
      <c r="DX62" s="95"/>
      <c r="DY62" s="95"/>
      <c r="DZ62" s="95"/>
      <c r="EA62" s="95"/>
      <c r="EB62" s="95"/>
    </row>
    <row r="63" spans="1:132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</row>
    <row r="64" spans="1:132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</row>
    <row r="65" spans="1:132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</row>
    <row r="66" spans="1:132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</row>
    <row r="67" spans="1:132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</row>
    <row r="68" spans="1:132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</row>
    <row r="69" spans="1:132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</row>
    <row r="70" spans="1:132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</row>
    <row r="71" spans="1:132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</row>
    <row r="72" spans="1:132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</row>
    <row r="73" spans="1:132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</row>
    <row r="74" spans="1:132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</row>
  </sheetData>
  <mergeCells count="4">
    <mergeCell ref="U5:V7"/>
    <mergeCell ref="B6:F9"/>
    <mergeCell ref="BC23:BD25"/>
    <mergeCell ref="BE23:BF2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90A8-E2BB-4335-9337-2C0449E18411}">
  <dimension ref="A1:DY74"/>
  <sheetViews>
    <sheetView tabSelected="1" zoomScale="70" zoomScaleNormal="70" workbookViewId="0">
      <selection activeCell="W99" sqref="W99"/>
    </sheetView>
  </sheetViews>
  <sheetFormatPr baseColWidth="10" defaultRowHeight="14.4" x14ac:dyDescent="0.3"/>
  <cols>
    <col min="10" max="10" width="2.33203125" customWidth="1"/>
    <col min="11" max="11" width="4.5546875" customWidth="1"/>
    <col min="33" max="33" width="8.5546875" customWidth="1"/>
    <col min="34" max="34" width="9.109375" customWidth="1"/>
    <col min="38" max="38" width="8.6640625" customWidth="1"/>
    <col min="39" max="39" width="9" customWidth="1"/>
    <col min="55" max="55" width="9" customWidth="1"/>
    <col min="56" max="56" width="8.88671875" customWidth="1"/>
    <col min="57" max="57" width="8.6640625" customWidth="1"/>
    <col min="58" max="58" width="9.33203125" customWidth="1"/>
    <col min="67" max="67" width="9.33203125" customWidth="1"/>
    <col min="68" max="68" width="9.109375" customWidth="1"/>
    <col min="78" max="78" width="8.5546875" customWidth="1"/>
    <col min="79" max="79" width="9" customWidth="1"/>
    <col min="100" max="100" width="7.77734375" customWidth="1"/>
    <col min="101" max="101" width="8.33203125" customWidth="1"/>
    <col min="104" max="104" width="5.21875" customWidth="1"/>
    <col min="105" max="105" width="11.5546875" hidden="1" customWidth="1"/>
    <col min="106" max="106" width="1.5546875" customWidth="1"/>
    <col min="108" max="108" width="11.33203125" customWidth="1"/>
    <col min="109" max="109" width="9.33203125" customWidth="1"/>
    <col min="110" max="110" width="9.88671875" customWidth="1"/>
    <col min="113" max="113" width="0.44140625" customWidth="1"/>
    <col min="118" max="121" width="0" hidden="1" customWidth="1"/>
  </cols>
  <sheetData>
    <row r="1" spans="1:129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</row>
    <row r="2" spans="1:129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</row>
    <row r="3" spans="1:129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41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</row>
    <row r="4" spans="1:129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</row>
    <row r="5" spans="1:129" ht="15" thickBot="1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213"/>
      <c r="V5" s="213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9"/>
      <c r="DF5" s="9"/>
      <c r="DG5" s="8"/>
      <c r="DH5" s="8"/>
      <c r="DI5" s="8"/>
      <c r="DJ5" s="8"/>
      <c r="DK5" s="9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</row>
    <row r="6" spans="1:129" x14ac:dyDescent="0.3">
      <c r="A6" s="8"/>
      <c r="B6" s="202" t="s">
        <v>24</v>
      </c>
      <c r="C6" s="203"/>
      <c r="D6" s="203"/>
      <c r="E6" s="203"/>
      <c r="F6" s="204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13"/>
      <c r="V6" s="213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9"/>
      <c r="DF6" s="9"/>
      <c r="DG6" s="8"/>
      <c r="DH6" s="8"/>
      <c r="DI6" s="8"/>
      <c r="DJ6" s="8"/>
      <c r="DK6" s="9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</row>
    <row r="7" spans="1:129" x14ac:dyDescent="0.3">
      <c r="A7" s="8"/>
      <c r="B7" s="205"/>
      <c r="C7" s="206"/>
      <c r="D7" s="206"/>
      <c r="E7" s="206"/>
      <c r="F7" s="20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21"/>
      <c r="T7" s="8"/>
      <c r="U7" s="213"/>
      <c r="V7" s="213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9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35"/>
      <c r="CW7" s="9"/>
      <c r="CX7" s="8"/>
      <c r="CY7" s="8"/>
      <c r="CZ7" s="8"/>
      <c r="DA7" s="8"/>
      <c r="DB7" s="8"/>
      <c r="DC7" s="8"/>
      <c r="DD7" s="8"/>
      <c r="DE7" s="9"/>
      <c r="DF7" s="9"/>
      <c r="DG7" s="10"/>
      <c r="DH7" s="10"/>
      <c r="DI7" s="10"/>
      <c r="DJ7" s="10"/>
      <c r="DK7" s="9"/>
      <c r="DL7" s="10"/>
      <c r="DM7" s="10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</row>
    <row r="8" spans="1:129" ht="15" thickBot="1" x14ac:dyDescent="0.35">
      <c r="A8" s="8"/>
      <c r="B8" s="205"/>
      <c r="C8" s="206"/>
      <c r="D8" s="206"/>
      <c r="E8" s="206"/>
      <c r="F8" s="20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1"/>
      <c r="U8" s="8"/>
      <c r="V8" s="8"/>
      <c r="W8" s="41"/>
      <c r="X8" s="41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9"/>
      <c r="BW8" s="8"/>
      <c r="BX8" s="8"/>
      <c r="BY8" s="8"/>
      <c r="BZ8" s="35"/>
      <c r="CA8" s="9"/>
      <c r="CB8" s="8"/>
      <c r="CC8" s="8"/>
      <c r="CD8" s="9"/>
      <c r="CE8" s="8"/>
      <c r="CF8" s="8"/>
      <c r="CG8" s="8"/>
      <c r="CH8" s="9"/>
      <c r="CI8" s="8"/>
      <c r="CJ8" s="8"/>
      <c r="CK8" s="9"/>
      <c r="CL8" s="8"/>
      <c r="CM8" s="8"/>
      <c r="CN8" s="8"/>
      <c r="CO8" s="8"/>
      <c r="CP8" s="8"/>
      <c r="CQ8" s="8"/>
      <c r="CR8" s="8"/>
      <c r="CS8" s="8"/>
      <c r="CT8" s="8"/>
      <c r="CU8" s="8"/>
      <c r="CV8" s="9"/>
      <c r="CW8" s="9"/>
      <c r="CX8" s="8"/>
      <c r="CY8" s="8"/>
      <c r="CZ8" s="10"/>
      <c r="DA8" s="10"/>
      <c r="DB8" s="10"/>
      <c r="DC8" s="10"/>
      <c r="DD8" s="10"/>
      <c r="DE8" s="9"/>
      <c r="DF8" s="9"/>
      <c r="DG8" s="20"/>
      <c r="DH8" s="61"/>
      <c r="DI8" s="18"/>
      <c r="DJ8" s="18"/>
      <c r="DK8" s="8"/>
      <c r="DL8" s="18"/>
      <c r="DM8" s="1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</row>
    <row r="9" spans="1:129" ht="15" thickBot="1" x14ac:dyDescent="0.35">
      <c r="A9" s="8"/>
      <c r="B9" s="208"/>
      <c r="C9" s="209"/>
      <c r="D9" s="209"/>
      <c r="E9" s="209"/>
      <c r="F9" s="21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21"/>
      <c r="U9" s="71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10"/>
      <c r="BP9" s="10"/>
      <c r="BQ9" s="8"/>
      <c r="BR9" s="8"/>
      <c r="BS9" s="8"/>
      <c r="BT9" s="8"/>
      <c r="BU9" s="8"/>
      <c r="BV9" s="9"/>
      <c r="BW9" s="8"/>
      <c r="BX9" s="8"/>
      <c r="BY9" s="8"/>
      <c r="BZ9" s="9"/>
      <c r="CA9" s="9"/>
      <c r="CB9" s="8"/>
      <c r="CC9" s="8"/>
      <c r="CD9" s="9"/>
      <c r="CE9" s="8"/>
      <c r="CF9" s="8"/>
      <c r="CG9" s="8"/>
      <c r="CH9" s="9"/>
      <c r="CI9" s="8"/>
      <c r="CJ9" s="8"/>
      <c r="CK9" s="9"/>
      <c r="CL9" s="8"/>
      <c r="CM9" s="8"/>
      <c r="CN9" s="8"/>
      <c r="CO9" s="10"/>
      <c r="CP9" s="10"/>
      <c r="CQ9" s="10"/>
      <c r="CR9" s="10"/>
      <c r="CS9" s="10"/>
      <c r="CT9" s="10"/>
      <c r="CU9" s="10"/>
      <c r="CV9" s="9"/>
      <c r="CW9" s="9"/>
      <c r="CX9" s="10"/>
      <c r="CY9" s="10"/>
      <c r="CZ9" s="44"/>
      <c r="DA9" s="44"/>
      <c r="DB9" s="44"/>
      <c r="DC9" s="44"/>
      <c r="DD9" s="10"/>
      <c r="DE9" s="8"/>
      <c r="DF9" s="8"/>
      <c r="DG9" s="10"/>
      <c r="DH9" s="10"/>
      <c r="DI9" s="10"/>
      <c r="DJ9" s="10"/>
      <c r="DK9" s="8"/>
      <c r="DL9" s="10"/>
      <c r="DM9" s="10"/>
      <c r="DN9" s="10"/>
      <c r="DO9" s="10"/>
      <c r="DP9" s="10"/>
      <c r="DQ9" s="10"/>
      <c r="DR9" s="10"/>
      <c r="DS9" s="10"/>
      <c r="DT9" s="8"/>
      <c r="DU9" s="8"/>
      <c r="DV9" s="8"/>
      <c r="DW9" s="8"/>
      <c r="DX9" s="8"/>
      <c r="DY9" s="8"/>
    </row>
    <row r="10" spans="1:129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41"/>
      <c r="X10" s="41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11"/>
      <c r="BO10" s="8"/>
      <c r="BP10" s="8"/>
      <c r="BQ10" s="10"/>
      <c r="BR10" s="10"/>
      <c r="BS10" s="10"/>
      <c r="BT10" s="10"/>
      <c r="BU10" s="10"/>
      <c r="BV10" s="9"/>
      <c r="BW10" s="10"/>
      <c r="BX10" s="10"/>
      <c r="BY10" s="10"/>
      <c r="BZ10" s="9"/>
      <c r="CA10" s="9"/>
      <c r="CB10" s="10"/>
      <c r="CC10" s="10"/>
      <c r="CD10" s="9"/>
      <c r="CE10" s="10"/>
      <c r="CF10" s="10"/>
      <c r="CG10" s="10"/>
      <c r="CH10" s="9"/>
      <c r="CI10" s="10"/>
      <c r="CJ10" s="10"/>
      <c r="CK10" s="9"/>
      <c r="CL10" s="10"/>
      <c r="CM10" s="10"/>
      <c r="CN10" s="10"/>
      <c r="CO10" s="37"/>
      <c r="CP10" s="21"/>
      <c r="CQ10" s="21"/>
      <c r="CR10" s="21"/>
      <c r="CS10" s="21"/>
      <c r="CT10" s="21"/>
      <c r="CU10" s="21"/>
      <c r="CV10" s="8"/>
      <c r="CW10" s="8"/>
      <c r="CX10" s="37"/>
      <c r="CY10" s="8"/>
      <c r="CZ10" s="43"/>
      <c r="DA10" s="43"/>
      <c r="DB10" s="43"/>
      <c r="DC10" s="43"/>
      <c r="DD10" s="8"/>
      <c r="DE10" s="8"/>
      <c r="DF10" s="8"/>
      <c r="DG10" s="8"/>
      <c r="DH10" s="43"/>
      <c r="DI10" s="62"/>
      <c r="DJ10" s="8"/>
      <c r="DK10" s="8"/>
      <c r="DL10" s="21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</row>
    <row r="11" spans="1:129" ht="15" thickBot="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41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9"/>
      <c r="BO11" s="8"/>
      <c r="BP11" s="8"/>
      <c r="BQ11" s="8"/>
      <c r="BR11" s="8"/>
      <c r="BS11" s="8"/>
      <c r="BT11" s="8"/>
      <c r="BU11" s="21"/>
      <c r="BV11" s="8"/>
      <c r="BW11" s="18"/>
      <c r="BX11" s="43"/>
      <c r="BY11" s="8"/>
      <c r="BZ11" s="8"/>
      <c r="CA11" s="8"/>
      <c r="CB11" s="8"/>
      <c r="CC11" s="18"/>
      <c r="CD11" s="8"/>
      <c r="CE11" s="8"/>
      <c r="CF11" s="8"/>
      <c r="CG11" s="8"/>
      <c r="CH11" s="8"/>
      <c r="CI11" s="18"/>
      <c r="CJ11" s="8"/>
      <c r="CK11" s="8"/>
      <c r="CL11" s="38"/>
      <c r="CM11" s="38"/>
      <c r="CN11" s="8"/>
      <c r="CO11" s="8"/>
      <c r="CP11" s="10"/>
      <c r="CQ11" s="10"/>
      <c r="CR11" s="10"/>
      <c r="CS11" s="10"/>
      <c r="CT11" s="10"/>
      <c r="CU11" s="23"/>
      <c r="CV11" s="8"/>
      <c r="CW11" s="8"/>
      <c r="CX11" s="10"/>
      <c r="CY11" s="10"/>
      <c r="CZ11" s="44"/>
      <c r="DA11" s="44"/>
      <c r="DB11" s="44"/>
      <c r="DC11" s="44"/>
      <c r="DD11" s="10"/>
      <c r="DE11" s="8"/>
      <c r="DF11" s="8"/>
      <c r="DG11" s="8"/>
      <c r="DH11" s="43"/>
      <c r="DI11" s="21"/>
      <c r="DJ11" s="8"/>
      <c r="DK11" s="8"/>
      <c r="DL11" s="25"/>
      <c r="DM11" s="17"/>
      <c r="DN11" s="17"/>
      <c r="DO11" s="8"/>
      <c r="DP11" s="8"/>
      <c r="DQ11" s="17"/>
      <c r="DR11" s="8"/>
      <c r="DS11" s="8"/>
      <c r="DT11" s="8"/>
      <c r="DU11" s="8"/>
      <c r="DV11" s="8"/>
      <c r="DW11" s="8"/>
      <c r="DX11" s="8"/>
      <c r="DY11" s="8"/>
    </row>
    <row r="12" spans="1:129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9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9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11"/>
      <c r="BO12" s="8"/>
      <c r="BP12" s="8"/>
      <c r="BQ12" s="19"/>
      <c r="BR12" s="19"/>
      <c r="BS12" s="19"/>
      <c r="BT12" s="19"/>
      <c r="BU12" s="27"/>
      <c r="BV12" s="8"/>
      <c r="BW12" s="10"/>
      <c r="BX12" s="44"/>
      <c r="BY12" s="40"/>
      <c r="BZ12" s="8"/>
      <c r="CA12" s="8"/>
      <c r="CB12" s="10"/>
      <c r="CC12" s="10"/>
      <c r="CD12" s="8"/>
      <c r="CE12" s="19"/>
      <c r="CF12" s="19"/>
      <c r="CG12" s="27"/>
      <c r="CH12" s="8"/>
      <c r="CI12" s="10"/>
      <c r="CJ12" s="19"/>
      <c r="CK12" s="8"/>
      <c r="CL12" s="10"/>
      <c r="CM12" s="10"/>
      <c r="CN12" s="8"/>
      <c r="CO12" s="8"/>
      <c r="CP12" s="21"/>
      <c r="CQ12" s="21"/>
      <c r="CR12" s="21"/>
      <c r="CS12" s="21"/>
      <c r="CT12" s="21"/>
      <c r="CU12" s="39"/>
      <c r="CV12" s="8"/>
      <c r="CW12" s="8"/>
      <c r="CX12" s="8"/>
      <c r="CY12" s="8"/>
      <c r="CZ12" s="8"/>
      <c r="DA12" s="8"/>
      <c r="DB12" s="8"/>
      <c r="DC12" s="56"/>
      <c r="DD12" s="8"/>
      <c r="DE12" s="8"/>
      <c r="DF12" s="8"/>
      <c r="DG12" s="16"/>
      <c r="DH12" s="16"/>
      <c r="DI12" s="16"/>
      <c r="DJ12" s="16"/>
      <c r="DK12" s="8"/>
      <c r="DL12" s="8"/>
      <c r="DM12" s="8"/>
      <c r="DN12" s="8"/>
      <c r="DO12" s="16"/>
      <c r="DP12" s="16"/>
      <c r="DQ12" s="8"/>
      <c r="DR12" s="16"/>
      <c r="DS12" s="16"/>
      <c r="DT12" s="8"/>
      <c r="DU12" s="8"/>
      <c r="DV12" s="8"/>
      <c r="DW12" s="8"/>
      <c r="DX12" s="8"/>
      <c r="DY12" s="8"/>
    </row>
    <row r="13" spans="1:129" x14ac:dyDescent="0.3">
      <c r="A13" s="8"/>
      <c r="B13" s="8"/>
      <c r="C13" s="8"/>
      <c r="D13" s="8"/>
      <c r="E13" s="8"/>
      <c r="F13" s="8"/>
      <c r="G13" s="8"/>
      <c r="H13" s="9"/>
      <c r="I13" s="8"/>
      <c r="J13" s="8"/>
      <c r="K13" s="8"/>
      <c r="L13" s="9"/>
      <c r="M13" s="8"/>
      <c r="N13" s="8"/>
      <c r="O13" s="9"/>
      <c r="P13" s="8"/>
      <c r="Q13" s="8"/>
      <c r="R13" s="9"/>
      <c r="S13" s="8"/>
      <c r="T13" s="8"/>
      <c r="U13" s="9"/>
      <c r="V13" s="42"/>
      <c r="W13" s="8"/>
      <c r="X13" s="8"/>
      <c r="Y13" s="8"/>
      <c r="Z13" s="9"/>
      <c r="AA13" s="8"/>
      <c r="AB13" s="8"/>
      <c r="AC13" s="8"/>
      <c r="AD13" s="8"/>
      <c r="AE13" s="8"/>
      <c r="AF13" s="8"/>
      <c r="AG13" s="9"/>
      <c r="AH13" s="9"/>
      <c r="AI13" s="8"/>
      <c r="AJ13" s="8"/>
      <c r="AK13" s="8"/>
      <c r="AL13" s="9"/>
      <c r="AM13" s="9"/>
      <c r="AN13" s="8"/>
      <c r="AO13" s="8"/>
      <c r="AP13" s="9"/>
      <c r="AQ13" s="8"/>
      <c r="AR13" s="9"/>
      <c r="AS13" s="8"/>
      <c r="AT13" s="8"/>
      <c r="AU13" s="8"/>
      <c r="AV13" s="8"/>
      <c r="AW13" s="9"/>
      <c r="AX13" s="8"/>
      <c r="AY13" s="8"/>
      <c r="AZ13" s="8"/>
      <c r="BA13" s="8"/>
      <c r="BB13" s="8"/>
      <c r="BC13" s="8"/>
      <c r="BD13" s="8"/>
      <c r="BE13" s="47"/>
      <c r="BF13" s="9"/>
      <c r="BG13" s="8"/>
      <c r="BH13" s="8"/>
      <c r="BI13" s="8"/>
      <c r="BJ13" s="8"/>
      <c r="BK13" s="8"/>
      <c r="BL13" s="8"/>
      <c r="BM13" s="8"/>
      <c r="BN13" s="11"/>
      <c r="BO13" s="9"/>
      <c r="BP13" s="9"/>
      <c r="BQ13" s="8"/>
      <c r="BR13" s="8"/>
      <c r="BS13" s="8"/>
      <c r="BT13" s="8"/>
      <c r="BU13" s="8"/>
      <c r="BV13" s="9"/>
      <c r="BW13" s="8"/>
      <c r="BX13" s="8"/>
      <c r="BY13" s="8"/>
      <c r="BZ13" s="9"/>
      <c r="CA13" s="35"/>
      <c r="CB13" s="8"/>
      <c r="CC13" s="8"/>
      <c r="CD13" s="9"/>
      <c r="CE13" s="8"/>
      <c r="CF13" s="8"/>
      <c r="CG13" s="21"/>
      <c r="CH13" s="9"/>
      <c r="CI13" s="8"/>
      <c r="CJ13" s="8"/>
      <c r="CK13" s="9"/>
      <c r="CL13" s="8"/>
      <c r="CM13" s="8"/>
      <c r="CN13" s="9"/>
      <c r="CO13" s="9"/>
      <c r="CP13" s="10"/>
      <c r="CQ13" s="10"/>
      <c r="CR13" s="10"/>
      <c r="CS13" s="10"/>
      <c r="CT13" s="10"/>
      <c r="CU13" s="23"/>
      <c r="CV13" s="8"/>
      <c r="CW13" s="8"/>
      <c r="CX13" s="10"/>
      <c r="CY13" s="10"/>
      <c r="CZ13" s="10"/>
      <c r="DA13" s="10"/>
      <c r="DB13" s="10"/>
      <c r="DC13" s="10"/>
      <c r="DD13" s="10"/>
      <c r="DE13" s="8"/>
      <c r="DF13" s="8"/>
      <c r="DG13" s="10"/>
      <c r="DH13" s="10"/>
      <c r="DI13" s="10"/>
      <c r="DJ13" s="10"/>
      <c r="DK13" s="8"/>
      <c r="DL13" s="23"/>
      <c r="DM13" s="10"/>
      <c r="DN13" s="10"/>
      <c r="DO13" s="10"/>
      <c r="DP13" s="10"/>
      <c r="DQ13" s="10"/>
      <c r="DR13" s="10"/>
      <c r="DS13" s="10"/>
      <c r="DT13" s="8"/>
      <c r="DU13" s="8"/>
      <c r="DV13" s="8"/>
      <c r="DW13" s="8"/>
      <c r="DX13" s="8"/>
      <c r="DY13" s="8"/>
    </row>
    <row r="14" spans="1:129" ht="15" thickBot="1" x14ac:dyDescent="0.35">
      <c r="A14" s="8"/>
      <c r="B14" s="8"/>
      <c r="C14" s="8"/>
      <c r="D14" s="8"/>
      <c r="E14" s="8"/>
      <c r="F14" s="8"/>
      <c r="G14" s="8"/>
      <c r="H14" s="9"/>
      <c r="I14" s="8"/>
      <c r="J14" s="8"/>
      <c r="K14" s="8"/>
      <c r="L14" s="9"/>
      <c r="M14" s="8"/>
      <c r="N14" s="8"/>
      <c r="O14" s="9"/>
      <c r="P14" s="8"/>
      <c r="Q14" s="8"/>
      <c r="R14" s="9"/>
      <c r="S14" s="8"/>
      <c r="T14" s="8"/>
      <c r="U14" s="9"/>
      <c r="V14" s="9"/>
      <c r="W14" s="8"/>
      <c r="X14" s="8"/>
      <c r="Y14" s="8"/>
      <c r="Z14" s="9"/>
      <c r="AA14" s="8"/>
      <c r="AB14" s="8"/>
      <c r="AC14" s="8"/>
      <c r="AD14" s="8"/>
      <c r="AE14" s="8"/>
      <c r="AF14" s="8"/>
      <c r="AG14" s="35"/>
      <c r="AH14" s="9"/>
      <c r="AI14" s="8"/>
      <c r="AJ14" s="8"/>
      <c r="AK14" s="8"/>
      <c r="AL14" s="9"/>
      <c r="AM14" s="9"/>
      <c r="AN14" s="8"/>
      <c r="AO14" s="8"/>
      <c r="AP14" s="9"/>
      <c r="AQ14" s="8"/>
      <c r="AR14" s="9"/>
      <c r="AS14" s="8"/>
      <c r="AT14" s="8"/>
      <c r="AU14" s="8"/>
      <c r="AV14" s="8"/>
      <c r="AW14" s="9"/>
      <c r="AX14" s="8"/>
      <c r="AY14" s="8"/>
      <c r="AZ14" s="9"/>
      <c r="BA14" s="8"/>
      <c r="BB14" s="8"/>
      <c r="BC14" s="8"/>
      <c r="BD14" s="8"/>
      <c r="BE14" s="9"/>
      <c r="BF14" s="9"/>
      <c r="BG14" s="8"/>
      <c r="BH14" s="8"/>
      <c r="BI14" s="8"/>
      <c r="BJ14" s="8"/>
      <c r="BK14" s="8"/>
      <c r="BL14" s="8"/>
      <c r="BM14" s="8"/>
      <c r="BN14" s="8"/>
      <c r="BO14" s="12"/>
      <c r="BP14" s="9"/>
      <c r="BQ14" s="8"/>
      <c r="BR14" s="8"/>
      <c r="BS14" s="8"/>
      <c r="BT14" s="8"/>
      <c r="BU14" s="21"/>
      <c r="BV14" s="9"/>
      <c r="BW14" s="21"/>
      <c r="BX14" s="8"/>
      <c r="BY14" s="8"/>
      <c r="BZ14" s="9"/>
      <c r="CA14" s="9"/>
      <c r="CB14" s="8"/>
      <c r="CC14" s="8"/>
      <c r="CD14" s="9"/>
      <c r="CE14" s="8"/>
      <c r="CF14" s="8"/>
      <c r="CG14" s="21"/>
      <c r="CH14" s="9"/>
      <c r="CI14" s="8"/>
      <c r="CJ14" s="8"/>
      <c r="CK14" s="9"/>
      <c r="CL14" s="8"/>
      <c r="CM14" s="8"/>
      <c r="CN14" s="35"/>
      <c r="CO14" s="9"/>
      <c r="CP14" s="8"/>
      <c r="CQ14" s="8"/>
      <c r="CR14" s="8"/>
      <c r="CS14" s="8"/>
      <c r="CT14" s="8"/>
      <c r="CU14" s="21"/>
      <c r="CV14" s="9"/>
      <c r="CW14" s="35"/>
      <c r="CX14" s="8"/>
      <c r="CY14" s="8"/>
      <c r="CZ14" s="10"/>
      <c r="DA14" s="10"/>
      <c r="DB14" s="10"/>
      <c r="DC14" s="10"/>
      <c r="DD14" s="10"/>
      <c r="DE14" s="8"/>
      <c r="DF14" s="8"/>
      <c r="DG14" s="8"/>
      <c r="DH14" s="8"/>
      <c r="DI14" s="18"/>
      <c r="DJ14" s="8"/>
      <c r="DK14" s="8"/>
      <c r="DL14" s="24"/>
      <c r="DM14" s="1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</row>
    <row r="15" spans="1:129" ht="15.6" x14ac:dyDescent="0.3">
      <c r="A15" s="8"/>
      <c r="B15" s="8"/>
      <c r="C15" s="10"/>
      <c r="D15" s="10"/>
      <c r="E15" s="10"/>
      <c r="F15" s="10"/>
      <c r="G15" s="10"/>
      <c r="H15" s="9"/>
      <c r="I15" s="10"/>
      <c r="J15" s="10"/>
      <c r="K15" s="10"/>
      <c r="L15" s="9"/>
      <c r="M15" s="10"/>
      <c r="N15" s="10"/>
      <c r="O15" s="9"/>
      <c r="P15" s="10"/>
      <c r="Q15" s="10"/>
      <c r="R15" s="9"/>
      <c r="S15" s="10"/>
      <c r="T15" s="10"/>
      <c r="U15" s="9"/>
      <c r="V15" s="26"/>
      <c r="W15" s="10"/>
      <c r="X15" s="10"/>
      <c r="Y15" s="10"/>
      <c r="Z15" s="9"/>
      <c r="AA15" s="10"/>
      <c r="AB15" s="10"/>
      <c r="AC15" s="10"/>
      <c r="AD15" s="10"/>
      <c r="AE15" s="10"/>
      <c r="AF15" s="10"/>
      <c r="AG15" s="9"/>
      <c r="AH15" s="9"/>
      <c r="AI15" s="10"/>
      <c r="AJ15" s="10"/>
      <c r="AK15" s="10"/>
      <c r="AL15" s="9"/>
      <c r="AM15" s="9"/>
      <c r="AN15" s="10"/>
      <c r="AO15" s="10"/>
      <c r="AP15" s="9"/>
      <c r="AQ15" s="10"/>
      <c r="AR15" s="9"/>
      <c r="AS15" s="10"/>
      <c r="AT15" s="10"/>
      <c r="AU15" s="10"/>
      <c r="AV15" s="10"/>
      <c r="AW15" s="9"/>
      <c r="AX15" s="8"/>
      <c r="AY15" s="8"/>
      <c r="AZ15" s="9"/>
      <c r="BA15" s="8"/>
      <c r="BB15" s="8"/>
      <c r="BC15" s="8"/>
      <c r="BD15" s="8"/>
      <c r="BE15" s="9"/>
      <c r="BF15" s="9"/>
      <c r="BG15" s="8"/>
      <c r="BH15" s="8"/>
      <c r="BI15" s="8"/>
      <c r="BJ15" s="8"/>
      <c r="BK15" s="8"/>
      <c r="BL15" s="8"/>
      <c r="BM15" s="8"/>
      <c r="BN15" s="8"/>
      <c r="BO15" s="12"/>
      <c r="BP15" s="12"/>
      <c r="BQ15" s="12"/>
      <c r="BR15" s="8"/>
      <c r="BS15" s="8"/>
      <c r="BT15" s="8"/>
      <c r="BU15" s="21"/>
      <c r="BV15" s="9"/>
      <c r="BW15" s="8"/>
      <c r="BX15" s="8"/>
      <c r="BY15" s="8"/>
      <c r="BZ15" s="9"/>
      <c r="CA15" s="9"/>
      <c r="CB15" s="8"/>
      <c r="CC15" s="8"/>
      <c r="CD15" s="9"/>
      <c r="CE15" s="8"/>
      <c r="CF15" s="8"/>
      <c r="CG15" s="21"/>
      <c r="CH15" s="9"/>
      <c r="CI15" s="8"/>
      <c r="CJ15" s="8"/>
      <c r="CK15" s="9"/>
      <c r="CL15" s="8"/>
      <c r="CM15" s="8"/>
      <c r="CN15" s="9"/>
      <c r="CO15" s="35"/>
      <c r="CP15" s="8"/>
      <c r="CQ15" s="8"/>
      <c r="CR15" s="8"/>
      <c r="CS15" s="8"/>
      <c r="CT15" s="8"/>
      <c r="CU15" s="21"/>
      <c r="CV15" s="9"/>
      <c r="CW15" s="9"/>
      <c r="CX15" s="8"/>
      <c r="CY15" s="8"/>
      <c r="CZ15" s="8"/>
      <c r="DA15" s="8"/>
      <c r="DB15" s="8"/>
      <c r="DC15" s="8"/>
      <c r="DD15" s="13"/>
      <c r="DE15" s="8"/>
      <c r="DF15" s="8"/>
      <c r="DG15" s="19"/>
      <c r="DH15" s="19"/>
      <c r="DI15" s="10"/>
      <c r="DJ15" s="19"/>
      <c r="DK15" s="8"/>
      <c r="DL15" s="23"/>
      <c r="DM15" s="10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</row>
    <row r="16" spans="1:129" ht="15" thickBot="1" x14ac:dyDescent="0.35">
      <c r="A16" s="8"/>
      <c r="B16" s="18"/>
      <c r="C16" s="8"/>
      <c r="D16" s="18"/>
      <c r="E16" s="18"/>
      <c r="F16" s="18"/>
      <c r="G16" s="18"/>
      <c r="H16" s="8"/>
      <c r="I16" s="18"/>
      <c r="J16" s="18"/>
      <c r="K16" s="18"/>
      <c r="L16" s="8"/>
      <c r="M16" s="18"/>
      <c r="N16" s="18"/>
      <c r="O16" s="8"/>
      <c r="P16" s="18"/>
      <c r="Q16" s="18"/>
      <c r="R16" s="8"/>
      <c r="S16" s="18"/>
      <c r="T16" s="18"/>
      <c r="U16" s="8"/>
      <c r="V16" s="8"/>
      <c r="W16" s="70"/>
      <c r="X16" s="70"/>
      <c r="Y16" s="18"/>
      <c r="Z16" s="8"/>
      <c r="AA16" s="18"/>
      <c r="AB16" s="18"/>
      <c r="AC16" s="8"/>
      <c r="AD16" s="18"/>
      <c r="AE16" s="18"/>
      <c r="AF16" s="18"/>
      <c r="AG16" s="8"/>
      <c r="AH16" s="8"/>
      <c r="AI16" s="18"/>
      <c r="AJ16" s="18"/>
      <c r="AK16" s="18"/>
      <c r="AL16" s="8"/>
      <c r="AM16" s="8"/>
      <c r="AN16" s="18"/>
      <c r="AO16" s="18"/>
      <c r="AP16" s="8"/>
      <c r="AQ16" s="18"/>
      <c r="AR16" s="8"/>
      <c r="AS16" s="18"/>
      <c r="AT16" s="8"/>
      <c r="AU16" s="18"/>
      <c r="AV16" s="18"/>
      <c r="AW16" s="11"/>
      <c r="AX16" s="10"/>
      <c r="AY16" s="10"/>
      <c r="AZ16" s="9"/>
      <c r="BA16" s="10"/>
      <c r="BB16" s="10"/>
      <c r="BC16" s="10"/>
      <c r="BD16" s="14"/>
      <c r="BE16" s="9"/>
      <c r="BF16" s="9"/>
      <c r="BG16" s="10"/>
      <c r="BH16" s="10"/>
      <c r="BI16" s="10"/>
      <c r="BJ16" s="10"/>
      <c r="BK16" s="10"/>
      <c r="BL16" s="8"/>
      <c r="BM16" s="8"/>
      <c r="BN16" s="8"/>
      <c r="BO16" s="12"/>
      <c r="BP16" s="12"/>
      <c r="BQ16" s="12"/>
      <c r="BR16" s="8"/>
      <c r="BS16" s="8"/>
      <c r="BT16" s="8"/>
      <c r="BU16" s="21"/>
      <c r="BV16" s="8"/>
      <c r="BW16" s="21"/>
      <c r="BX16" s="8"/>
      <c r="BY16" s="8"/>
      <c r="BZ16" s="9"/>
      <c r="CA16" s="8"/>
      <c r="CB16" s="8"/>
      <c r="CC16" s="8"/>
      <c r="CD16" s="8"/>
      <c r="CE16" s="8"/>
      <c r="CF16" s="8"/>
      <c r="CG16" s="21"/>
      <c r="CH16" s="8"/>
      <c r="CI16" s="8"/>
      <c r="CJ16" s="8"/>
      <c r="CK16" s="8"/>
      <c r="CL16" s="8"/>
      <c r="CM16" s="8"/>
      <c r="CN16" s="9"/>
      <c r="CO16" s="9"/>
      <c r="CP16" s="8"/>
      <c r="CQ16" s="8"/>
      <c r="CR16" s="8"/>
      <c r="CS16" s="8"/>
      <c r="CT16" s="8"/>
      <c r="CU16" s="21"/>
      <c r="CV16" s="9"/>
      <c r="CW16" s="9"/>
      <c r="CX16" s="8"/>
      <c r="CY16" s="8"/>
      <c r="CZ16" s="8"/>
      <c r="DA16" s="8"/>
      <c r="DB16" s="8"/>
      <c r="DC16" s="8"/>
      <c r="DD16" s="8"/>
      <c r="DE16" s="9"/>
      <c r="DF16" s="9"/>
      <c r="DG16" s="8"/>
      <c r="DH16" s="8"/>
      <c r="DI16" s="8"/>
      <c r="DJ16" s="8"/>
      <c r="DK16" s="9"/>
      <c r="DL16" s="21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</row>
    <row r="17" spans="1:129" x14ac:dyDescent="0.3">
      <c r="A17" s="8"/>
      <c r="B17" s="10"/>
      <c r="C17" s="19"/>
      <c r="D17" s="10"/>
      <c r="E17" s="10"/>
      <c r="F17" s="10"/>
      <c r="G17" s="10"/>
      <c r="H17" s="8"/>
      <c r="I17" s="10"/>
      <c r="J17" s="10"/>
      <c r="K17" s="10"/>
      <c r="L17" s="8"/>
      <c r="M17" s="10"/>
      <c r="N17" s="10"/>
      <c r="O17" s="8"/>
      <c r="P17" s="10"/>
      <c r="Q17" s="10"/>
      <c r="R17" s="8"/>
      <c r="S17" s="10"/>
      <c r="T17" s="10"/>
      <c r="U17" s="8"/>
      <c r="V17" s="8"/>
      <c r="W17" s="44"/>
      <c r="X17" s="44"/>
      <c r="Y17" s="10"/>
      <c r="Z17" s="8"/>
      <c r="AA17" s="10"/>
      <c r="AB17" s="10"/>
      <c r="AC17" s="8"/>
      <c r="AD17" s="10"/>
      <c r="AE17" s="10"/>
      <c r="AF17" s="10"/>
      <c r="AG17" s="8"/>
      <c r="AH17" s="8"/>
      <c r="AI17" s="10"/>
      <c r="AJ17" s="10"/>
      <c r="AK17" s="10"/>
      <c r="AL17" s="8"/>
      <c r="AM17" s="8"/>
      <c r="AN17" s="10"/>
      <c r="AO17" s="10"/>
      <c r="AP17" s="8"/>
      <c r="AQ17" s="10"/>
      <c r="AR17" s="8"/>
      <c r="AS17" s="10"/>
      <c r="AT17" s="8"/>
      <c r="AU17" s="10"/>
      <c r="AV17" s="10"/>
      <c r="AW17" s="8"/>
      <c r="AX17" s="8"/>
      <c r="AY17" s="8"/>
      <c r="AZ17" s="8"/>
      <c r="BA17" s="8"/>
      <c r="BB17" s="8"/>
      <c r="BC17" s="8"/>
      <c r="BD17" s="21"/>
      <c r="BE17" s="8"/>
      <c r="BF17" s="8"/>
      <c r="BG17" s="8"/>
      <c r="BH17" s="8"/>
      <c r="BI17" s="8"/>
      <c r="BJ17" s="8"/>
      <c r="BK17" s="8"/>
      <c r="BL17" s="10"/>
      <c r="BM17" s="10"/>
      <c r="BN17" s="10"/>
      <c r="BO17" s="12"/>
      <c r="BP17" s="12"/>
      <c r="BQ17" s="15"/>
      <c r="BR17" s="8"/>
      <c r="BS17" s="8"/>
      <c r="BT17" s="8"/>
      <c r="BU17" s="21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21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9"/>
      <c r="CW17" s="9"/>
      <c r="CX17" s="8"/>
      <c r="CY17" s="8"/>
      <c r="CZ17" s="8"/>
      <c r="DA17" s="8"/>
      <c r="DB17" s="8"/>
      <c r="DC17" s="8"/>
      <c r="DD17" s="8"/>
      <c r="DE17" s="9"/>
      <c r="DF17" s="9"/>
      <c r="DG17" s="8"/>
      <c r="DH17" s="8"/>
      <c r="DI17" s="8"/>
      <c r="DJ17" s="8"/>
      <c r="DK17" s="9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</row>
    <row r="18" spans="1:129" ht="18" x14ac:dyDescent="0.35">
      <c r="A18" s="8"/>
      <c r="B18" s="21"/>
      <c r="C18" s="9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5"/>
      <c r="T18" s="95"/>
      <c r="U18" s="77"/>
      <c r="V18" s="77"/>
      <c r="W18" s="21"/>
      <c r="X18" s="21"/>
      <c r="Y18" s="104"/>
      <c r="Z18" s="8"/>
      <c r="AA18" s="8"/>
      <c r="AB18" s="8"/>
      <c r="AC18" s="8"/>
      <c r="AD18" s="8"/>
      <c r="AE18" s="8"/>
      <c r="AF18" s="8"/>
      <c r="AG18" s="8"/>
      <c r="AH18" s="8"/>
      <c r="AI18" s="37"/>
      <c r="AJ18" s="37"/>
      <c r="AK18" s="43"/>
      <c r="AL18" s="8"/>
      <c r="AM18" s="8"/>
      <c r="AN18" s="8"/>
      <c r="AO18" s="8"/>
      <c r="AP18" s="8"/>
      <c r="AQ18" s="8"/>
      <c r="AR18" s="8"/>
      <c r="AS18" s="8"/>
      <c r="AT18" s="8"/>
      <c r="AU18" s="21"/>
      <c r="AV18" s="21"/>
      <c r="AW18" s="8"/>
      <c r="AX18" s="21"/>
      <c r="AY18" s="21"/>
      <c r="AZ18" s="21"/>
      <c r="BA18" s="8"/>
      <c r="BB18" s="8"/>
      <c r="BC18" s="8"/>
      <c r="BD18" s="21"/>
      <c r="BE18" s="8"/>
      <c r="BF18" s="8"/>
      <c r="BG18" s="21"/>
      <c r="BH18" s="21"/>
      <c r="BI18" s="21"/>
      <c r="BJ18" s="21"/>
      <c r="BK18" s="8"/>
      <c r="BL18" s="37"/>
      <c r="BM18" s="37"/>
      <c r="BN18" s="43"/>
      <c r="BO18" s="8"/>
      <c r="BP18" s="8"/>
      <c r="BQ18" s="8"/>
      <c r="BR18" s="8"/>
      <c r="BS18" s="8"/>
      <c r="BT18" s="8"/>
      <c r="BU18" s="21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9"/>
      <c r="CW18" s="9"/>
      <c r="CX18" s="8"/>
      <c r="CY18" s="8"/>
      <c r="CZ18" s="8"/>
      <c r="DA18" s="8"/>
      <c r="DB18" s="8"/>
      <c r="DC18" s="8"/>
      <c r="DD18" s="8"/>
      <c r="DE18" s="9"/>
      <c r="DF18" s="9"/>
      <c r="DG18" s="43"/>
      <c r="DH18" s="8"/>
      <c r="DI18" s="21"/>
      <c r="DJ18" s="8"/>
      <c r="DK18" s="9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</row>
    <row r="19" spans="1:129" ht="15" thickBot="1" x14ac:dyDescent="0.35">
      <c r="A19" s="8"/>
      <c r="B19" s="8"/>
      <c r="C19" s="8"/>
      <c r="D19" s="17"/>
      <c r="E19" s="8"/>
      <c r="F19" s="8"/>
      <c r="G19" s="17"/>
      <c r="H19" s="8"/>
      <c r="I19" s="17"/>
      <c r="J19" s="17"/>
      <c r="K19" s="17"/>
      <c r="L19" s="8"/>
      <c r="M19" s="17"/>
      <c r="N19" s="17"/>
      <c r="O19" s="8"/>
      <c r="P19" s="17"/>
      <c r="Q19" s="17"/>
      <c r="R19" s="8"/>
      <c r="S19" s="17"/>
      <c r="T19" s="17"/>
      <c r="U19" s="8"/>
      <c r="V19" s="8"/>
      <c r="W19" s="17"/>
      <c r="X19" s="17"/>
      <c r="Y19" s="25"/>
      <c r="Z19" s="8"/>
      <c r="AA19" s="17"/>
      <c r="AB19" s="17"/>
      <c r="AC19" s="8"/>
      <c r="AD19" s="17"/>
      <c r="AE19" s="8"/>
      <c r="AF19" s="17"/>
      <c r="AG19" s="8"/>
      <c r="AH19" s="8"/>
      <c r="AI19" s="17"/>
      <c r="AJ19" s="17"/>
      <c r="AK19" s="72"/>
      <c r="AL19" s="8"/>
      <c r="AM19" s="8"/>
      <c r="AN19" s="17"/>
      <c r="AO19" s="17"/>
      <c r="AP19" s="8"/>
      <c r="AQ19" s="17"/>
      <c r="AR19" s="8"/>
      <c r="AS19" s="17"/>
      <c r="AT19" s="8"/>
      <c r="AU19" s="8"/>
      <c r="AV19" s="21"/>
      <c r="AW19" s="8"/>
      <c r="AX19" s="10"/>
      <c r="AY19" s="10"/>
      <c r="AZ19" s="8"/>
      <c r="BA19" s="10"/>
      <c r="BB19" s="10"/>
      <c r="BC19" s="10"/>
      <c r="BD19" s="10"/>
      <c r="BE19" s="8"/>
      <c r="BF19" s="8"/>
      <c r="BG19" s="10"/>
      <c r="BH19" s="10"/>
      <c r="BI19" s="10"/>
      <c r="BJ19" s="23"/>
      <c r="BK19" s="8"/>
      <c r="BL19" s="10"/>
      <c r="BM19" s="10"/>
      <c r="BN19" s="44"/>
      <c r="BO19" s="8"/>
      <c r="BP19" s="8"/>
      <c r="BQ19" s="10"/>
      <c r="BR19" s="8"/>
      <c r="BS19" s="21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9"/>
      <c r="CW19" s="9"/>
      <c r="CX19" s="8"/>
      <c r="CY19" s="8"/>
      <c r="CZ19" s="8"/>
      <c r="DA19" s="8"/>
      <c r="DB19" s="8"/>
      <c r="DC19" s="8"/>
      <c r="DD19" s="8"/>
      <c r="DE19" s="9"/>
      <c r="DF19" s="9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</row>
    <row r="20" spans="1:129" ht="18" x14ac:dyDescent="0.35">
      <c r="A20" s="8"/>
      <c r="B20" s="22"/>
      <c r="C20" s="96"/>
      <c r="D20" s="8"/>
      <c r="E20" s="16"/>
      <c r="F20" s="1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5"/>
      <c r="T20" s="8"/>
      <c r="U20" s="77"/>
      <c r="V20" s="77"/>
      <c r="W20" s="21"/>
      <c r="X20" s="21"/>
      <c r="Y20" s="21"/>
      <c r="Z20" s="8"/>
      <c r="AA20" s="8"/>
      <c r="AB20" s="95"/>
      <c r="AC20" s="8"/>
      <c r="AD20" s="68"/>
      <c r="AE20" s="68"/>
      <c r="AF20" s="37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22"/>
      <c r="AV20" s="22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39"/>
      <c r="BK20" s="8"/>
      <c r="BL20" s="8"/>
      <c r="BM20" s="8"/>
      <c r="BN20" s="8"/>
      <c r="BO20" s="21"/>
      <c r="BP20" s="8"/>
      <c r="BQ20" s="8"/>
      <c r="BR20" s="8"/>
      <c r="BS20" s="21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9"/>
      <c r="CW20" s="9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</row>
    <row r="21" spans="1:129" x14ac:dyDescent="0.3">
      <c r="A21" s="8"/>
      <c r="B21" s="23"/>
      <c r="C21" s="10"/>
      <c r="D21" s="10"/>
      <c r="E21" s="8"/>
      <c r="F21" s="10"/>
      <c r="G21" s="10"/>
      <c r="H21" s="8"/>
      <c r="I21" s="10"/>
      <c r="J21" s="10"/>
      <c r="K21" s="10"/>
      <c r="L21" s="10"/>
      <c r="M21" s="10"/>
      <c r="N21" s="10"/>
      <c r="O21" s="8"/>
      <c r="P21" s="10"/>
      <c r="Q21" s="10"/>
      <c r="R21" s="8"/>
      <c r="S21" s="10"/>
      <c r="T21" s="10"/>
      <c r="U21" s="8"/>
      <c r="V21" s="8"/>
      <c r="W21" s="10"/>
      <c r="X21" s="10"/>
      <c r="Y21" s="10"/>
      <c r="Z21" s="8"/>
      <c r="AA21" s="10"/>
      <c r="AB21" s="10"/>
      <c r="AC21" s="8"/>
      <c r="AD21" s="10"/>
      <c r="AE21" s="8"/>
      <c r="AF21" s="23"/>
      <c r="AG21" s="10"/>
      <c r="AH21" s="8"/>
      <c r="AI21" s="10"/>
      <c r="AJ21" s="10"/>
      <c r="AK21" s="10"/>
      <c r="AL21" s="8"/>
      <c r="AM21" s="8"/>
      <c r="AN21" s="10"/>
      <c r="AO21" s="10"/>
      <c r="AP21" s="8"/>
      <c r="AQ21" s="10"/>
      <c r="AR21" s="8"/>
      <c r="AS21" s="10"/>
      <c r="AT21" s="8"/>
      <c r="AU21" s="10"/>
      <c r="AV21" s="23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21"/>
      <c r="BH21" s="21"/>
      <c r="BI21" s="21"/>
      <c r="BJ21" s="21"/>
      <c r="BK21" s="8"/>
      <c r="BL21" s="10"/>
      <c r="BM21" s="10"/>
      <c r="BN21" s="10"/>
      <c r="BO21" s="23"/>
      <c r="BP21" s="10"/>
      <c r="BQ21" s="10"/>
      <c r="BR21" s="8"/>
      <c r="BS21" s="8"/>
      <c r="BT21" s="8"/>
      <c r="BU21" s="8"/>
      <c r="BV21" s="8"/>
      <c r="BW21" s="43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9"/>
      <c r="CW21" s="9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</row>
    <row r="22" spans="1:129" ht="18.600000000000001" thickBot="1" x14ac:dyDescent="0.4">
      <c r="A22" s="8"/>
      <c r="B22" s="24"/>
      <c r="C22" s="18"/>
      <c r="D22" s="18"/>
      <c r="E22" s="8"/>
      <c r="F22" s="18"/>
      <c r="G22" s="18"/>
      <c r="H22" s="8"/>
      <c r="I22" s="18"/>
      <c r="J22" s="18"/>
      <c r="K22" s="18"/>
      <c r="L22" s="18"/>
      <c r="M22" s="18"/>
      <c r="N22" s="18"/>
      <c r="O22" s="8"/>
      <c r="P22" s="18"/>
      <c r="Q22" s="18"/>
      <c r="R22" s="8"/>
      <c r="S22" s="18"/>
      <c r="T22" s="100"/>
      <c r="U22" s="8"/>
      <c r="V22" s="8"/>
      <c r="W22" s="18"/>
      <c r="X22" s="18"/>
      <c r="Y22" s="24"/>
      <c r="Z22" s="8"/>
      <c r="AA22" s="18"/>
      <c r="AB22" s="18"/>
      <c r="AC22" s="8"/>
      <c r="AD22" s="18"/>
      <c r="AE22" s="18"/>
      <c r="AF22" s="18"/>
      <c r="AG22" s="18"/>
      <c r="AH22" s="8"/>
      <c r="AI22" s="18"/>
      <c r="AJ22" s="18"/>
      <c r="AK22" s="18"/>
      <c r="AL22" s="8"/>
      <c r="AM22" s="8"/>
      <c r="AN22" s="18"/>
      <c r="AO22" s="18"/>
      <c r="AP22" s="8"/>
      <c r="AQ22" s="18"/>
      <c r="AR22" s="8"/>
      <c r="AS22" s="8"/>
      <c r="AT22" s="8"/>
      <c r="AU22" s="18"/>
      <c r="AV22" s="24"/>
      <c r="AW22" s="8"/>
      <c r="AX22" s="10"/>
      <c r="AY22" s="10"/>
      <c r="AZ22" s="8"/>
      <c r="BA22" s="10"/>
      <c r="BB22" s="10"/>
      <c r="BC22" s="8"/>
      <c r="BD22" s="8"/>
      <c r="BE22" s="8"/>
      <c r="BF22" s="8"/>
      <c r="BG22" s="10"/>
      <c r="BH22" s="10"/>
      <c r="BI22" s="10"/>
      <c r="BJ22" s="23"/>
      <c r="BK22" s="9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41"/>
      <c r="CB22" s="41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9"/>
      <c r="CW22" s="9"/>
      <c r="CX22" s="41"/>
      <c r="CY22" s="43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</row>
    <row r="23" spans="1:129" ht="18" x14ac:dyDescent="0.35">
      <c r="A23" s="8"/>
      <c r="B23" s="23"/>
      <c r="C23" s="10"/>
      <c r="D23" s="10"/>
      <c r="E23" s="8"/>
      <c r="F23" s="10"/>
      <c r="G23" s="10"/>
      <c r="H23" s="8"/>
      <c r="I23" s="10"/>
      <c r="J23" s="10"/>
      <c r="K23" s="10"/>
      <c r="L23" s="10"/>
      <c r="M23" s="10"/>
      <c r="N23" s="10"/>
      <c r="O23" s="8"/>
      <c r="P23" s="10"/>
      <c r="Q23" s="10"/>
      <c r="R23" s="8"/>
      <c r="S23" s="10"/>
      <c r="T23" s="101"/>
      <c r="U23" s="8"/>
      <c r="V23" s="8"/>
      <c r="W23" s="10"/>
      <c r="X23" s="10"/>
      <c r="Y23" s="23"/>
      <c r="Z23" s="10"/>
      <c r="AA23" s="10"/>
      <c r="AB23" s="10"/>
      <c r="AC23" s="8"/>
      <c r="AD23" s="10"/>
      <c r="AE23" s="10"/>
      <c r="AF23" s="10"/>
      <c r="AG23" s="10"/>
      <c r="AH23" s="8"/>
      <c r="AI23" s="10"/>
      <c r="AJ23" s="10"/>
      <c r="AK23" s="10"/>
      <c r="AL23" s="10"/>
      <c r="AM23" s="10"/>
      <c r="AN23" s="10"/>
      <c r="AO23" s="10"/>
      <c r="AP23" s="8"/>
      <c r="AQ23" s="10"/>
      <c r="AR23" s="8"/>
      <c r="AS23" s="19"/>
      <c r="AT23" s="8"/>
      <c r="AU23" s="10"/>
      <c r="AV23" s="23"/>
      <c r="AW23" s="11"/>
      <c r="AX23" s="8"/>
      <c r="AY23" s="8"/>
      <c r="AZ23" s="9"/>
      <c r="BA23" s="8"/>
      <c r="BB23" s="8"/>
      <c r="BC23" s="211"/>
      <c r="BD23" s="212"/>
      <c r="BE23" s="214"/>
      <c r="BF23" s="215"/>
      <c r="BG23" s="8"/>
      <c r="BH23" s="8"/>
      <c r="BI23" s="21"/>
      <c r="BJ23" s="21"/>
      <c r="BK23" s="35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9"/>
      <c r="CW23" s="9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</row>
    <row r="24" spans="1:129" ht="11.4" customHeight="1" x14ac:dyDescent="0.3">
      <c r="A24" s="8"/>
      <c r="B24" s="21"/>
      <c r="C24" s="8"/>
      <c r="D24" s="8"/>
      <c r="E24" s="9"/>
      <c r="F24" s="8"/>
      <c r="G24" s="8"/>
      <c r="H24" s="9"/>
      <c r="I24" s="8"/>
      <c r="J24" s="8"/>
      <c r="K24" s="8"/>
      <c r="L24" s="8"/>
      <c r="M24" s="8"/>
      <c r="N24" s="8"/>
      <c r="O24" s="9"/>
      <c r="P24" s="8"/>
      <c r="Q24" s="8"/>
      <c r="R24" s="9"/>
      <c r="S24" s="8"/>
      <c r="T24" s="8"/>
      <c r="U24" s="26"/>
      <c r="V24" s="9"/>
      <c r="W24" s="8"/>
      <c r="X24" s="8"/>
      <c r="Y24" s="21"/>
      <c r="Z24" s="8"/>
      <c r="AA24" s="8"/>
      <c r="AB24" s="8"/>
      <c r="AC24" s="9"/>
      <c r="AD24" s="8"/>
      <c r="AE24" s="8"/>
      <c r="AF24" s="8"/>
      <c r="AG24" s="8"/>
      <c r="AH24" s="9"/>
      <c r="AI24" s="8"/>
      <c r="AJ24" s="8"/>
      <c r="AK24" s="8"/>
      <c r="AL24" s="8"/>
      <c r="AM24" s="8"/>
      <c r="AN24" s="8"/>
      <c r="AO24" s="8"/>
      <c r="AP24" s="9"/>
      <c r="AQ24" s="8"/>
      <c r="AR24" s="9"/>
      <c r="AS24" s="8"/>
      <c r="AT24" s="9"/>
      <c r="AU24" s="8"/>
      <c r="AV24" s="21"/>
      <c r="AW24" s="9"/>
      <c r="AX24" s="8"/>
      <c r="AY24" s="8"/>
      <c r="AZ24" s="9"/>
      <c r="BA24" s="8"/>
      <c r="BB24" s="8"/>
      <c r="BC24" s="211"/>
      <c r="BD24" s="212"/>
      <c r="BE24" s="214"/>
      <c r="BF24" s="215"/>
      <c r="BG24" s="8"/>
      <c r="BH24" s="8"/>
      <c r="BI24" s="8"/>
      <c r="BJ24" s="21"/>
      <c r="BK24" s="9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9"/>
      <c r="CW24" s="9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</row>
    <row r="25" spans="1:129" ht="9" customHeight="1" x14ac:dyDescent="0.3">
      <c r="A25" s="8"/>
      <c r="B25" s="21"/>
      <c r="C25" s="8"/>
      <c r="D25" s="8"/>
      <c r="E25" s="9"/>
      <c r="F25" s="8"/>
      <c r="G25" s="8"/>
      <c r="H25" s="9"/>
      <c r="I25" s="8"/>
      <c r="J25" s="8"/>
      <c r="K25" s="8"/>
      <c r="L25" s="8"/>
      <c r="M25" s="8"/>
      <c r="N25" s="8"/>
      <c r="O25" s="9"/>
      <c r="P25" s="8"/>
      <c r="Q25" s="8"/>
      <c r="R25" s="9"/>
      <c r="S25" s="8"/>
      <c r="T25" s="8"/>
      <c r="U25" s="9"/>
      <c r="V25" s="9"/>
      <c r="W25" s="8"/>
      <c r="X25" s="8"/>
      <c r="Y25" s="8"/>
      <c r="Z25" s="8"/>
      <c r="AA25" s="8"/>
      <c r="AB25" s="8"/>
      <c r="AC25" s="9"/>
      <c r="AD25" s="8"/>
      <c r="AE25" s="8"/>
      <c r="AF25" s="8"/>
      <c r="AG25" s="8"/>
      <c r="AH25" s="9"/>
      <c r="AI25" s="8"/>
      <c r="AJ25" s="8"/>
      <c r="AK25" s="8"/>
      <c r="AL25" s="8"/>
      <c r="AM25" s="8"/>
      <c r="AN25" s="8"/>
      <c r="AO25" s="8"/>
      <c r="AP25" s="9"/>
      <c r="AQ25" s="8"/>
      <c r="AR25" s="9"/>
      <c r="AS25" s="8"/>
      <c r="AT25" s="9"/>
      <c r="AU25" s="8"/>
      <c r="AV25" s="8"/>
      <c r="AW25" s="9"/>
      <c r="AX25" s="8"/>
      <c r="AY25" s="8"/>
      <c r="AZ25" s="9"/>
      <c r="BA25" s="8"/>
      <c r="BB25" s="8"/>
      <c r="BC25" s="211"/>
      <c r="BD25" s="212"/>
      <c r="BE25" s="214"/>
      <c r="BF25" s="215"/>
      <c r="BG25" s="8"/>
      <c r="BH25" s="8"/>
      <c r="BI25" s="8"/>
      <c r="BJ25" s="8"/>
      <c r="BK25" s="9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9"/>
      <c r="CW25" s="9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</row>
    <row r="26" spans="1:129" x14ac:dyDescent="0.3">
      <c r="A26" s="8"/>
      <c r="B26" s="21"/>
      <c r="C26" s="8"/>
      <c r="D26" s="8"/>
      <c r="E26" s="9"/>
      <c r="F26" s="8"/>
      <c r="G26" s="8"/>
      <c r="H26" s="9"/>
      <c r="I26" s="8"/>
      <c r="J26" s="8"/>
      <c r="K26" s="8"/>
      <c r="L26" s="8"/>
      <c r="M26" s="8"/>
      <c r="N26" s="8"/>
      <c r="O26" s="9"/>
      <c r="P26" s="8"/>
      <c r="Q26" s="8"/>
      <c r="R26" s="9"/>
      <c r="S26" s="8"/>
      <c r="T26" s="8"/>
      <c r="U26" s="9"/>
      <c r="V26" s="9"/>
      <c r="W26" s="8"/>
      <c r="X26" s="8"/>
      <c r="Y26" s="8"/>
      <c r="Z26" s="8"/>
      <c r="AA26" s="8"/>
      <c r="AB26" s="8"/>
      <c r="AC26" s="9"/>
      <c r="AD26" s="8"/>
      <c r="AE26" s="8"/>
      <c r="AF26" s="8"/>
      <c r="AG26" s="8"/>
      <c r="AH26" s="35"/>
      <c r="AI26" s="8"/>
      <c r="AJ26" s="8"/>
      <c r="AK26" s="8"/>
      <c r="AL26" s="8"/>
      <c r="AM26" s="8"/>
      <c r="AN26" s="8"/>
      <c r="AO26" s="8"/>
      <c r="AP26" s="9"/>
      <c r="AQ26" s="8"/>
      <c r="AR26" s="9"/>
      <c r="AS26" s="8"/>
      <c r="AT26" s="9"/>
      <c r="AU26" s="8"/>
      <c r="AV26" s="8"/>
      <c r="AW26" s="9"/>
      <c r="AX26" s="8"/>
      <c r="AY26" s="8"/>
      <c r="AZ26" s="9"/>
      <c r="BA26" s="8"/>
      <c r="BB26" s="8"/>
      <c r="BC26" s="8"/>
      <c r="BD26" s="8"/>
      <c r="BE26" s="21"/>
      <c r="BF26" s="8"/>
      <c r="BG26" s="8"/>
      <c r="BH26" s="8"/>
      <c r="BI26" s="8"/>
      <c r="BJ26" s="8"/>
      <c r="BK26" s="9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9"/>
      <c r="CW26" s="9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</row>
    <row r="27" spans="1:129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21"/>
      <c r="BG27" s="21"/>
      <c r="BH27" s="8"/>
      <c r="BI27" s="8"/>
      <c r="BJ27" s="8"/>
      <c r="BK27" s="9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9"/>
      <c r="CW27" s="9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</row>
    <row r="28" spans="1:129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42"/>
      <c r="BL28" s="43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9"/>
      <c r="CW28" s="9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</row>
    <row r="29" spans="1:129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41"/>
      <c r="V29" s="41"/>
      <c r="W29" s="41"/>
      <c r="X29" s="41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21"/>
      <c r="BG29" s="8"/>
      <c r="BH29" s="8"/>
      <c r="BI29" s="8"/>
      <c r="BJ29" s="8"/>
      <c r="BK29" s="9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34"/>
      <c r="CW29" s="9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</row>
    <row r="30" spans="1:129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21"/>
      <c r="BD30" s="62"/>
      <c r="BE30" s="8"/>
      <c r="BF30" s="8"/>
      <c r="BG30" s="8"/>
      <c r="BH30" s="8"/>
      <c r="BI30" s="8"/>
      <c r="BJ30" s="8"/>
      <c r="BK30" s="42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10"/>
      <c r="CP30" s="10"/>
      <c r="CQ30" s="10"/>
      <c r="CR30" s="10"/>
      <c r="CS30" s="10"/>
      <c r="CT30" s="10"/>
      <c r="CU30" s="10"/>
      <c r="CV30" s="34"/>
      <c r="CW30" s="9"/>
      <c r="CX30" s="10"/>
      <c r="CY30" s="10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</row>
    <row r="31" spans="1:129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9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36"/>
      <c r="CV31" s="8"/>
      <c r="CW31" s="8"/>
      <c r="CX31" s="36"/>
      <c r="CY31" s="8"/>
      <c r="CZ31" s="43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</row>
    <row r="32" spans="1:129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21"/>
      <c r="BH32" s="8"/>
      <c r="BI32" s="8"/>
      <c r="BJ32" s="8"/>
      <c r="BK32" s="9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10"/>
      <c r="CP32" s="10"/>
      <c r="CQ32" s="10"/>
      <c r="CR32" s="10"/>
      <c r="CS32" s="10"/>
      <c r="CT32" s="10"/>
      <c r="CU32" s="10"/>
      <c r="CV32" s="8"/>
      <c r="CW32" s="8"/>
      <c r="CX32" s="10"/>
      <c r="CY32" s="10"/>
      <c r="CZ32" s="43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</row>
    <row r="33" spans="1:129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21"/>
      <c r="BH33" s="8"/>
      <c r="BI33" s="8"/>
      <c r="BJ33" s="8"/>
      <c r="BK33" s="9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36"/>
      <c r="CV33" s="8"/>
      <c r="CW33" s="8"/>
      <c r="CX33" s="8"/>
      <c r="CY33" s="8"/>
      <c r="CZ33" s="43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</row>
    <row r="34" spans="1:129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9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10"/>
      <c r="CP34" s="10"/>
      <c r="CQ34" s="10"/>
      <c r="CR34" s="10"/>
      <c r="CS34" s="10"/>
      <c r="CT34" s="10"/>
      <c r="CU34" s="10"/>
      <c r="CV34" s="8"/>
      <c r="CW34" s="8"/>
      <c r="CX34" s="10"/>
      <c r="CY34" s="10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</row>
    <row r="35" spans="1:129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9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9"/>
      <c r="CW35" s="35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</row>
    <row r="36" spans="1:129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9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9"/>
      <c r="CW36" s="9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</row>
    <row r="37" spans="1:129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9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9"/>
      <c r="CW37" s="9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</row>
    <row r="38" spans="1:129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9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9"/>
      <c r="CW38" s="9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</row>
    <row r="39" spans="1:129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9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9"/>
      <c r="CW39" s="9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</row>
    <row r="40" spans="1:129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9"/>
      <c r="BL40" s="8"/>
      <c r="BM40" s="8"/>
      <c r="BN40" s="8"/>
      <c r="BO40" s="8"/>
      <c r="BP40" s="9"/>
      <c r="BQ40" s="8"/>
      <c r="BR40" s="8"/>
      <c r="BS40" s="8"/>
      <c r="BT40" s="8"/>
      <c r="BU40" s="8"/>
      <c r="BV40" s="9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9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9"/>
      <c r="CW40" s="9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</row>
    <row r="41" spans="1:129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9"/>
      <c r="BL41" s="8"/>
      <c r="BM41" s="8"/>
      <c r="BN41" s="8"/>
      <c r="BO41" s="8"/>
      <c r="BP41" s="9"/>
      <c r="BQ41" s="8"/>
      <c r="BR41" s="8"/>
      <c r="BS41" s="8"/>
      <c r="BT41" s="8"/>
      <c r="BU41" s="8"/>
      <c r="BV41" s="9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9"/>
      <c r="CK41" s="8"/>
      <c r="CL41" s="8"/>
      <c r="CM41" s="9"/>
      <c r="CN41" s="8"/>
      <c r="CO41" s="8"/>
      <c r="CP41" s="8"/>
      <c r="CQ41" s="8"/>
      <c r="CR41" s="8"/>
      <c r="CS41" s="8"/>
      <c r="CT41" s="8"/>
      <c r="CU41" s="8"/>
      <c r="CV41" s="9"/>
      <c r="CW41" s="9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</row>
    <row r="42" spans="1:129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9"/>
      <c r="BL42" s="8"/>
      <c r="BM42" s="8"/>
      <c r="BN42" s="8"/>
      <c r="BO42" s="8"/>
      <c r="BP42" s="35"/>
      <c r="BQ42" s="8"/>
      <c r="BR42" s="8"/>
      <c r="BS42" s="8"/>
      <c r="BT42" s="8"/>
      <c r="BU42" s="8"/>
      <c r="BV42" s="9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9"/>
      <c r="CK42" s="8"/>
      <c r="CL42" s="8"/>
      <c r="CM42" s="9"/>
      <c r="CN42" s="8"/>
      <c r="CO42" s="8"/>
      <c r="CP42" s="8"/>
      <c r="CQ42" s="8"/>
      <c r="CR42" s="8"/>
      <c r="CS42" s="8"/>
      <c r="CT42" s="8"/>
      <c r="CU42" s="8"/>
      <c r="CV42" s="9"/>
      <c r="CW42" s="9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</row>
    <row r="43" spans="1:129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9"/>
      <c r="BL43" s="10"/>
      <c r="BM43" s="10"/>
      <c r="BN43" s="10"/>
      <c r="BO43" s="10"/>
      <c r="BP43" s="9"/>
      <c r="BQ43" s="10"/>
      <c r="BR43" s="10"/>
      <c r="BS43" s="44"/>
      <c r="BT43" s="10"/>
      <c r="BU43" s="10"/>
      <c r="BV43" s="9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9"/>
      <c r="CK43" s="10"/>
      <c r="CL43" s="10"/>
      <c r="CM43" s="9"/>
      <c r="CN43" s="8"/>
      <c r="CO43" s="8"/>
      <c r="CP43" s="8"/>
      <c r="CQ43" s="8"/>
      <c r="CR43" s="8"/>
      <c r="CS43" s="8"/>
      <c r="CT43" s="8"/>
      <c r="CU43" s="8"/>
      <c r="CV43" s="9"/>
      <c r="CW43" s="9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</row>
    <row r="44" spans="1:129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12"/>
      <c r="BL44" s="8"/>
      <c r="BM44" s="8"/>
      <c r="BN44" s="8"/>
      <c r="BO44" s="37"/>
      <c r="BP44" s="8"/>
      <c r="BQ44" s="37"/>
      <c r="BR44" s="37"/>
      <c r="BS44" s="43"/>
      <c r="BT44" s="21"/>
      <c r="BU44" s="21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37"/>
      <c r="CJ44" s="8"/>
      <c r="CK44" s="37"/>
      <c r="CL44" s="8"/>
      <c r="CM44" s="11"/>
      <c r="CN44" s="8"/>
      <c r="CO44" s="8"/>
      <c r="CP44" s="8"/>
      <c r="CQ44" s="8"/>
      <c r="CR44" s="8"/>
      <c r="CS44" s="8"/>
      <c r="CT44" s="8"/>
      <c r="CU44" s="8"/>
      <c r="CV44" s="9"/>
      <c r="CW44" s="9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</row>
    <row r="45" spans="1:129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12"/>
      <c r="BL45" s="10"/>
      <c r="BM45" s="10"/>
      <c r="BN45" s="10"/>
      <c r="BO45" s="10"/>
      <c r="BP45" s="8"/>
      <c r="BQ45" s="10"/>
      <c r="BR45" s="10"/>
      <c r="BS45" s="44"/>
      <c r="BT45" s="10"/>
      <c r="BU45" s="23"/>
      <c r="BV45" s="8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8"/>
      <c r="CK45" s="10"/>
      <c r="CL45" s="10"/>
      <c r="CM45" s="11"/>
      <c r="CN45" s="8"/>
      <c r="CO45" s="8"/>
      <c r="CP45" s="8"/>
      <c r="CQ45" s="8"/>
      <c r="CR45" s="8"/>
      <c r="CS45" s="8"/>
      <c r="CT45" s="8"/>
      <c r="CU45" s="8"/>
      <c r="CV45" s="9"/>
      <c r="CW45" s="9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</row>
    <row r="46" spans="1:129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37"/>
      <c r="BP46" s="35"/>
      <c r="BQ46" s="8"/>
      <c r="BR46" s="8"/>
      <c r="BS46" s="8"/>
      <c r="BT46" s="8"/>
      <c r="BU46" s="21"/>
      <c r="BV46" s="9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9"/>
      <c r="CK46" s="8"/>
      <c r="CL46" s="8"/>
      <c r="CM46" s="9"/>
      <c r="CN46" s="8"/>
      <c r="CO46" s="8"/>
      <c r="CP46" s="8"/>
      <c r="CQ46" s="8"/>
      <c r="CR46" s="8"/>
      <c r="CS46" s="8"/>
      <c r="CT46" s="8"/>
      <c r="CU46" s="8"/>
      <c r="CV46" s="9"/>
      <c r="CW46" s="9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</row>
    <row r="47" spans="1:129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9"/>
      <c r="BQ47" s="8"/>
      <c r="BR47" s="8"/>
      <c r="BS47" s="8"/>
      <c r="BT47" s="8"/>
      <c r="BU47" s="21"/>
      <c r="BV47" s="9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35"/>
      <c r="CK47" s="8"/>
      <c r="CL47" s="8"/>
      <c r="CM47" s="9"/>
      <c r="CN47" s="8"/>
      <c r="CO47" s="8"/>
      <c r="CP47" s="8"/>
      <c r="CQ47" s="8"/>
      <c r="CR47" s="8"/>
      <c r="CS47" s="8"/>
      <c r="CT47" s="8"/>
      <c r="CU47" s="8"/>
      <c r="CV47" s="9"/>
      <c r="CW47" s="9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</row>
    <row r="48" spans="1:129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9"/>
      <c r="BQ48" s="8"/>
      <c r="BR48" s="8"/>
      <c r="BS48" s="8"/>
      <c r="BT48" s="8"/>
      <c r="BU48" s="21"/>
      <c r="BV48" s="9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9"/>
      <c r="CK48" s="8"/>
      <c r="CL48" s="8"/>
      <c r="CM48" s="9"/>
      <c r="CN48" s="8"/>
      <c r="CO48" s="8"/>
      <c r="CP48" s="8"/>
      <c r="CQ48" s="8"/>
      <c r="CR48" s="8"/>
      <c r="CS48" s="8"/>
      <c r="CT48" s="8"/>
      <c r="CU48" s="8"/>
      <c r="CV48" s="9"/>
      <c r="CW48" s="9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</row>
    <row r="49" spans="1:129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9"/>
      <c r="BQ49" s="8"/>
      <c r="BR49" s="8"/>
      <c r="BS49" s="8"/>
      <c r="BT49" s="8"/>
      <c r="BU49" s="21"/>
      <c r="BV49" s="9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9"/>
      <c r="CK49" s="8"/>
      <c r="CL49" s="8"/>
      <c r="CM49" s="9"/>
      <c r="CN49" s="8"/>
      <c r="CO49" s="8"/>
      <c r="CP49" s="8"/>
      <c r="CQ49" s="8"/>
      <c r="CR49" s="8"/>
      <c r="CS49" s="8"/>
      <c r="CT49" s="8"/>
      <c r="CU49" s="8"/>
      <c r="CV49" s="9"/>
      <c r="CW49" s="9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</row>
    <row r="50" spans="1:129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21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9"/>
      <c r="CK50" s="8"/>
      <c r="CL50" s="8"/>
      <c r="CM50" s="9"/>
      <c r="CN50" s="8"/>
      <c r="CO50" s="8"/>
      <c r="CP50" s="8"/>
      <c r="CQ50" s="8"/>
      <c r="CR50" s="8"/>
      <c r="CS50" s="8"/>
      <c r="CT50" s="8"/>
      <c r="CU50" s="8"/>
      <c r="CV50" s="9"/>
      <c r="CW50" s="9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</row>
    <row r="51" spans="1:129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9"/>
      <c r="CN51" s="8"/>
      <c r="CO51" s="8"/>
      <c r="CP51" s="8"/>
      <c r="CQ51" s="8"/>
      <c r="CR51" s="8"/>
      <c r="CS51" s="8"/>
      <c r="CT51" s="8"/>
      <c r="CU51" s="21"/>
      <c r="CV51" s="47"/>
      <c r="CW51" s="9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</row>
    <row r="52" spans="1:129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9"/>
      <c r="CN52" s="8"/>
      <c r="CO52" s="8"/>
      <c r="CP52" s="8"/>
      <c r="CQ52" s="8"/>
      <c r="CR52" s="8"/>
      <c r="CS52" s="8"/>
      <c r="CT52" s="8"/>
      <c r="CU52" s="8"/>
      <c r="CV52" s="9"/>
      <c r="CW52" s="9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</row>
    <row r="53" spans="1:129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9"/>
      <c r="CN53" s="10"/>
      <c r="CO53" s="10"/>
      <c r="CP53" s="10"/>
      <c r="CQ53" s="10"/>
      <c r="CR53" s="10"/>
      <c r="CS53" s="10"/>
      <c r="CT53" s="10"/>
      <c r="CU53" s="10"/>
      <c r="CV53" s="9"/>
      <c r="CW53" s="9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</row>
    <row r="54" spans="1:129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</row>
    <row r="55" spans="1:129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10"/>
      <c r="CO55" s="10"/>
      <c r="CP55" s="10"/>
      <c r="CQ55" s="10"/>
      <c r="CR55" s="10"/>
      <c r="CS55" s="10"/>
      <c r="CT55" s="10"/>
      <c r="CU55" s="10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</row>
    <row r="56" spans="1:129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21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</row>
    <row r="57" spans="1:129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10"/>
      <c r="CO57" s="10"/>
      <c r="CP57" s="10"/>
      <c r="CQ57" s="10"/>
      <c r="CR57" s="10"/>
      <c r="CS57" s="10"/>
      <c r="CT57" s="10"/>
      <c r="CU57" s="10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</row>
    <row r="58" spans="1:129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9"/>
      <c r="CW58" s="9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</row>
    <row r="59" spans="1:129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9"/>
      <c r="CW59" s="64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</row>
    <row r="60" spans="1:129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9"/>
      <c r="CW60" s="9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</row>
    <row r="61" spans="1:129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9"/>
      <c r="CW61" s="9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</row>
    <row r="62" spans="1:129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9"/>
      <c r="CW62" s="9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</row>
    <row r="63" spans="1:129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</row>
    <row r="64" spans="1:129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</row>
    <row r="65" spans="1:129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</row>
    <row r="66" spans="1:129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</row>
    <row r="67" spans="1:129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</row>
    <row r="68" spans="1:129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</row>
    <row r="69" spans="1:129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</row>
    <row r="70" spans="1:129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</row>
    <row r="71" spans="1:129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</row>
    <row r="72" spans="1:129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</row>
    <row r="73" spans="1:129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</row>
    <row r="74" spans="1:129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</row>
  </sheetData>
  <mergeCells count="4">
    <mergeCell ref="U5:V7"/>
    <mergeCell ref="B6:F9"/>
    <mergeCell ref="BC23:BD25"/>
    <mergeCell ref="BE23:BF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7E38-A4FB-461B-AD82-7261C7AE64C3}">
  <dimension ref="A1:DY74"/>
  <sheetViews>
    <sheetView zoomScale="60" zoomScaleNormal="60" workbookViewId="0">
      <selection activeCell="B32" sqref="B32"/>
    </sheetView>
  </sheetViews>
  <sheetFormatPr baseColWidth="10" defaultRowHeight="14.4" x14ac:dyDescent="0.3"/>
  <cols>
    <col min="33" max="33" width="8.5546875" customWidth="1"/>
    <col min="34" max="34" width="9.109375" customWidth="1"/>
    <col min="38" max="38" width="8.6640625" customWidth="1"/>
    <col min="39" max="39" width="9" customWidth="1"/>
    <col min="55" max="55" width="9" customWidth="1"/>
    <col min="56" max="56" width="8.88671875" customWidth="1"/>
    <col min="57" max="57" width="8.6640625" customWidth="1"/>
    <col min="58" max="58" width="9.33203125" customWidth="1"/>
    <col min="67" max="67" width="9.33203125" customWidth="1"/>
    <col min="68" max="68" width="9.109375" customWidth="1"/>
    <col min="78" max="78" width="8.5546875" customWidth="1"/>
    <col min="79" max="79" width="9" customWidth="1"/>
    <col min="100" max="100" width="7.77734375" customWidth="1"/>
    <col min="101" max="101" width="8.33203125" customWidth="1"/>
    <col min="108" max="108" width="11.33203125" customWidth="1"/>
    <col min="109" max="109" width="9.33203125" customWidth="1"/>
    <col min="110" max="110" width="9.88671875" customWidth="1"/>
  </cols>
  <sheetData>
    <row r="1" spans="1:129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</row>
    <row r="2" spans="1:129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>
        <f>+DD3+DE3+DF3</f>
        <v>1138</v>
      </c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</row>
    <row r="3" spans="1:129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>
        <v>241</v>
      </c>
      <c r="CA3" s="41">
        <v>418</v>
      </c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>
        <v>32</v>
      </c>
      <c r="CV3" s="8">
        <v>308</v>
      </c>
      <c r="CW3" s="8">
        <v>121</v>
      </c>
      <c r="CX3" s="8"/>
      <c r="CY3" s="8"/>
      <c r="CZ3" s="8"/>
      <c r="DA3" s="8"/>
      <c r="DB3" s="8"/>
      <c r="DC3" s="8"/>
      <c r="DD3" s="8">
        <v>48</v>
      </c>
      <c r="DE3" s="8">
        <v>484</v>
      </c>
      <c r="DF3" s="8">
        <v>606</v>
      </c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</row>
    <row r="4" spans="1:129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</row>
    <row r="5" spans="1:129" ht="15" thickBot="1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213"/>
      <c r="V5" s="213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9"/>
      <c r="DF5" s="9"/>
      <c r="DG5" s="8"/>
      <c r="DH5" s="8"/>
      <c r="DI5" s="8"/>
      <c r="DJ5" s="8"/>
      <c r="DK5" s="9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</row>
    <row r="6" spans="1:129" x14ac:dyDescent="0.3">
      <c r="A6" s="8"/>
      <c r="B6" s="202" t="s">
        <v>24</v>
      </c>
      <c r="C6" s="203"/>
      <c r="D6" s="203"/>
      <c r="E6" s="203"/>
      <c r="F6" s="204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13"/>
      <c r="V6" s="213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9"/>
      <c r="DF6" s="9"/>
      <c r="DG6" s="8"/>
      <c r="DH6" s="8"/>
      <c r="DI6" s="8"/>
      <c r="DJ6" s="8"/>
      <c r="DK6" s="9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</row>
    <row r="7" spans="1:129" x14ac:dyDescent="0.3">
      <c r="A7" s="8"/>
      <c r="B7" s="205"/>
      <c r="C7" s="206"/>
      <c r="D7" s="206"/>
      <c r="E7" s="206"/>
      <c r="F7" s="20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21"/>
      <c r="T7" s="8"/>
      <c r="U7" s="213"/>
      <c r="V7" s="213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9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35">
        <v>0.23</v>
      </c>
      <c r="CW7" s="9"/>
      <c r="CX7" s="8"/>
      <c r="CY7" s="8"/>
      <c r="CZ7" s="8"/>
      <c r="DA7" s="8"/>
      <c r="DB7" s="8"/>
      <c r="DC7" s="8"/>
      <c r="DD7" s="8"/>
      <c r="DE7" s="9"/>
      <c r="DF7" s="9"/>
      <c r="DG7" s="10"/>
      <c r="DH7" s="10"/>
      <c r="DI7" s="10"/>
      <c r="DJ7" s="10"/>
      <c r="DK7" s="9"/>
      <c r="DL7" s="10"/>
      <c r="DM7" s="10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</row>
    <row r="8" spans="1:129" ht="15" thickBot="1" x14ac:dyDescent="0.35">
      <c r="A8" s="8"/>
      <c r="B8" s="205"/>
      <c r="C8" s="206"/>
      <c r="D8" s="206"/>
      <c r="E8" s="206"/>
      <c r="F8" s="20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1">
        <f>+S9+U9+T9</f>
        <v>1097</v>
      </c>
      <c r="U8" s="8"/>
      <c r="V8" s="8"/>
      <c r="W8" s="41"/>
      <c r="X8" s="41"/>
      <c r="Y8" s="8"/>
      <c r="Z8" s="8"/>
      <c r="AA8" s="8"/>
      <c r="AB8" s="8"/>
      <c r="AC8" s="8"/>
      <c r="AD8" s="8"/>
      <c r="AE8" s="8"/>
      <c r="AF8" s="8">
        <v>359</v>
      </c>
      <c r="AG8" s="8">
        <v>130</v>
      </c>
      <c r="AH8" s="8">
        <v>285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9"/>
      <c r="BW8" s="49">
        <f>+BU13+BW21</f>
        <v>512.5</v>
      </c>
      <c r="BX8" s="8"/>
      <c r="BY8" s="8"/>
      <c r="BZ8" s="35">
        <v>0.56000000000000005</v>
      </c>
      <c r="CA8" s="9"/>
      <c r="CB8" s="8"/>
      <c r="CC8" s="8"/>
      <c r="CD8" s="9"/>
      <c r="CE8" s="8"/>
      <c r="CF8" s="8"/>
      <c r="CG8" s="8"/>
      <c r="CH8" s="9"/>
      <c r="CI8" s="8"/>
      <c r="CJ8" s="8"/>
      <c r="CK8" s="9"/>
      <c r="CL8" s="8"/>
      <c r="CM8" s="8"/>
      <c r="CN8" s="8"/>
      <c r="CO8" s="8"/>
      <c r="CP8" s="8"/>
      <c r="CQ8" s="8"/>
      <c r="CR8" s="8"/>
      <c r="CS8" s="8"/>
      <c r="CT8" s="8"/>
      <c r="CU8" s="8"/>
      <c r="CV8" s="9">
        <f>+CV3+CU3+CW3</f>
        <v>461</v>
      </c>
      <c r="CW8" s="9"/>
      <c r="CX8" s="8"/>
      <c r="CY8" s="8"/>
      <c r="CZ8" s="10"/>
      <c r="DA8" s="10"/>
      <c r="DB8" s="10"/>
      <c r="DC8" s="10"/>
      <c r="DD8" s="10"/>
      <c r="DE8" s="9"/>
      <c r="DF8" s="9"/>
      <c r="DG8" s="20"/>
      <c r="DH8" s="61">
        <v>91</v>
      </c>
      <c r="DI8" s="18"/>
      <c r="DJ8" s="18"/>
      <c r="DK8" s="8"/>
      <c r="DL8" s="18"/>
      <c r="DM8" s="1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</row>
    <row r="9" spans="1:129" ht="15" thickBot="1" x14ac:dyDescent="0.35">
      <c r="A9" s="8"/>
      <c r="B9" s="208"/>
      <c r="C9" s="209"/>
      <c r="D9" s="209"/>
      <c r="E9" s="209"/>
      <c r="F9" s="21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>
        <v>79</v>
      </c>
      <c r="T9" s="21">
        <v>725</v>
      </c>
      <c r="U9" s="71">
        <v>293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10"/>
      <c r="BP9" s="10"/>
      <c r="BQ9" s="8"/>
      <c r="BR9" s="8"/>
      <c r="BS9" s="8"/>
      <c r="BT9" s="8"/>
      <c r="BU9" s="8"/>
      <c r="BV9" s="9"/>
      <c r="BW9" s="8"/>
      <c r="BX9" s="8"/>
      <c r="BY9" s="8"/>
      <c r="BZ9" s="9">
        <v>659</v>
      </c>
      <c r="CA9" s="9"/>
      <c r="CB9" s="8"/>
      <c r="CC9" s="8"/>
      <c r="CD9" s="9"/>
      <c r="CE9" s="8"/>
      <c r="CF9" s="8"/>
      <c r="CG9" s="8"/>
      <c r="CH9" s="9"/>
      <c r="CI9" s="8"/>
      <c r="CJ9" s="8"/>
      <c r="CK9" s="9"/>
      <c r="CL9" s="8"/>
      <c r="CM9" s="8"/>
      <c r="CN9" s="8"/>
      <c r="CO9" s="10"/>
      <c r="CP9" s="10"/>
      <c r="CQ9" s="10"/>
      <c r="CR9" s="10"/>
      <c r="CS9" s="10"/>
      <c r="CT9" s="10"/>
      <c r="CU9" s="10"/>
      <c r="CV9" s="9"/>
      <c r="CW9" s="9"/>
      <c r="CX9" s="10"/>
      <c r="CY9" s="10"/>
      <c r="CZ9" s="44">
        <v>150</v>
      </c>
      <c r="DA9" s="44"/>
      <c r="DB9" s="44"/>
      <c r="DC9" s="44"/>
      <c r="DD9" s="10"/>
      <c r="DE9" s="8"/>
      <c r="DF9" s="8"/>
      <c r="DG9" s="10"/>
      <c r="DH9" s="10"/>
      <c r="DI9" s="10"/>
      <c r="DJ9" s="10"/>
      <c r="DK9" s="8"/>
      <c r="DL9" s="10"/>
      <c r="DM9" s="10"/>
      <c r="DN9" s="10"/>
      <c r="DO9" s="10"/>
      <c r="DP9" s="10"/>
      <c r="DQ9" s="10"/>
      <c r="DR9" s="10"/>
      <c r="DS9" s="10"/>
      <c r="DT9" s="8"/>
      <c r="DU9" s="8"/>
      <c r="DV9" s="8"/>
      <c r="DW9" s="8"/>
      <c r="DX9" s="8"/>
      <c r="DY9" s="8"/>
    </row>
    <row r="10" spans="1:129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41"/>
      <c r="X10" s="41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11"/>
      <c r="BO10" s="8"/>
      <c r="BP10" s="8"/>
      <c r="BQ10" s="10"/>
      <c r="BR10" s="10"/>
      <c r="BS10" s="10"/>
      <c r="BT10" s="10"/>
      <c r="BU10" s="10"/>
      <c r="BV10" s="9"/>
      <c r="BW10" s="10"/>
      <c r="BX10" s="10"/>
      <c r="BY10" s="10"/>
      <c r="BZ10" s="9"/>
      <c r="CA10" s="9"/>
      <c r="CB10" s="10"/>
      <c r="CC10" s="10"/>
      <c r="CD10" s="9"/>
      <c r="CE10" s="10"/>
      <c r="CF10" s="10"/>
      <c r="CG10" s="10"/>
      <c r="CH10" s="9"/>
      <c r="CI10" s="10"/>
      <c r="CJ10" s="10"/>
      <c r="CK10" s="9"/>
      <c r="CL10" s="10"/>
      <c r="CM10" s="10"/>
      <c r="CN10" s="10"/>
      <c r="CO10" s="37"/>
      <c r="CP10" s="21"/>
      <c r="CQ10" s="21"/>
      <c r="CR10" s="21">
        <v>620</v>
      </c>
      <c r="CS10" s="21"/>
      <c r="CT10" s="21"/>
      <c r="CU10" s="21"/>
      <c r="CV10" s="8"/>
      <c r="CW10" s="8"/>
      <c r="CX10" s="37">
        <v>0.35</v>
      </c>
      <c r="CY10" s="8"/>
      <c r="CZ10" s="43">
        <v>455</v>
      </c>
      <c r="DA10" s="43"/>
      <c r="DB10" s="51">
        <f>+DH10+DD3+DE22</f>
        <v>784</v>
      </c>
      <c r="DC10" s="43"/>
      <c r="DD10" s="8"/>
      <c r="DE10" s="8"/>
      <c r="DF10" s="8"/>
      <c r="DG10" s="8"/>
      <c r="DH10" s="43">
        <v>691</v>
      </c>
      <c r="DI10" s="62">
        <f>+DH11+DH10+DH8</f>
        <v>1530</v>
      </c>
      <c r="DJ10" s="8"/>
      <c r="DK10" s="8"/>
      <c r="DL10" s="21">
        <v>1530</v>
      </c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</row>
    <row r="11" spans="1:129" ht="15" thickBot="1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41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9"/>
      <c r="BO11" s="8"/>
      <c r="BP11" s="8"/>
      <c r="BQ11" s="8"/>
      <c r="BR11" s="8"/>
      <c r="BS11" s="8"/>
      <c r="BT11" s="8"/>
      <c r="BU11" s="21">
        <v>121</v>
      </c>
      <c r="BV11" s="8"/>
      <c r="BW11" s="18"/>
      <c r="BX11" s="43">
        <v>104</v>
      </c>
      <c r="BY11" s="8"/>
      <c r="BZ11" s="8"/>
      <c r="CA11" s="8"/>
      <c r="CB11" s="8"/>
      <c r="CC11" s="18"/>
      <c r="CD11" s="8"/>
      <c r="CE11" s="8"/>
      <c r="CF11" s="8"/>
      <c r="CG11" s="53">
        <v>585</v>
      </c>
      <c r="CH11" s="8"/>
      <c r="CI11" s="18"/>
      <c r="CJ11" s="8"/>
      <c r="CK11" s="8"/>
      <c r="CL11" s="54">
        <v>190</v>
      </c>
      <c r="CM11" s="38">
        <v>0.31</v>
      </c>
      <c r="CN11" s="8"/>
      <c r="CO11" s="8"/>
      <c r="CP11" s="10"/>
      <c r="CQ11" s="10"/>
      <c r="CR11" s="10"/>
      <c r="CS11" s="10"/>
      <c r="CT11" s="10"/>
      <c r="CU11" s="23"/>
      <c r="CV11" s="8"/>
      <c r="CW11" s="8"/>
      <c r="CX11" s="10">
        <f>+CZ9+CZ10+CZ11</f>
        <v>744</v>
      </c>
      <c r="CY11" s="10"/>
      <c r="CZ11" s="44">
        <v>139</v>
      </c>
      <c r="DA11" s="44"/>
      <c r="DB11" s="44"/>
      <c r="DC11" s="44"/>
      <c r="DD11" s="10"/>
      <c r="DE11" s="8"/>
      <c r="DF11" s="8"/>
      <c r="DG11" s="8"/>
      <c r="DH11" s="43">
        <v>748</v>
      </c>
      <c r="DI11" s="21"/>
      <c r="DJ11" s="8"/>
      <c r="DK11" s="8"/>
      <c r="DL11" s="25"/>
      <c r="DM11" s="17"/>
      <c r="DN11" s="17"/>
      <c r="DO11" s="8"/>
      <c r="DP11" s="8"/>
      <c r="DQ11" s="17"/>
      <c r="DR11" s="8"/>
      <c r="DS11" s="8"/>
      <c r="DT11" s="8"/>
      <c r="DU11" s="8"/>
      <c r="DV11" s="8"/>
      <c r="DW11" s="8"/>
      <c r="DX11" s="8"/>
      <c r="DY11" s="8"/>
    </row>
    <row r="12" spans="1:129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9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9"/>
      <c r="AX12" s="8"/>
      <c r="AY12" s="8"/>
      <c r="AZ12" s="8"/>
      <c r="BA12" s="8"/>
      <c r="BB12" s="8"/>
      <c r="BC12" s="8"/>
      <c r="BD12" s="8"/>
      <c r="BE12" s="8">
        <v>163</v>
      </c>
      <c r="BF12" s="8"/>
      <c r="BG12" s="8"/>
      <c r="BH12" s="8"/>
      <c r="BI12" s="8"/>
      <c r="BJ12" s="8"/>
      <c r="BK12" s="8"/>
      <c r="BL12" s="8"/>
      <c r="BM12" s="8"/>
      <c r="BN12" s="11"/>
      <c r="BO12" s="8"/>
      <c r="BP12" s="8"/>
      <c r="BQ12" s="19"/>
      <c r="BR12" s="19"/>
      <c r="BS12" s="19"/>
      <c r="BT12" s="19"/>
      <c r="BU12" s="27">
        <v>436</v>
      </c>
      <c r="BV12" s="8"/>
      <c r="BW12" s="10"/>
      <c r="BX12" s="44">
        <v>379</v>
      </c>
      <c r="BY12" s="40">
        <v>0.28000000000000003</v>
      </c>
      <c r="BZ12" s="8"/>
      <c r="CA12" s="8"/>
      <c r="CB12" s="52">
        <f>BX12+CB22+CA3</f>
        <v>837</v>
      </c>
      <c r="CC12" s="10"/>
      <c r="CD12" s="8"/>
      <c r="CE12" s="19"/>
      <c r="CF12" s="19"/>
      <c r="CG12" s="27"/>
      <c r="CH12" s="8"/>
      <c r="CI12" s="10"/>
      <c r="CJ12" s="19"/>
      <c r="CK12" s="8"/>
      <c r="CL12" s="10"/>
      <c r="CM12" s="10"/>
      <c r="CN12" s="8"/>
      <c r="CO12" s="8"/>
      <c r="CP12" s="21"/>
      <c r="CQ12" s="21"/>
      <c r="CR12" s="55">
        <v>611</v>
      </c>
      <c r="CS12" s="21"/>
      <c r="CT12" s="21">
        <v>39</v>
      </c>
      <c r="CU12" s="39">
        <v>0.2</v>
      </c>
      <c r="CV12" s="8"/>
      <c r="CW12" s="8"/>
      <c r="CX12" s="8"/>
      <c r="CY12" s="8"/>
      <c r="CZ12" s="8"/>
      <c r="DA12" s="8"/>
      <c r="DB12" s="8"/>
      <c r="DC12" s="56"/>
      <c r="DD12" s="8"/>
      <c r="DE12" s="8"/>
      <c r="DF12" s="8"/>
      <c r="DG12" s="16"/>
      <c r="DH12" s="16"/>
      <c r="DI12" s="16"/>
      <c r="DJ12" s="16"/>
      <c r="DK12" s="8"/>
      <c r="DL12" s="60">
        <v>1584</v>
      </c>
      <c r="DM12" s="8"/>
      <c r="DN12" s="8"/>
      <c r="DO12" s="16"/>
      <c r="DP12" s="16"/>
      <c r="DQ12" s="8"/>
      <c r="DR12" s="16"/>
      <c r="DS12" s="16"/>
      <c r="DT12" s="8"/>
      <c r="DU12" s="8"/>
      <c r="DV12" s="8"/>
      <c r="DW12" s="8"/>
      <c r="DX12" s="8"/>
      <c r="DY12" s="8"/>
    </row>
    <row r="13" spans="1:129" x14ac:dyDescent="0.3">
      <c r="A13" s="8"/>
      <c r="B13" s="8"/>
      <c r="C13" s="8"/>
      <c r="D13" s="8"/>
      <c r="E13" s="8"/>
      <c r="F13" s="8"/>
      <c r="G13" s="8"/>
      <c r="H13" s="9"/>
      <c r="I13" s="8"/>
      <c r="J13" s="8"/>
      <c r="K13" s="8"/>
      <c r="L13" s="9"/>
      <c r="M13" s="8"/>
      <c r="N13" s="8"/>
      <c r="O13" s="9"/>
      <c r="P13" s="8"/>
      <c r="Q13" s="8"/>
      <c r="R13" s="9"/>
      <c r="S13" s="8"/>
      <c r="T13" s="8"/>
      <c r="U13" s="9"/>
      <c r="V13" s="42"/>
      <c r="W13" s="8"/>
      <c r="X13" s="8"/>
      <c r="Y13" s="8"/>
      <c r="Z13" s="9"/>
      <c r="AA13" s="8"/>
      <c r="AB13" s="8"/>
      <c r="AC13" s="8"/>
      <c r="AD13" s="8"/>
      <c r="AE13" s="8"/>
      <c r="AF13" s="8"/>
      <c r="AG13" s="9"/>
      <c r="AH13" s="9"/>
      <c r="AI13" s="8"/>
      <c r="AJ13" s="8"/>
      <c r="AK13" s="8"/>
      <c r="AL13" s="9"/>
      <c r="AM13" s="9"/>
      <c r="AN13" s="8"/>
      <c r="AO13" s="8"/>
      <c r="AP13" s="9"/>
      <c r="AQ13" s="8"/>
      <c r="AR13" s="9"/>
      <c r="AS13" s="8"/>
      <c r="AT13" s="8"/>
      <c r="AU13" s="8"/>
      <c r="AV13" s="8"/>
      <c r="AW13" s="9"/>
      <c r="AX13" s="8"/>
      <c r="AY13" s="8"/>
      <c r="AZ13" s="8"/>
      <c r="BA13" s="8"/>
      <c r="BB13" s="8"/>
      <c r="BC13" s="8"/>
      <c r="BD13" s="8"/>
      <c r="BE13" s="47">
        <v>138</v>
      </c>
      <c r="BF13" s="9"/>
      <c r="BG13" s="8"/>
      <c r="BH13" s="8"/>
      <c r="BI13" s="8"/>
      <c r="BJ13" s="8"/>
      <c r="BK13" s="8"/>
      <c r="BL13" s="8"/>
      <c r="BM13" s="8"/>
      <c r="BN13" s="11"/>
      <c r="BO13" s="9"/>
      <c r="BP13" s="9"/>
      <c r="BQ13" s="8"/>
      <c r="BR13" s="8"/>
      <c r="BS13" s="8"/>
      <c r="BT13" s="8"/>
      <c r="BU13" s="48">
        <f>+BO20+BQ17</f>
        <v>435.49999999999994</v>
      </c>
      <c r="BV13" s="9"/>
      <c r="BW13" s="8"/>
      <c r="BX13" s="51">
        <f>BX12+BX11</f>
        <v>483</v>
      </c>
      <c r="BY13" s="8">
        <v>326</v>
      </c>
      <c r="BZ13" s="9"/>
      <c r="CA13" s="35">
        <v>0.17</v>
      </c>
      <c r="CB13" s="8"/>
      <c r="CC13" s="8"/>
      <c r="CD13" s="9"/>
      <c r="CE13" s="8"/>
      <c r="CF13" s="8"/>
      <c r="CG13" s="21"/>
      <c r="CH13" s="9"/>
      <c r="CI13" s="8"/>
      <c r="CJ13" s="8"/>
      <c r="CK13" s="9"/>
      <c r="CL13" s="8"/>
      <c r="CM13" s="8"/>
      <c r="CN13" s="9"/>
      <c r="CO13" s="9"/>
      <c r="CP13" s="10"/>
      <c r="CQ13" s="10"/>
      <c r="CR13" s="10">
        <f>+CL11+CO16</f>
        <v>611</v>
      </c>
      <c r="CS13" s="10"/>
      <c r="CT13" s="10">
        <v>452</v>
      </c>
      <c r="CU13" s="23">
        <f>+CT12+CT13+CT14</f>
        <v>611</v>
      </c>
      <c r="CV13" s="8"/>
      <c r="CW13" s="8"/>
      <c r="CX13" s="10"/>
      <c r="CY13" s="58">
        <f>+CT13+CW3+CY22</f>
        <v>681</v>
      </c>
      <c r="CZ13" s="10"/>
      <c r="DA13" s="10"/>
      <c r="DB13" s="10">
        <f>+DC13+DC15</f>
        <v>736</v>
      </c>
      <c r="DC13" s="57">
        <v>672</v>
      </c>
      <c r="DD13" s="10"/>
      <c r="DE13" s="8"/>
      <c r="DF13" s="8"/>
      <c r="DG13" s="10"/>
      <c r="DH13" s="58">
        <f>+DF3+DC13+DG18</f>
        <v>1604</v>
      </c>
      <c r="DI13" s="10"/>
      <c r="DJ13" s="10"/>
      <c r="DK13" s="8"/>
      <c r="DL13" s="23"/>
      <c r="DM13" s="10"/>
      <c r="DN13" s="10"/>
      <c r="DO13" s="10"/>
      <c r="DP13" s="10"/>
      <c r="DQ13" s="10"/>
      <c r="DR13" s="10"/>
      <c r="DS13" s="10"/>
      <c r="DT13" s="8"/>
      <c r="DU13" s="8"/>
      <c r="DV13" s="8"/>
      <c r="DW13" s="8"/>
      <c r="DX13" s="8"/>
      <c r="DY13" s="8"/>
    </row>
    <row r="14" spans="1:129" ht="15" thickBot="1" x14ac:dyDescent="0.35">
      <c r="A14" s="8"/>
      <c r="B14" s="8"/>
      <c r="C14" s="8"/>
      <c r="D14" s="8"/>
      <c r="E14" s="8"/>
      <c r="F14" s="8"/>
      <c r="G14" s="8"/>
      <c r="H14" s="9"/>
      <c r="I14" s="8"/>
      <c r="J14" s="8"/>
      <c r="K14" s="8"/>
      <c r="L14" s="9"/>
      <c r="M14" s="8"/>
      <c r="N14" s="8"/>
      <c r="O14" s="9"/>
      <c r="P14" s="8"/>
      <c r="Q14" s="8"/>
      <c r="R14" s="9"/>
      <c r="S14" s="8"/>
      <c r="T14" s="8"/>
      <c r="U14" s="9"/>
      <c r="V14" s="9"/>
      <c r="W14" s="8"/>
      <c r="X14" s="8"/>
      <c r="Y14" s="8"/>
      <c r="Z14" s="9"/>
      <c r="AA14" s="8"/>
      <c r="AB14" s="8"/>
      <c r="AC14" s="8"/>
      <c r="AD14" s="8"/>
      <c r="AE14" s="8"/>
      <c r="AF14" s="8"/>
      <c r="AG14" s="35">
        <v>0.2</v>
      </c>
      <c r="AH14" s="9"/>
      <c r="AI14" s="8"/>
      <c r="AJ14" s="8"/>
      <c r="AK14" s="8"/>
      <c r="AL14" s="9"/>
      <c r="AM14" s="9"/>
      <c r="AN14" s="8"/>
      <c r="AO14" s="8"/>
      <c r="AP14" s="9"/>
      <c r="AQ14" s="8"/>
      <c r="AR14" s="9"/>
      <c r="AS14" s="8"/>
      <c r="AT14" s="8"/>
      <c r="AU14" s="8"/>
      <c r="AV14" s="8"/>
      <c r="AW14" s="9"/>
      <c r="AX14" s="8"/>
      <c r="AY14" s="8"/>
      <c r="AZ14" s="9"/>
      <c r="BA14" s="8"/>
      <c r="BB14" s="8"/>
      <c r="BC14" s="8"/>
      <c r="BD14" s="8"/>
      <c r="BE14" s="9"/>
      <c r="BF14" s="9"/>
      <c r="BG14" s="8"/>
      <c r="BH14" s="8"/>
      <c r="BI14" s="8"/>
      <c r="BJ14" s="8"/>
      <c r="BK14" s="8"/>
      <c r="BL14" s="8"/>
      <c r="BM14" s="8"/>
      <c r="BN14" s="8"/>
      <c r="BO14" s="12"/>
      <c r="BP14" s="9"/>
      <c r="BQ14" s="8"/>
      <c r="BR14" s="8"/>
      <c r="BS14" s="8"/>
      <c r="BT14" s="8"/>
      <c r="BU14" s="21"/>
      <c r="BV14" s="9"/>
      <c r="BW14" s="21"/>
      <c r="BX14" s="8"/>
      <c r="BY14" s="8"/>
      <c r="BZ14" s="9"/>
      <c r="CA14" s="9">
        <v>199</v>
      </c>
      <c r="CB14" s="8"/>
      <c r="CC14" s="8"/>
      <c r="CD14" s="9"/>
      <c r="CE14" s="8"/>
      <c r="CF14" s="8"/>
      <c r="CG14" s="21"/>
      <c r="CH14" s="9"/>
      <c r="CI14" s="8"/>
      <c r="CJ14" s="8"/>
      <c r="CK14" s="9"/>
      <c r="CL14" s="8"/>
      <c r="CM14" s="8"/>
      <c r="CN14" s="35">
        <v>0.52</v>
      </c>
      <c r="CO14" s="9"/>
      <c r="CP14" s="8"/>
      <c r="CQ14" s="8"/>
      <c r="CR14" s="8"/>
      <c r="CS14" s="8"/>
      <c r="CT14" s="8">
        <v>120</v>
      </c>
      <c r="CU14" s="21"/>
      <c r="CV14" s="9"/>
      <c r="CW14" s="35">
        <v>0.22</v>
      </c>
      <c r="CX14" s="8"/>
      <c r="CY14" s="8"/>
      <c r="CZ14" s="10"/>
      <c r="DA14" s="10"/>
      <c r="DB14" s="10"/>
      <c r="DC14" s="10"/>
      <c r="DD14" s="10"/>
      <c r="DE14" s="8"/>
      <c r="DF14" s="8"/>
      <c r="DG14" s="8"/>
      <c r="DH14" s="8"/>
      <c r="DI14" s="18"/>
      <c r="DJ14" s="8"/>
      <c r="DK14" s="8"/>
      <c r="DL14" s="24"/>
      <c r="DM14" s="1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</row>
    <row r="15" spans="1:129" ht="15.6" x14ac:dyDescent="0.3">
      <c r="A15" s="8"/>
      <c r="B15" s="8"/>
      <c r="C15" s="10"/>
      <c r="D15" s="10"/>
      <c r="E15" s="10"/>
      <c r="F15" s="10"/>
      <c r="G15" s="10"/>
      <c r="H15" s="9"/>
      <c r="I15" s="10"/>
      <c r="J15" s="10"/>
      <c r="K15" s="10"/>
      <c r="L15" s="9"/>
      <c r="M15" s="10"/>
      <c r="N15" s="10"/>
      <c r="O15" s="9"/>
      <c r="P15" s="10"/>
      <c r="Q15" s="10"/>
      <c r="R15" s="9"/>
      <c r="S15" s="10"/>
      <c r="T15" s="10"/>
      <c r="U15" s="9"/>
      <c r="V15" s="26"/>
      <c r="W15" s="10"/>
      <c r="X15" s="10"/>
      <c r="Y15" s="10"/>
      <c r="Z15" s="9"/>
      <c r="AA15" s="10"/>
      <c r="AB15" s="10"/>
      <c r="AC15" s="10"/>
      <c r="AD15" s="10"/>
      <c r="AE15" s="10"/>
      <c r="AF15" s="10"/>
      <c r="AG15" s="9">
        <f>+AF8+AG8+AH8</f>
        <v>774</v>
      </c>
      <c r="AH15" s="9"/>
      <c r="AI15" s="10"/>
      <c r="AJ15" s="10"/>
      <c r="AK15" s="10"/>
      <c r="AL15" s="9"/>
      <c r="AM15" s="9"/>
      <c r="AN15" s="10"/>
      <c r="AO15" s="10"/>
      <c r="AP15" s="9"/>
      <c r="AQ15" s="10"/>
      <c r="AR15" s="9"/>
      <c r="AS15" s="10"/>
      <c r="AT15" s="10"/>
      <c r="AU15" s="10"/>
      <c r="AV15" s="10"/>
      <c r="AW15" s="9"/>
      <c r="AX15" s="8"/>
      <c r="AY15" s="8"/>
      <c r="AZ15" s="9"/>
      <c r="BA15" s="8"/>
      <c r="BB15" s="8"/>
      <c r="BC15" s="8"/>
      <c r="BD15" s="8"/>
      <c r="BE15" s="9"/>
      <c r="BF15" s="9"/>
      <c r="BG15" s="8"/>
      <c r="BH15" s="8"/>
      <c r="BI15" s="8"/>
      <c r="BJ15" s="8"/>
      <c r="BK15" s="8"/>
      <c r="BL15" s="8"/>
      <c r="BM15" s="8"/>
      <c r="BN15" s="8"/>
      <c r="BO15" s="12"/>
      <c r="BP15" s="12"/>
      <c r="BQ15" s="12"/>
      <c r="BR15" s="8"/>
      <c r="BS15" s="8"/>
      <c r="BT15" s="8"/>
      <c r="BU15" s="21"/>
      <c r="BV15" s="9"/>
      <c r="BW15" s="8"/>
      <c r="BX15" s="8"/>
      <c r="BY15" s="8"/>
      <c r="BZ15" s="9"/>
      <c r="CA15" s="9"/>
      <c r="CB15" s="8"/>
      <c r="CC15" s="8"/>
      <c r="CD15" s="9"/>
      <c r="CE15" s="8"/>
      <c r="CF15" s="8"/>
      <c r="CG15" s="21"/>
      <c r="CH15" s="9"/>
      <c r="CI15" s="8"/>
      <c r="CJ15" s="8"/>
      <c r="CK15" s="9"/>
      <c r="CL15" s="8"/>
      <c r="CM15" s="8"/>
      <c r="CN15" s="9">
        <v>620</v>
      </c>
      <c r="CO15" s="35">
        <v>0.17</v>
      </c>
      <c r="CP15" s="8"/>
      <c r="CQ15" s="8"/>
      <c r="CR15" s="8"/>
      <c r="CS15" s="8"/>
      <c r="CT15" s="8"/>
      <c r="CU15" s="21"/>
      <c r="CV15" s="9"/>
      <c r="CW15" s="9">
        <f>+CW22+CX22+CY22</f>
        <v>483</v>
      </c>
      <c r="CX15" s="8"/>
      <c r="CY15" s="8"/>
      <c r="CZ15" s="8"/>
      <c r="DA15" s="8"/>
      <c r="DB15" s="8"/>
      <c r="DC15" s="8">
        <v>64</v>
      </c>
      <c r="DD15" s="13"/>
      <c r="DE15" s="8"/>
      <c r="DF15" s="8"/>
      <c r="DG15" s="19"/>
      <c r="DH15" s="19"/>
      <c r="DI15" s="10"/>
      <c r="DJ15" s="19"/>
      <c r="DK15" s="8"/>
      <c r="DL15" s="23"/>
      <c r="DM15" s="10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</row>
    <row r="16" spans="1:129" ht="15" thickBot="1" x14ac:dyDescent="0.35">
      <c r="A16" s="8"/>
      <c r="B16" s="18"/>
      <c r="C16" s="8"/>
      <c r="D16" s="18"/>
      <c r="E16" s="18"/>
      <c r="F16" s="18"/>
      <c r="G16" s="18"/>
      <c r="H16" s="8"/>
      <c r="I16" s="18"/>
      <c r="J16" s="18"/>
      <c r="K16" s="18"/>
      <c r="L16" s="8"/>
      <c r="M16" s="18"/>
      <c r="N16" s="18"/>
      <c r="O16" s="8"/>
      <c r="P16" s="18"/>
      <c r="Q16" s="18"/>
      <c r="R16" s="8"/>
      <c r="S16" s="18"/>
      <c r="T16" s="18"/>
      <c r="U16" s="8"/>
      <c r="V16" s="8"/>
      <c r="W16" s="70">
        <v>127</v>
      </c>
      <c r="X16" s="70"/>
      <c r="Y16" s="18"/>
      <c r="Z16" s="8"/>
      <c r="AA16" s="18"/>
      <c r="AB16" s="18"/>
      <c r="AC16" s="8"/>
      <c r="AD16" s="18"/>
      <c r="AE16" s="18"/>
      <c r="AF16" s="18"/>
      <c r="AG16" s="8"/>
      <c r="AH16" s="8"/>
      <c r="AI16" s="18"/>
      <c r="AJ16" s="18"/>
      <c r="AK16" s="18"/>
      <c r="AL16" s="8"/>
      <c r="AM16" s="8"/>
      <c r="AN16" s="18"/>
      <c r="AO16" s="18"/>
      <c r="AP16" s="8"/>
      <c r="AQ16" s="18"/>
      <c r="AR16" s="8"/>
      <c r="AS16" s="18"/>
      <c r="AT16" s="8"/>
      <c r="AU16" s="18"/>
      <c r="AV16" s="18"/>
      <c r="AW16" s="11"/>
      <c r="AX16" s="10"/>
      <c r="AY16" s="10"/>
      <c r="AZ16" s="9"/>
      <c r="BA16" s="10"/>
      <c r="BB16" s="10"/>
      <c r="BC16" s="10"/>
      <c r="BD16" s="14"/>
      <c r="BE16" s="9"/>
      <c r="BF16" s="9"/>
      <c r="BG16" s="10"/>
      <c r="BH16" s="10"/>
      <c r="BI16" s="10"/>
      <c r="BJ16" s="10"/>
      <c r="BK16" s="10"/>
      <c r="BL16" s="8"/>
      <c r="BM16" s="8"/>
      <c r="BN16" s="8"/>
      <c r="BO16" s="12"/>
      <c r="BP16" s="12"/>
      <c r="BQ16" s="12"/>
      <c r="BR16" s="8"/>
      <c r="BS16" s="8"/>
      <c r="BT16" s="8"/>
      <c r="BU16" s="21"/>
      <c r="BV16" s="8"/>
      <c r="BW16" s="21"/>
      <c r="BX16" s="8"/>
      <c r="BY16" s="8"/>
      <c r="BZ16" s="9"/>
      <c r="CA16" s="8"/>
      <c r="CB16" s="8"/>
      <c r="CC16" s="8"/>
      <c r="CD16" s="8"/>
      <c r="CE16" s="8"/>
      <c r="CF16" s="8"/>
      <c r="CG16" s="21"/>
      <c r="CH16" s="8"/>
      <c r="CI16" s="8"/>
      <c r="CJ16" s="8"/>
      <c r="CK16" s="8"/>
      <c r="CL16" s="8"/>
      <c r="CM16" s="8"/>
      <c r="CN16" s="9"/>
      <c r="CO16" s="9">
        <v>421</v>
      </c>
      <c r="CP16" s="8"/>
      <c r="CQ16" s="8"/>
      <c r="CR16" s="8"/>
      <c r="CS16" s="8"/>
      <c r="CT16" s="8"/>
      <c r="CU16" s="21"/>
      <c r="CV16" s="9"/>
      <c r="CW16" s="9"/>
      <c r="CX16" s="8"/>
      <c r="CY16" s="8"/>
      <c r="CZ16" s="8"/>
      <c r="DA16" s="8"/>
      <c r="DB16" s="8"/>
      <c r="DC16" s="8"/>
      <c r="DD16" s="8"/>
      <c r="DE16" s="9"/>
      <c r="DF16" s="9"/>
      <c r="DG16" s="8"/>
      <c r="DH16" s="8"/>
      <c r="DI16" s="8"/>
      <c r="DJ16" s="8"/>
      <c r="DK16" s="9"/>
      <c r="DL16" s="21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</row>
    <row r="17" spans="1:129" x14ac:dyDescent="0.3">
      <c r="A17" s="8"/>
      <c r="B17" s="10"/>
      <c r="C17" s="19"/>
      <c r="D17" s="10"/>
      <c r="E17" s="10"/>
      <c r="F17" s="10"/>
      <c r="G17" s="10"/>
      <c r="H17" s="8"/>
      <c r="I17" s="10"/>
      <c r="J17" s="10"/>
      <c r="K17" s="10"/>
      <c r="L17" s="8"/>
      <c r="M17" s="10"/>
      <c r="N17" s="10"/>
      <c r="O17" s="8"/>
      <c r="P17" s="10"/>
      <c r="Q17" s="10"/>
      <c r="R17" s="8"/>
      <c r="S17" s="10"/>
      <c r="T17" s="10"/>
      <c r="U17" s="8"/>
      <c r="V17" s="8"/>
      <c r="W17" s="44">
        <v>486</v>
      </c>
      <c r="X17" s="44"/>
      <c r="Y17" s="10"/>
      <c r="Z17" s="8"/>
      <c r="AA17" s="10"/>
      <c r="AB17" s="10"/>
      <c r="AC17" s="8"/>
      <c r="AD17" s="10"/>
      <c r="AE17" s="10"/>
      <c r="AF17" s="10"/>
      <c r="AG17" s="8"/>
      <c r="AH17" s="8"/>
      <c r="AI17" s="10"/>
      <c r="AJ17" s="10"/>
      <c r="AK17" s="10"/>
      <c r="AL17" s="8"/>
      <c r="AM17" s="8"/>
      <c r="AN17" s="10"/>
      <c r="AO17" s="10"/>
      <c r="AP17" s="8"/>
      <c r="AQ17" s="10"/>
      <c r="AR17" s="8"/>
      <c r="AS17" s="10"/>
      <c r="AT17" s="8"/>
      <c r="AU17" s="10"/>
      <c r="AV17" s="10"/>
      <c r="AW17" s="8"/>
      <c r="AX17" s="8"/>
      <c r="AY17" s="8"/>
      <c r="AZ17" s="8"/>
      <c r="BA17" s="8"/>
      <c r="BB17" s="8"/>
      <c r="BC17" s="8"/>
      <c r="BD17" s="21">
        <f>0.9*BH18</f>
        <v>1201.5</v>
      </c>
      <c r="BE17" s="8"/>
      <c r="BF17" s="8"/>
      <c r="BG17" s="8"/>
      <c r="BH17" s="8"/>
      <c r="BI17" s="8"/>
      <c r="BJ17" s="8"/>
      <c r="BK17" s="8"/>
      <c r="BL17" s="10"/>
      <c r="BM17" s="10"/>
      <c r="BN17" s="10"/>
      <c r="BO17" s="12"/>
      <c r="BP17" s="12"/>
      <c r="BQ17" s="15">
        <v>64</v>
      </c>
      <c r="BR17" s="8"/>
      <c r="BS17" s="8"/>
      <c r="BT17" s="8"/>
      <c r="BU17" s="21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21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9"/>
      <c r="CW17" s="9"/>
      <c r="CX17" s="8"/>
      <c r="CY17" s="8"/>
      <c r="CZ17" s="8"/>
      <c r="DA17" s="8"/>
      <c r="DB17" s="8"/>
      <c r="DC17" s="8"/>
      <c r="DD17" s="8"/>
      <c r="DE17" s="9"/>
      <c r="DF17" s="9"/>
      <c r="DG17" s="8"/>
      <c r="DH17" s="8"/>
      <c r="DI17" s="8"/>
      <c r="DJ17" s="8"/>
      <c r="DK17" s="9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</row>
    <row r="18" spans="1:129" ht="18" x14ac:dyDescent="0.35">
      <c r="A18" s="8"/>
      <c r="B18" s="21"/>
      <c r="C18" s="95">
        <v>1614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>
        <f>+T18+U18</f>
        <v>1714</v>
      </c>
      <c r="S18" s="95">
        <v>1714</v>
      </c>
      <c r="T18" s="97">
        <f>W17+U29+S9</f>
        <v>1099</v>
      </c>
      <c r="U18" s="98">
        <v>615</v>
      </c>
      <c r="V18" s="77">
        <f>+S18-T18</f>
        <v>615</v>
      </c>
      <c r="W18" s="21"/>
      <c r="X18" s="21"/>
      <c r="Y18" s="104">
        <v>1536</v>
      </c>
      <c r="Z18" s="8"/>
      <c r="AA18" s="8"/>
      <c r="AB18" s="105">
        <v>1536</v>
      </c>
      <c r="AC18" s="8"/>
      <c r="AD18" s="97">
        <f>+AK18+AG31+AF8</f>
        <v>1421</v>
      </c>
      <c r="AE18" s="8"/>
      <c r="AF18" s="8"/>
      <c r="AG18" s="8"/>
      <c r="AH18" s="8"/>
      <c r="AI18" s="37">
        <v>0.3</v>
      </c>
      <c r="AJ18" s="37"/>
      <c r="AK18" s="43">
        <v>1017</v>
      </c>
      <c r="AL18" s="8"/>
      <c r="AM18" s="8"/>
      <c r="AN18" s="8"/>
      <c r="AO18" s="8"/>
      <c r="AP18" s="8"/>
      <c r="AQ18" s="8"/>
      <c r="AR18" s="8"/>
      <c r="AS18" s="8"/>
      <c r="AT18" s="8"/>
      <c r="AU18" s="21"/>
      <c r="AV18" s="49">
        <v>1538</v>
      </c>
      <c r="AW18" s="8"/>
      <c r="AX18" s="21"/>
      <c r="AY18" s="48">
        <f>+BD17+BE13+BE26</f>
        <v>1517.5</v>
      </c>
      <c r="AZ18" s="21"/>
      <c r="BA18" s="8"/>
      <c r="BB18" s="8"/>
      <c r="BC18" s="8"/>
      <c r="BD18" s="21">
        <f>0.1*BH18</f>
        <v>133.5</v>
      </c>
      <c r="BE18" s="8"/>
      <c r="BF18" s="8"/>
      <c r="BG18" s="21"/>
      <c r="BH18" s="21">
        <v>1335</v>
      </c>
      <c r="BI18" s="48">
        <f>BN18+BJ28+BK28</f>
        <v>1335</v>
      </c>
      <c r="BJ18" s="21"/>
      <c r="BK18" s="8"/>
      <c r="BL18" s="37">
        <v>0.32</v>
      </c>
      <c r="BM18" s="37"/>
      <c r="BN18" s="43">
        <v>831</v>
      </c>
      <c r="BO18" s="8"/>
      <c r="BP18" s="8"/>
      <c r="BQ18" s="8"/>
      <c r="BR18" s="8"/>
      <c r="BS18" s="8"/>
      <c r="BT18" s="8"/>
      <c r="BU18" s="21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9"/>
      <c r="CW18" s="9"/>
      <c r="CX18" s="8"/>
      <c r="CY18" s="8"/>
      <c r="CZ18" s="8"/>
      <c r="DA18" s="8"/>
      <c r="DB18" s="8"/>
      <c r="DC18" s="8"/>
      <c r="DD18" s="8"/>
      <c r="DE18" s="9"/>
      <c r="DF18" s="9">
        <v>605</v>
      </c>
      <c r="DG18" s="43">
        <v>326</v>
      </c>
      <c r="DH18" s="8"/>
      <c r="DI18" s="21"/>
      <c r="DJ18" s="8"/>
      <c r="DK18" s="9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</row>
    <row r="19" spans="1:129" ht="15" thickBot="1" x14ac:dyDescent="0.35">
      <c r="A19" s="8"/>
      <c r="B19" s="8"/>
      <c r="C19" s="8"/>
      <c r="D19" s="17"/>
      <c r="E19" s="8"/>
      <c r="F19" s="8"/>
      <c r="G19" s="17"/>
      <c r="H19" s="8"/>
      <c r="I19" s="17"/>
      <c r="J19" s="17"/>
      <c r="K19" s="17"/>
      <c r="L19" s="8"/>
      <c r="M19" s="17"/>
      <c r="N19" s="17"/>
      <c r="O19" s="8"/>
      <c r="P19" s="17"/>
      <c r="Q19" s="17"/>
      <c r="R19" s="8"/>
      <c r="S19" s="17"/>
      <c r="T19" s="17"/>
      <c r="U19" s="8"/>
      <c r="V19" s="8"/>
      <c r="W19" s="17"/>
      <c r="X19" s="17"/>
      <c r="Y19" s="25"/>
      <c r="Z19" s="8"/>
      <c r="AA19" s="17"/>
      <c r="AB19" s="17"/>
      <c r="AC19" s="8"/>
      <c r="AD19" s="17"/>
      <c r="AE19" s="8">
        <v>394</v>
      </c>
      <c r="AF19" s="17"/>
      <c r="AG19" s="8"/>
      <c r="AH19" s="8"/>
      <c r="AI19" s="69">
        <f>+AK18+AK19</f>
        <v>1142</v>
      </c>
      <c r="AJ19" s="17"/>
      <c r="AK19" s="72">
        <v>125</v>
      </c>
      <c r="AL19" s="8"/>
      <c r="AM19" s="8"/>
      <c r="AN19" s="17"/>
      <c r="AO19" s="17"/>
      <c r="AP19" s="8"/>
      <c r="AQ19" s="17"/>
      <c r="AR19" s="8"/>
      <c r="AS19" s="17"/>
      <c r="AT19" s="8"/>
      <c r="AU19" s="8"/>
      <c r="AV19" s="21"/>
      <c r="AW19" s="8"/>
      <c r="AX19" s="10"/>
      <c r="AY19" s="10"/>
      <c r="AZ19" s="8"/>
      <c r="BA19" s="10"/>
      <c r="BB19" s="10"/>
      <c r="BC19" s="10"/>
      <c r="BD19" s="10"/>
      <c r="BE19" s="8"/>
      <c r="BF19" s="8"/>
      <c r="BG19" s="10"/>
      <c r="BH19" s="10"/>
      <c r="BI19" s="10"/>
      <c r="BJ19" s="23"/>
      <c r="BK19" s="8"/>
      <c r="BL19" s="10">
        <f>+BN18+BN19</f>
        <v>918</v>
      </c>
      <c r="BM19" s="10"/>
      <c r="BN19" s="44">
        <v>87</v>
      </c>
      <c r="BO19" s="8"/>
      <c r="BP19" s="8"/>
      <c r="BQ19" s="10"/>
      <c r="BR19" s="8"/>
      <c r="BS19" s="21"/>
      <c r="BT19" s="8">
        <v>380</v>
      </c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9"/>
      <c r="CW19" s="9"/>
      <c r="CX19" s="8"/>
      <c r="CY19" s="8"/>
      <c r="CZ19" s="8"/>
      <c r="DA19" s="8"/>
      <c r="DB19" s="8"/>
      <c r="DC19" s="8"/>
      <c r="DD19" s="8"/>
      <c r="DE19" s="9"/>
      <c r="DF19" s="9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</row>
    <row r="20" spans="1:129" ht="18" x14ac:dyDescent="0.35">
      <c r="A20" s="8"/>
      <c r="B20" s="22"/>
      <c r="C20" s="96">
        <v>1467</v>
      </c>
      <c r="D20" s="8"/>
      <c r="E20" s="16"/>
      <c r="F20" s="1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5">
        <f>+T22+T23</f>
        <v>696</v>
      </c>
      <c r="T20" s="8"/>
      <c r="U20" s="99">
        <v>771</v>
      </c>
      <c r="V20" s="77">
        <f>+Y20-Y21</f>
        <v>331</v>
      </c>
      <c r="W20" s="21"/>
      <c r="X20" s="21"/>
      <c r="Y20" s="103">
        <v>1784</v>
      </c>
      <c r="Z20" s="8"/>
      <c r="AA20" s="8"/>
      <c r="AB20" s="95">
        <v>1784</v>
      </c>
      <c r="AC20" s="8"/>
      <c r="AD20" s="105">
        <f>AE19+AE20+AE21</f>
        <v>1648</v>
      </c>
      <c r="AE20" s="68">
        <v>1205</v>
      </c>
      <c r="AF20" s="37">
        <v>0.44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22"/>
      <c r="AV20" s="50">
        <v>1412</v>
      </c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>
        <v>806</v>
      </c>
      <c r="BJ20" s="39">
        <v>0.48</v>
      </c>
      <c r="BK20" s="8"/>
      <c r="BL20" s="8"/>
      <c r="BM20" s="8"/>
      <c r="BN20" s="8"/>
      <c r="BO20" s="21">
        <f>+BN21*0.3</f>
        <v>371.49999999999994</v>
      </c>
      <c r="BP20" s="8"/>
      <c r="BQ20" s="8"/>
      <c r="BR20" s="8"/>
      <c r="BS20" s="21"/>
      <c r="BT20" s="8">
        <v>93</v>
      </c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9"/>
      <c r="CW20" s="9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</row>
    <row r="21" spans="1:129" ht="18" x14ac:dyDescent="0.35">
      <c r="A21" s="8"/>
      <c r="B21" s="23"/>
      <c r="C21" s="10"/>
      <c r="D21" s="10"/>
      <c r="E21" s="8"/>
      <c r="F21" s="10"/>
      <c r="G21" s="10"/>
      <c r="H21" s="8"/>
      <c r="I21" s="10"/>
      <c r="J21" s="10"/>
      <c r="K21" s="10"/>
      <c r="L21" s="10"/>
      <c r="M21" s="10"/>
      <c r="N21" s="10"/>
      <c r="O21" s="8"/>
      <c r="P21" s="10"/>
      <c r="Q21" s="10"/>
      <c r="R21" s="8"/>
      <c r="S21" s="10"/>
      <c r="T21" s="10"/>
      <c r="U21" s="8"/>
      <c r="V21" s="8"/>
      <c r="W21" s="10"/>
      <c r="X21" s="10"/>
      <c r="Y21" s="102">
        <f>T22+U9+W29+U20</f>
        <v>1453</v>
      </c>
      <c r="Z21" s="8"/>
      <c r="AA21" s="10"/>
      <c r="AB21" s="10"/>
      <c r="AC21" s="8"/>
      <c r="AD21" s="10"/>
      <c r="AE21" s="8">
        <v>49</v>
      </c>
      <c r="AF21" s="23">
        <f>+AE19+AE20+AE21</f>
        <v>1648</v>
      </c>
      <c r="AG21" s="10"/>
      <c r="AH21" s="8"/>
      <c r="AI21" s="46">
        <f>+AE20+AI31+AH8</f>
        <v>1546</v>
      </c>
      <c r="AJ21" s="10"/>
      <c r="AK21" s="10"/>
      <c r="AL21" s="8"/>
      <c r="AM21" s="8"/>
      <c r="AN21" s="10"/>
      <c r="AO21" s="10"/>
      <c r="AP21" s="8"/>
      <c r="AQ21" s="10"/>
      <c r="AR21" s="8"/>
      <c r="AS21" s="10"/>
      <c r="AT21" s="8"/>
      <c r="AU21" s="10"/>
      <c r="AV21" s="23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21"/>
      <c r="BH21" s="21">
        <v>1245</v>
      </c>
      <c r="BI21" s="21">
        <v>581</v>
      </c>
      <c r="BJ21" s="21">
        <v>1515</v>
      </c>
      <c r="BK21" s="8"/>
      <c r="BL21" s="10"/>
      <c r="BM21" s="10"/>
      <c r="BN21" s="45">
        <f>(BI21/1.5)+BL28+BI20</f>
        <v>1238.3333333333333</v>
      </c>
      <c r="BO21" s="23">
        <f>+BN21*0.7</f>
        <v>866.83333333333326</v>
      </c>
      <c r="BP21" s="10"/>
      <c r="BQ21" s="10"/>
      <c r="BR21" s="8"/>
      <c r="BS21" s="8"/>
      <c r="BT21" s="8">
        <f>BT19+BT20</f>
        <v>473</v>
      </c>
      <c r="BU21" s="8"/>
      <c r="BV21" s="8">
        <v>249</v>
      </c>
      <c r="BW21" s="43">
        <v>77</v>
      </c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9"/>
      <c r="CW21" s="9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</row>
    <row r="22" spans="1:129" ht="18.600000000000001" thickBot="1" x14ac:dyDescent="0.4">
      <c r="A22" s="8"/>
      <c r="B22" s="24"/>
      <c r="C22" s="18"/>
      <c r="D22" s="18"/>
      <c r="E22" s="8"/>
      <c r="F22" s="18"/>
      <c r="G22" s="18"/>
      <c r="H22" s="8"/>
      <c r="I22" s="18"/>
      <c r="J22" s="18"/>
      <c r="K22" s="18"/>
      <c r="L22" s="18"/>
      <c r="M22" s="18"/>
      <c r="N22" s="18"/>
      <c r="O22" s="8"/>
      <c r="P22" s="18"/>
      <c r="Q22" s="18"/>
      <c r="R22" s="8"/>
      <c r="S22" s="18"/>
      <c r="T22" s="100">
        <v>331</v>
      </c>
      <c r="U22" s="8"/>
      <c r="V22" s="8"/>
      <c r="W22" s="18"/>
      <c r="X22" s="18"/>
      <c r="Y22" s="24"/>
      <c r="Z22" s="8"/>
      <c r="AA22" s="18"/>
      <c r="AB22" s="18"/>
      <c r="AC22" s="8"/>
      <c r="AD22" s="18"/>
      <c r="AE22" s="18"/>
      <c r="AF22" s="18"/>
      <c r="AG22" s="18"/>
      <c r="AH22" s="8"/>
      <c r="AI22" s="18"/>
      <c r="AJ22" s="18"/>
      <c r="AK22" s="18"/>
      <c r="AL22" s="8"/>
      <c r="AM22" s="8"/>
      <c r="AN22" s="18"/>
      <c r="AO22" s="18"/>
      <c r="AP22" s="8"/>
      <c r="AQ22" s="18"/>
      <c r="AR22" s="8"/>
      <c r="AS22" s="8"/>
      <c r="AT22" s="8"/>
      <c r="AU22" s="18"/>
      <c r="AV22" s="24"/>
      <c r="AW22" s="8"/>
      <c r="AX22" s="10"/>
      <c r="AY22" s="10"/>
      <c r="AZ22" s="8"/>
      <c r="BA22" s="10"/>
      <c r="BB22" s="10"/>
      <c r="BC22" s="8"/>
      <c r="BD22" s="8"/>
      <c r="BE22" s="8"/>
      <c r="BF22" s="8"/>
      <c r="BG22" s="10"/>
      <c r="BH22" s="45">
        <f>BD30+BF27+BG27</f>
        <v>1245.4000000000001</v>
      </c>
      <c r="BI22" s="10">
        <v>179</v>
      </c>
      <c r="BJ22" s="23"/>
      <c r="BK22" s="9"/>
      <c r="BL22" s="8"/>
      <c r="BM22" s="8"/>
      <c r="BN22" s="8">
        <v>1238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>
        <v>28</v>
      </c>
      <c r="CA22" s="41">
        <v>131</v>
      </c>
      <c r="CB22" s="41">
        <v>40</v>
      </c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9">
        <f>+CZ11+CV3+CT14</f>
        <v>567</v>
      </c>
      <c r="CW22" s="9">
        <v>73</v>
      </c>
      <c r="CX22" s="41">
        <v>302</v>
      </c>
      <c r="CY22" s="43">
        <v>108</v>
      </c>
      <c r="CZ22" s="8"/>
      <c r="DA22" s="8"/>
      <c r="DB22" s="8"/>
      <c r="DC22" s="8"/>
      <c r="DD22" s="8"/>
      <c r="DE22" s="8">
        <v>45</v>
      </c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</row>
    <row r="23" spans="1:129" ht="18" x14ac:dyDescent="0.35">
      <c r="A23" s="8"/>
      <c r="B23" s="23"/>
      <c r="C23" s="10"/>
      <c r="D23" s="10"/>
      <c r="E23" s="8"/>
      <c r="F23" s="10"/>
      <c r="G23" s="10"/>
      <c r="H23" s="8"/>
      <c r="I23" s="10"/>
      <c r="J23" s="10"/>
      <c r="K23" s="10"/>
      <c r="L23" s="10"/>
      <c r="M23" s="10"/>
      <c r="N23" s="10"/>
      <c r="O23" s="8"/>
      <c r="P23" s="10"/>
      <c r="Q23" s="10"/>
      <c r="R23" s="8"/>
      <c r="S23" s="10"/>
      <c r="T23" s="101">
        <v>365</v>
      </c>
      <c r="U23" s="8"/>
      <c r="V23" s="8"/>
      <c r="W23" s="10"/>
      <c r="X23" s="10"/>
      <c r="Y23" s="23"/>
      <c r="Z23" s="10"/>
      <c r="AA23" s="10"/>
      <c r="AB23" s="10"/>
      <c r="AC23" s="8"/>
      <c r="AD23" s="10"/>
      <c r="AE23" s="10"/>
      <c r="AF23" s="10"/>
      <c r="AG23" s="10"/>
      <c r="AH23" s="8"/>
      <c r="AI23" s="10"/>
      <c r="AJ23" s="10"/>
      <c r="AK23" s="10"/>
      <c r="AL23" s="10"/>
      <c r="AM23" s="10"/>
      <c r="AN23" s="10"/>
      <c r="AO23" s="10"/>
      <c r="AP23" s="8"/>
      <c r="AQ23" s="10"/>
      <c r="AR23" s="8"/>
      <c r="AS23" s="19"/>
      <c r="AT23" s="8"/>
      <c r="AU23" s="10"/>
      <c r="AV23" s="23"/>
      <c r="AW23" s="11"/>
      <c r="AX23" s="8"/>
      <c r="AY23" s="8"/>
      <c r="AZ23" s="9"/>
      <c r="BA23" s="8"/>
      <c r="BB23" s="8"/>
      <c r="BC23" s="211" t="s">
        <v>23</v>
      </c>
      <c r="BD23" s="212"/>
      <c r="BE23" s="214"/>
      <c r="BF23" s="215"/>
      <c r="BG23" s="8"/>
      <c r="BH23" s="8"/>
      <c r="BI23" s="21">
        <f>+BI20+BI21+BI22</f>
        <v>1566</v>
      </c>
      <c r="BJ23" s="21"/>
      <c r="BK23" s="35">
        <v>0.2</v>
      </c>
      <c r="BL23" s="8"/>
      <c r="BM23" s="73">
        <f>BI21/1.5</f>
        <v>387.33333333333331</v>
      </c>
      <c r="BN23" s="74" t="s">
        <v>44</v>
      </c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9"/>
      <c r="CW23" s="9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</row>
    <row r="24" spans="1:129" ht="16.2" thickBot="1" x14ac:dyDescent="0.35">
      <c r="A24" s="8"/>
      <c r="B24" s="21"/>
      <c r="C24" s="8"/>
      <c r="D24" s="8"/>
      <c r="E24" s="9"/>
      <c r="F24" s="8"/>
      <c r="G24" s="8"/>
      <c r="H24" s="9"/>
      <c r="I24" s="8"/>
      <c r="J24" s="8"/>
      <c r="K24" s="8"/>
      <c r="L24" s="8"/>
      <c r="M24" s="8"/>
      <c r="N24" s="8"/>
      <c r="O24" s="9"/>
      <c r="P24" s="8"/>
      <c r="Q24" s="8"/>
      <c r="R24" s="9"/>
      <c r="S24" s="8"/>
      <c r="T24" s="8"/>
      <c r="U24" s="26"/>
      <c r="V24" s="9"/>
      <c r="W24" s="8"/>
      <c r="X24" s="8"/>
      <c r="Y24" s="21"/>
      <c r="Z24" s="8"/>
      <c r="AA24" s="8"/>
      <c r="AB24" s="8"/>
      <c r="AC24" s="9"/>
      <c r="AD24" s="8"/>
      <c r="AE24" s="8"/>
      <c r="AF24" s="8"/>
      <c r="AG24" s="8"/>
      <c r="AH24" s="9"/>
      <c r="AI24" s="8"/>
      <c r="AJ24" s="8"/>
      <c r="AK24" s="8"/>
      <c r="AL24" s="8"/>
      <c r="AM24" s="8"/>
      <c r="AN24" s="8"/>
      <c r="AO24" s="8"/>
      <c r="AP24" s="9"/>
      <c r="AQ24" s="8"/>
      <c r="AR24" s="9"/>
      <c r="AS24" s="8"/>
      <c r="AT24" s="9"/>
      <c r="AU24" s="8"/>
      <c r="AV24" s="21"/>
      <c r="AW24" s="9"/>
      <c r="AX24" s="8"/>
      <c r="AY24" s="8"/>
      <c r="AZ24" s="9"/>
      <c r="BA24" s="8"/>
      <c r="BB24" s="8"/>
      <c r="BC24" s="211"/>
      <c r="BD24" s="212"/>
      <c r="BE24" s="214"/>
      <c r="BF24" s="215"/>
      <c r="BG24" s="8"/>
      <c r="BH24" s="8"/>
      <c r="BI24" s="8"/>
      <c r="BJ24" s="21"/>
      <c r="BK24" s="9"/>
      <c r="BL24" s="8"/>
      <c r="BM24" s="75">
        <f>+BI21-BM23</f>
        <v>193.66666666666669</v>
      </c>
      <c r="BN24" s="76" t="s">
        <v>43</v>
      </c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63">
        <f>+CV25+CW25+CU25</f>
        <v>648</v>
      </c>
      <c r="CW24" s="9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</row>
    <row r="25" spans="1:129" x14ac:dyDescent="0.3">
      <c r="A25" s="8"/>
      <c r="B25" s="21"/>
      <c r="C25" s="8"/>
      <c r="D25" s="8"/>
      <c r="E25" s="9"/>
      <c r="F25" s="8"/>
      <c r="G25" s="8"/>
      <c r="H25" s="9"/>
      <c r="I25" s="8"/>
      <c r="J25" s="8"/>
      <c r="K25" s="8"/>
      <c r="L25" s="8"/>
      <c r="M25" s="8"/>
      <c r="N25" s="8"/>
      <c r="O25" s="9"/>
      <c r="P25" s="8"/>
      <c r="Q25" s="8"/>
      <c r="R25" s="9"/>
      <c r="S25" s="8"/>
      <c r="T25" s="8"/>
      <c r="U25" s="9"/>
      <c r="V25" s="9"/>
      <c r="W25" s="8"/>
      <c r="X25" s="8"/>
      <c r="Y25" s="8"/>
      <c r="Z25" s="8"/>
      <c r="AA25" s="8"/>
      <c r="AB25" s="8"/>
      <c r="AC25" s="9"/>
      <c r="AD25" s="8"/>
      <c r="AE25" s="8"/>
      <c r="AF25" s="8"/>
      <c r="AG25" s="8"/>
      <c r="AH25" s="9"/>
      <c r="AI25" s="8"/>
      <c r="AJ25" s="8"/>
      <c r="AK25" s="8"/>
      <c r="AL25" s="8"/>
      <c r="AM25" s="8"/>
      <c r="AN25" s="8"/>
      <c r="AO25" s="8"/>
      <c r="AP25" s="9"/>
      <c r="AQ25" s="8"/>
      <c r="AR25" s="9"/>
      <c r="AS25" s="8"/>
      <c r="AT25" s="9"/>
      <c r="AU25" s="8"/>
      <c r="AV25" s="8"/>
      <c r="AW25" s="9"/>
      <c r="AX25" s="8"/>
      <c r="AY25" s="8"/>
      <c r="AZ25" s="9"/>
      <c r="BA25" s="8"/>
      <c r="BB25" s="8"/>
      <c r="BC25" s="211"/>
      <c r="BD25" s="212"/>
      <c r="BE25" s="214"/>
      <c r="BF25" s="215"/>
      <c r="BG25" s="8"/>
      <c r="BH25" s="8"/>
      <c r="BI25" s="8"/>
      <c r="BJ25" s="8"/>
      <c r="BK25" s="9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>
        <v>122</v>
      </c>
      <c r="CV25" s="9">
        <v>414</v>
      </c>
      <c r="CW25" s="9">
        <v>112</v>
      </c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</row>
    <row r="26" spans="1:129" x14ac:dyDescent="0.3">
      <c r="A26" s="8"/>
      <c r="B26" s="21"/>
      <c r="C26" s="8"/>
      <c r="D26" s="8"/>
      <c r="E26" s="9"/>
      <c r="F26" s="8"/>
      <c r="G26" s="8"/>
      <c r="H26" s="9"/>
      <c r="I26" s="8"/>
      <c r="J26" s="8"/>
      <c r="K26" s="8"/>
      <c r="L26" s="8"/>
      <c r="M26" s="8"/>
      <c r="N26" s="8"/>
      <c r="O26" s="9"/>
      <c r="P26" s="8"/>
      <c r="Q26" s="8"/>
      <c r="R26" s="9"/>
      <c r="S26" s="8"/>
      <c r="T26" s="8"/>
      <c r="U26" s="9"/>
      <c r="V26" s="9"/>
      <c r="W26" s="8"/>
      <c r="X26" s="8"/>
      <c r="Y26" s="8"/>
      <c r="Z26" s="8"/>
      <c r="AA26" s="8"/>
      <c r="AB26" s="8"/>
      <c r="AC26" s="9"/>
      <c r="AD26" s="8"/>
      <c r="AE26" s="8"/>
      <c r="AF26" s="8"/>
      <c r="AG26" s="8"/>
      <c r="AH26" s="35">
        <v>0.06</v>
      </c>
      <c r="AI26" s="8"/>
      <c r="AJ26" s="8"/>
      <c r="AK26" s="8"/>
      <c r="AL26" s="8"/>
      <c r="AM26" s="8"/>
      <c r="AN26" s="8"/>
      <c r="AO26" s="8"/>
      <c r="AP26" s="9"/>
      <c r="AQ26" s="8"/>
      <c r="AR26" s="9"/>
      <c r="AS26" s="8"/>
      <c r="AT26" s="9"/>
      <c r="AU26" s="8"/>
      <c r="AV26" s="8"/>
      <c r="AW26" s="9"/>
      <c r="AX26" s="8"/>
      <c r="AY26" s="8"/>
      <c r="AZ26" s="9"/>
      <c r="BA26" s="8"/>
      <c r="BB26" s="8"/>
      <c r="BC26" s="8"/>
      <c r="BD26" s="8"/>
      <c r="BE26" s="21">
        <v>178</v>
      </c>
      <c r="BF26" s="8"/>
      <c r="BG26" s="8"/>
      <c r="BH26" s="8"/>
      <c r="BI26" s="8"/>
      <c r="BJ26" s="8"/>
      <c r="BK26" s="9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9"/>
      <c r="CW26" s="9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</row>
    <row r="27" spans="1:129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>
        <f>+AH31+AG31+AI31</f>
        <v>228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21">
        <v>429</v>
      </c>
      <c r="BG27" s="21">
        <v>534</v>
      </c>
      <c r="BH27" s="8"/>
      <c r="BI27" s="8"/>
      <c r="BJ27" s="8"/>
      <c r="BK27" s="9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9"/>
      <c r="CW27" s="9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</row>
    <row r="28" spans="1:129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>
        <v>237</v>
      </c>
      <c r="BK28" s="42">
        <v>267</v>
      </c>
      <c r="BL28" s="43">
        <v>45</v>
      </c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9"/>
      <c r="CW28" s="9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</row>
    <row r="29" spans="1:129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41">
        <v>534</v>
      </c>
      <c r="V29" s="41">
        <v>1271</v>
      </c>
      <c r="W29" s="41">
        <v>58</v>
      </c>
      <c r="X29" s="41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21">
        <f>+BF27+BG27</f>
        <v>963</v>
      </c>
      <c r="BG29" s="8"/>
      <c r="BH29" s="8"/>
      <c r="BI29" s="8"/>
      <c r="BJ29" s="8"/>
      <c r="BK29" s="9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34">
        <v>0.33079999999999998</v>
      </c>
      <c r="CW29" s="9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</row>
    <row r="30" spans="1:129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21">
        <f>0.8*AV20</f>
        <v>1129.6000000000001</v>
      </c>
      <c r="BD30" s="62">
        <f>0.2*AV20</f>
        <v>282.40000000000003</v>
      </c>
      <c r="BE30" s="8"/>
      <c r="BF30" s="8"/>
      <c r="BG30" s="8"/>
      <c r="BH30" s="8"/>
      <c r="BI30" s="8"/>
      <c r="BJ30" s="8"/>
      <c r="BK30" s="42">
        <f>+BK28+BJ28+BL28</f>
        <v>549</v>
      </c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10"/>
      <c r="CP30" s="10"/>
      <c r="CQ30" s="10"/>
      <c r="CR30" s="10"/>
      <c r="CS30" s="10"/>
      <c r="CT30" s="10"/>
      <c r="CU30" s="10"/>
      <c r="CV30" s="59">
        <v>648</v>
      </c>
      <c r="CW30" s="9"/>
      <c r="CX30" s="10"/>
      <c r="CY30" s="10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</row>
    <row r="31" spans="1:129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>
        <v>45</v>
      </c>
      <c r="AH31" s="8">
        <v>127</v>
      </c>
      <c r="AI31" s="8">
        <v>56</v>
      </c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9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36"/>
      <c r="CV31" s="8"/>
      <c r="CW31" s="8"/>
      <c r="CX31" s="36">
        <v>0.19950000000000001</v>
      </c>
      <c r="CY31" s="8"/>
      <c r="CZ31" s="43">
        <v>48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</row>
    <row r="32" spans="1:129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21"/>
      <c r="BH32" s="8"/>
      <c r="BI32" s="8"/>
      <c r="BJ32" s="8"/>
      <c r="BK32" s="9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10"/>
      <c r="CP32" s="10"/>
      <c r="CQ32" s="10"/>
      <c r="CR32" s="10"/>
      <c r="CS32" s="10">
        <v>68</v>
      </c>
      <c r="CT32" s="10"/>
      <c r="CU32" s="10"/>
      <c r="CV32" s="8"/>
      <c r="CW32" s="8"/>
      <c r="CX32" s="10">
        <f>+CZ32+CZ31+CZ33</f>
        <v>491</v>
      </c>
      <c r="CY32" s="10"/>
      <c r="CZ32" s="43">
        <v>346</v>
      </c>
      <c r="DA32" s="8" t="s">
        <v>25</v>
      </c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</row>
    <row r="33" spans="1:129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21"/>
      <c r="BH33" s="8"/>
      <c r="BI33" s="8"/>
      <c r="BJ33" s="8"/>
      <c r="BK33" s="9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>
        <v>441</v>
      </c>
      <c r="CT33" s="8"/>
      <c r="CU33" s="36">
        <v>0.24460000000000001</v>
      </c>
      <c r="CV33" s="8"/>
      <c r="CW33" s="8"/>
      <c r="CX33" s="8"/>
      <c r="CY33" s="8"/>
      <c r="CZ33" s="43">
        <v>97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</row>
    <row r="34" spans="1:129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9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10"/>
      <c r="CP34" s="10"/>
      <c r="CQ34" s="10"/>
      <c r="CR34" s="10"/>
      <c r="CS34" s="10">
        <v>84</v>
      </c>
      <c r="CT34" s="10"/>
      <c r="CU34" s="10">
        <f>+CS34+CS33+CS32</f>
        <v>593</v>
      </c>
      <c r="CV34" s="8"/>
      <c r="CW34" s="8"/>
      <c r="CX34" s="10"/>
      <c r="CY34" s="10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</row>
    <row r="35" spans="1:129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9"/>
      <c r="BL35" s="8"/>
      <c r="BM35" s="8"/>
      <c r="BN35" s="8"/>
      <c r="BO35" s="8">
        <v>66</v>
      </c>
      <c r="BP35" s="8">
        <v>396</v>
      </c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9"/>
      <c r="CW35" s="35">
        <v>0.23</v>
      </c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</row>
    <row r="36" spans="1:129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9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9"/>
      <c r="CW36" s="9">
        <v>221</v>
      </c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</row>
    <row r="37" spans="1:129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9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9"/>
      <c r="CW37" s="9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</row>
    <row r="38" spans="1:129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9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 t="s">
        <v>26</v>
      </c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63">
        <f>+CS34+CV25+CZ33</f>
        <v>595</v>
      </c>
      <c r="CW38" s="9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</row>
    <row r="39" spans="1:129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9"/>
      <c r="BL39" s="8"/>
      <c r="BM39" s="8"/>
      <c r="BN39" s="8"/>
      <c r="BO39" s="8"/>
      <c r="BP39" s="8" t="s">
        <v>42</v>
      </c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9"/>
      <c r="CW39" s="9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</row>
    <row r="40" spans="1:129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9"/>
      <c r="BL40" s="8"/>
      <c r="BM40" s="8"/>
      <c r="BN40" s="8"/>
      <c r="BO40" s="8"/>
      <c r="BP40" s="9"/>
      <c r="BQ40" s="8"/>
      <c r="BR40" s="8"/>
      <c r="BS40" s="8"/>
      <c r="BT40" s="8"/>
      <c r="BU40" s="8"/>
      <c r="BV40" s="9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9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9"/>
      <c r="CW40" s="9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</row>
    <row r="41" spans="1:129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9"/>
      <c r="BL41" s="8"/>
      <c r="BM41" s="8"/>
      <c r="BN41" s="8"/>
      <c r="BO41" s="8"/>
      <c r="BP41" s="9"/>
      <c r="BQ41" s="8"/>
      <c r="BR41" s="8"/>
      <c r="BS41" s="8"/>
      <c r="BT41" s="8"/>
      <c r="BU41" s="8"/>
      <c r="BV41" s="9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9"/>
      <c r="CK41" s="8"/>
      <c r="CL41" s="8"/>
      <c r="CM41" s="9"/>
      <c r="CN41" s="8"/>
      <c r="CO41" s="8"/>
      <c r="CP41" s="8"/>
      <c r="CQ41" s="8"/>
      <c r="CR41" s="8"/>
      <c r="CS41" s="8"/>
      <c r="CT41" s="8"/>
      <c r="CU41" s="8"/>
      <c r="CV41" s="9"/>
      <c r="CW41" s="9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</row>
    <row r="42" spans="1:129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9"/>
      <c r="BL42" s="8"/>
      <c r="BM42" s="8"/>
      <c r="BN42" s="8"/>
      <c r="BO42" s="8"/>
      <c r="BP42" s="35">
        <v>0.32</v>
      </c>
      <c r="BQ42" s="8"/>
      <c r="BR42" s="8"/>
      <c r="BS42" s="8"/>
      <c r="BT42" s="8"/>
      <c r="BU42" s="8"/>
      <c r="BV42" s="9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9"/>
      <c r="CK42" s="8"/>
      <c r="CL42" s="8"/>
      <c r="CM42" s="9"/>
      <c r="CN42" s="8"/>
      <c r="CO42" s="8"/>
      <c r="CP42" s="8"/>
      <c r="CQ42" s="8"/>
      <c r="CR42" s="8"/>
      <c r="CS42" s="8"/>
      <c r="CT42" s="8"/>
      <c r="CU42" s="8"/>
      <c r="CV42" s="9"/>
      <c r="CW42" s="9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</row>
    <row r="43" spans="1:129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9"/>
      <c r="BL43" s="10"/>
      <c r="BM43" s="10"/>
      <c r="BN43" s="10"/>
      <c r="BO43" s="10"/>
      <c r="BP43" s="9">
        <v>457</v>
      </c>
      <c r="BQ43" s="10">
        <v>394</v>
      </c>
      <c r="BR43" s="10"/>
      <c r="BS43" s="44">
        <v>83</v>
      </c>
      <c r="BT43" s="10">
        <f>+BS43+BS44+BS45</f>
        <v>394</v>
      </c>
      <c r="BU43" s="10"/>
      <c r="BV43" s="9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9"/>
      <c r="CK43" s="10"/>
      <c r="CL43" s="10"/>
      <c r="CM43" s="9"/>
      <c r="CN43" s="8"/>
      <c r="CO43" s="8"/>
      <c r="CP43" s="8"/>
      <c r="CQ43" s="8"/>
      <c r="CR43" s="8"/>
      <c r="CS43" s="8"/>
      <c r="CT43" s="8"/>
      <c r="CU43" s="8"/>
      <c r="CV43" s="9"/>
      <c r="CW43" s="9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</row>
    <row r="44" spans="1:129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67">
        <f>+BK47+BL44</f>
        <v>549</v>
      </c>
      <c r="BL44" s="66">
        <f>+BO35+BP54+BS44</f>
        <v>378</v>
      </c>
      <c r="BM44" s="8"/>
      <c r="BN44" s="8"/>
      <c r="BO44" s="37"/>
      <c r="BP44" s="8"/>
      <c r="BQ44" s="37">
        <v>0.27</v>
      </c>
      <c r="BR44" s="37"/>
      <c r="BS44" s="43">
        <v>212</v>
      </c>
      <c r="BT44" s="65">
        <v>394</v>
      </c>
      <c r="BU44" s="21">
        <v>5153.0010771857733</v>
      </c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37">
        <v>0.13</v>
      </c>
      <c r="CJ44" s="8"/>
      <c r="CK44" s="37">
        <v>0.61</v>
      </c>
      <c r="CL44" s="8"/>
      <c r="CM44" s="11"/>
      <c r="CN44" s="8"/>
      <c r="CO44" s="8"/>
      <c r="CP44" s="8"/>
      <c r="CQ44" s="8"/>
      <c r="CR44" s="8"/>
      <c r="CS44" s="8"/>
      <c r="CT44" s="8"/>
      <c r="CU44" s="8"/>
      <c r="CV44" s="9"/>
      <c r="CW44" s="9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</row>
    <row r="45" spans="1:129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15"/>
      <c r="BL45" s="10"/>
      <c r="BM45" s="10">
        <v>33</v>
      </c>
      <c r="BN45" s="10"/>
      <c r="BO45" s="10">
        <v>67</v>
      </c>
      <c r="BP45" s="8"/>
      <c r="BQ45" s="10"/>
      <c r="BR45" s="10"/>
      <c r="BS45" s="44">
        <v>99</v>
      </c>
      <c r="BT45" s="10"/>
      <c r="BU45" s="23"/>
      <c r="BV45" s="8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>
        <v>95</v>
      </c>
      <c r="CJ45" s="8"/>
      <c r="CK45" s="58">
        <v>448</v>
      </c>
      <c r="CL45" s="10"/>
      <c r="CM45" s="11"/>
      <c r="CN45" s="8"/>
      <c r="CO45" s="8"/>
      <c r="CP45" s="8"/>
      <c r="CQ45" s="8"/>
      <c r="CR45" s="8"/>
      <c r="CS45" s="8"/>
      <c r="CT45" s="8"/>
      <c r="CU45" s="8"/>
      <c r="CV45" s="9"/>
      <c r="CW45" s="9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</row>
    <row r="46" spans="1:129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>
        <v>34</v>
      </c>
      <c r="BN46" s="8"/>
      <c r="BO46" s="37">
        <v>0.05</v>
      </c>
      <c r="BP46" s="35">
        <v>0.37</v>
      </c>
      <c r="BQ46" s="8"/>
      <c r="BR46" s="8"/>
      <c r="BS46" s="8"/>
      <c r="BT46" s="8"/>
      <c r="BU46" s="21"/>
      <c r="BV46" s="9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9"/>
      <c r="CK46" s="8"/>
      <c r="CL46" s="8"/>
      <c r="CM46" s="9"/>
      <c r="CN46" s="8"/>
      <c r="CO46" s="8"/>
      <c r="CP46" s="8"/>
      <c r="CQ46" s="8"/>
      <c r="CR46" s="8"/>
      <c r="CS46" s="8"/>
      <c r="CT46" s="8"/>
      <c r="CU46" s="8"/>
      <c r="CV46" s="9"/>
      <c r="CW46" s="9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</row>
    <row r="47" spans="1:129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>
        <v>171</v>
      </c>
      <c r="BL47" s="8"/>
      <c r="BM47" s="8"/>
      <c r="BN47" s="8"/>
      <c r="BO47" s="8"/>
      <c r="BP47" s="9">
        <v>532</v>
      </c>
      <c r="BQ47" s="8"/>
      <c r="BR47" s="8"/>
      <c r="BS47" s="8"/>
      <c r="BT47" s="8"/>
      <c r="BU47" s="21"/>
      <c r="BV47" s="9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35">
        <v>0.26</v>
      </c>
      <c r="CK47" s="8"/>
      <c r="CL47" s="8"/>
      <c r="CM47" s="9"/>
      <c r="CN47" s="8"/>
      <c r="CO47" s="8"/>
      <c r="CP47" s="8"/>
      <c r="CQ47" s="8"/>
      <c r="CR47" s="8"/>
      <c r="CS47" s="8"/>
      <c r="CT47" s="8"/>
      <c r="CU47" s="8"/>
      <c r="CV47" s="9"/>
      <c r="CW47" s="9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</row>
    <row r="48" spans="1:129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9"/>
      <c r="BQ48" s="8"/>
      <c r="BR48" s="8"/>
      <c r="BS48" s="8"/>
      <c r="BT48" s="8"/>
      <c r="BU48" s="21"/>
      <c r="BV48" s="9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9">
        <v>189</v>
      </c>
      <c r="CK48" s="8"/>
      <c r="CL48" s="8"/>
      <c r="CM48" s="9"/>
      <c r="CN48" s="8"/>
      <c r="CO48" s="8"/>
      <c r="CP48" s="8"/>
      <c r="CQ48" s="8"/>
      <c r="CR48" s="8"/>
      <c r="CS48" s="8"/>
      <c r="CT48" s="8"/>
      <c r="CU48" s="8"/>
      <c r="CV48" s="9"/>
      <c r="CW48" s="9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</row>
    <row r="49" spans="1:129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9"/>
      <c r="BQ49" s="8"/>
      <c r="BR49" s="8"/>
      <c r="BS49" s="8"/>
      <c r="BT49" s="8"/>
      <c r="BU49" s="21"/>
      <c r="BV49" s="9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9"/>
      <c r="CK49" s="8"/>
      <c r="CL49" s="8"/>
      <c r="CM49" s="9"/>
      <c r="CN49" s="8"/>
      <c r="CO49" s="8"/>
      <c r="CP49" s="8"/>
      <c r="CQ49" s="8"/>
      <c r="CR49" s="8"/>
      <c r="CS49" s="8"/>
      <c r="CT49" s="8"/>
      <c r="CU49" s="8"/>
      <c r="CV49" s="9"/>
      <c r="CW49" s="9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</row>
    <row r="50" spans="1:129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21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9"/>
      <c r="CK50" s="8"/>
      <c r="CL50" s="8"/>
      <c r="CM50" s="9"/>
      <c r="CN50" s="8"/>
      <c r="CO50" s="8"/>
      <c r="CP50" s="8"/>
      <c r="CQ50" s="8"/>
      <c r="CR50" s="8"/>
      <c r="CS50" s="8"/>
      <c r="CT50" s="8"/>
      <c r="CU50" s="8"/>
      <c r="CV50" s="9"/>
      <c r="CW50" s="9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</row>
    <row r="51" spans="1:129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9"/>
      <c r="CN51" s="8"/>
      <c r="CO51" s="8"/>
      <c r="CP51" s="8"/>
      <c r="CQ51" s="8"/>
      <c r="CR51" s="8"/>
      <c r="CS51" s="8"/>
      <c r="CT51" s="8"/>
      <c r="CU51" s="21">
        <f>0.3*CV38</f>
        <v>178.5</v>
      </c>
      <c r="CV51" s="47">
        <f>0.7*CV38</f>
        <v>416.5</v>
      </c>
      <c r="CW51" s="9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</row>
    <row r="52" spans="1:129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9"/>
      <c r="CN52" s="8"/>
      <c r="CO52" s="8"/>
      <c r="CP52" s="8"/>
      <c r="CQ52" s="8"/>
      <c r="CR52" s="8"/>
      <c r="CS52" s="8"/>
      <c r="CT52" s="8"/>
      <c r="CU52" s="8"/>
      <c r="CV52" s="9"/>
      <c r="CW52" s="9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</row>
    <row r="53" spans="1:129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9"/>
      <c r="CN53" s="10"/>
      <c r="CO53" s="10"/>
      <c r="CP53" s="10"/>
      <c r="CQ53" s="10"/>
      <c r="CR53" s="10"/>
      <c r="CS53" s="10"/>
      <c r="CT53" s="10"/>
      <c r="CU53" s="10"/>
      <c r="CV53" s="9"/>
      <c r="CW53" s="9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</row>
    <row r="54" spans="1:129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>
        <v>100</v>
      </c>
      <c r="BQ54" s="8">
        <v>432</v>
      </c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60">
        <f>+CU51+CW59</f>
        <v>463.5</v>
      </c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</row>
    <row r="55" spans="1:129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10"/>
      <c r="CO55" s="10"/>
      <c r="CP55" s="10"/>
      <c r="CQ55" s="10"/>
      <c r="CR55" s="10"/>
      <c r="CS55" s="10"/>
      <c r="CT55" s="10"/>
      <c r="CU55" s="10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</row>
    <row r="56" spans="1:129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21">
        <v>16</v>
      </c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</row>
    <row r="57" spans="1:129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10"/>
      <c r="CO57" s="10"/>
      <c r="CP57" s="10"/>
      <c r="CQ57" s="10"/>
      <c r="CR57" s="10"/>
      <c r="CS57" s="10"/>
      <c r="CT57" s="10"/>
      <c r="CU57" s="10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</row>
    <row r="58" spans="1:129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9"/>
      <c r="CW58" s="9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</row>
    <row r="59" spans="1:129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9"/>
      <c r="CW59" s="64">
        <v>285</v>
      </c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</row>
    <row r="60" spans="1:129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9"/>
      <c r="CW60" s="9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</row>
    <row r="61" spans="1:129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9"/>
      <c r="CW61" s="9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</row>
    <row r="62" spans="1:129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9"/>
      <c r="CW62" s="9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</row>
    <row r="63" spans="1:129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</row>
    <row r="64" spans="1:129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</row>
    <row r="65" spans="1:129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</row>
    <row r="66" spans="1:129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</row>
    <row r="67" spans="1:129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</row>
    <row r="68" spans="1:129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</row>
    <row r="69" spans="1:129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</row>
    <row r="70" spans="1:129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</row>
    <row r="71" spans="1:129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</row>
    <row r="72" spans="1:129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</row>
    <row r="73" spans="1:129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</row>
    <row r="74" spans="1:129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</row>
  </sheetData>
  <mergeCells count="4">
    <mergeCell ref="BC23:BD25"/>
    <mergeCell ref="BE23:BF25"/>
    <mergeCell ref="B6:F9"/>
    <mergeCell ref="U5:V7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EFD5-FD8F-42FA-A949-27C7625EEEEB}">
  <dimension ref="B4:O31"/>
  <sheetViews>
    <sheetView workbookViewId="0">
      <selection activeCell="N26" sqref="N26"/>
    </sheetView>
  </sheetViews>
  <sheetFormatPr baseColWidth="10" defaultRowHeight="14.4" x14ac:dyDescent="0.3"/>
  <sheetData>
    <row r="4" spans="2:15" x14ac:dyDescent="0.3">
      <c r="B4" s="78"/>
      <c r="C4" s="78"/>
      <c r="D4" s="78"/>
      <c r="E4" s="78"/>
      <c r="F4" s="78"/>
      <c r="G4" s="78"/>
      <c r="I4" s="78"/>
      <c r="J4" s="78"/>
      <c r="K4" s="78"/>
      <c r="L4" s="78"/>
      <c r="M4" s="78"/>
      <c r="N4" s="78"/>
      <c r="O4" s="78"/>
    </row>
    <row r="5" spans="2:15" x14ac:dyDescent="0.3">
      <c r="B5" s="78"/>
      <c r="C5" s="78"/>
      <c r="D5" s="79"/>
      <c r="E5" s="80"/>
      <c r="F5" s="78"/>
      <c r="G5" s="78"/>
      <c r="I5" s="78"/>
      <c r="J5" s="78"/>
      <c r="K5" s="78"/>
      <c r="L5" s="78"/>
      <c r="M5" s="78"/>
      <c r="N5" s="78"/>
      <c r="O5" s="78"/>
    </row>
    <row r="6" spans="2:15" x14ac:dyDescent="0.3">
      <c r="B6" s="78"/>
      <c r="C6" s="78"/>
      <c r="D6" s="79"/>
      <c r="E6" s="79"/>
      <c r="F6" s="78"/>
      <c r="G6" s="78"/>
      <c r="I6" s="78"/>
      <c r="J6" s="78"/>
      <c r="K6" s="78"/>
      <c r="L6" s="78"/>
      <c r="M6" s="78"/>
      <c r="N6" s="78"/>
      <c r="O6" s="78"/>
    </row>
    <row r="7" spans="2:15" ht="15.6" x14ac:dyDescent="0.3">
      <c r="B7" s="81"/>
      <c r="C7" s="81"/>
      <c r="D7" s="79"/>
      <c r="E7" s="82"/>
      <c r="F7" s="81"/>
      <c r="G7" s="81"/>
      <c r="I7" s="78"/>
      <c r="J7" s="78"/>
      <c r="K7" s="78"/>
      <c r="L7" s="78"/>
      <c r="M7" s="78"/>
      <c r="N7" s="78"/>
      <c r="O7" s="78"/>
    </row>
    <row r="8" spans="2:15" ht="15" thickBot="1" x14ac:dyDescent="0.35">
      <c r="B8" s="83"/>
      <c r="C8" s="83"/>
      <c r="D8" s="78"/>
      <c r="E8" s="78"/>
      <c r="F8" s="84"/>
      <c r="G8" s="84"/>
      <c r="I8" s="78"/>
      <c r="J8" s="78"/>
      <c r="K8" s="78"/>
      <c r="L8" s="78"/>
      <c r="M8" s="78"/>
      <c r="N8" s="78"/>
      <c r="O8" s="78"/>
    </row>
    <row r="9" spans="2:15" x14ac:dyDescent="0.3">
      <c r="B9" s="81"/>
      <c r="C9" s="81"/>
      <c r="D9" s="78"/>
      <c r="E9" s="78"/>
      <c r="F9" s="85"/>
      <c r="G9" s="85"/>
      <c r="I9" s="78"/>
      <c r="J9" s="78"/>
      <c r="K9" s="79"/>
      <c r="L9" s="79"/>
      <c r="M9" s="78"/>
      <c r="N9" s="78"/>
      <c r="O9" s="78"/>
    </row>
    <row r="10" spans="2:15" x14ac:dyDescent="0.3">
      <c r="B10" s="78"/>
      <c r="C10" s="78"/>
      <c r="D10" s="78"/>
      <c r="E10" s="86"/>
      <c r="F10" s="87"/>
      <c r="G10" s="87"/>
      <c r="I10" s="78"/>
      <c r="J10" s="78"/>
      <c r="K10" s="79"/>
      <c r="L10" s="79"/>
      <c r="M10" s="78"/>
      <c r="N10" s="78"/>
      <c r="O10" s="78"/>
    </row>
    <row r="11" spans="2:15" ht="15" thickBot="1" x14ac:dyDescent="0.35">
      <c r="B11" s="88"/>
      <c r="C11" s="88"/>
      <c r="D11" s="78"/>
      <c r="E11" s="78"/>
      <c r="F11" s="88"/>
      <c r="G11" s="88"/>
      <c r="I11" s="78"/>
      <c r="J11" s="78"/>
      <c r="K11" s="89"/>
      <c r="L11" s="79"/>
      <c r="M11" s="78"/>
      <c r="N11" s="78"/>
      <c r="O11" s="78"/>
    </row>
    <row r="12" spans="2:15" x14ac:dyDescent="0.3">
      <c r="B12" s="78"/>
      <c r="C12" s="78"/>
      <c r="D12" s="78"/>
      <c r="E12" s="86"/>
      <c r="F12" s="87"/>
      <c r="G12" s="87"/>
      <c r="I12" s="81"/>
      <c r="J12" s="81"/>
      <c r="K12" s="79"/>
      <c r="L12" s="79"/>
      <c r="M12" s="81"/>
      <c r="N12" s="81"/>
      <c r="O12" s="81"/>
    </row>
    <row r="13" spans="2:15" ht="15" thickBot="1" x14ac:dyDescent="0.35">
      <c r="B13" s="81"/>
      <c r="C13" s="81"/>
      <c r="D13" s="78"/>
      <c r="E13" s="78"/>
      <c r="F13" s="81"/>
      <c r="G13" s="81"/>
      <c r="I13" s="83"/>
      <c r="J13" s="83"/>
      <c r="K13" s="78"/>
      <c r="L13" s="78"/>
      <c r="M13" s="83"/>
      <c r="N13" s="83"/>
      <c r="O13" s="83"/>
    </row>
    <row r="14" spans="2:15" ht="15" thickBot="1" x14ac:dyDescent="0.35">
      <c r="B14" s="83"/>
      <c r="C14" s="84"/>
      <c r="D14" s="78"/>
      <c r="E14" s="78"/>
      <c r="F14" s="83"/>
      <c r="G14" s="83"/>
      <c r="I14" s="81"/>
      <c r="J14" s="81"/>
      <c r="K14" s="78"/>
      <c r="L14" s="78"/>
      <c r="M14" s="81"/>
      <c r="N14" s="81"/>
      <c r="O14" s="81"/>
    </row>
    <row r="15" spans="2:15" x14ac:dyDescent="0.3">
      <c r="B15" s="81"/>
      <c r="C15" s="85"/>
      <c r="D15" s="78"/>
      <c r="E15" s="78"/>
      <c r="F15" s="81"/>
      <c r="G15" s="81"/>
      <c r="I15" s="78"/>
      <c r="J15" s="78"/>
      <c r="K15" s="78"/>
      <c r="L15" s="78"/>
      <c r="M15" s="90"/>
      <c r="N15" s="90"/>
      <c r="O15" s="91"/>
    </row>
    <row r="16" spans="2:15" ht="16.2" thickBot="1" x14ac:dyDescent="0.35">
      <c r="B16" s="78"/>
      <c r="C16" s="78"/>
      <c r="D16" s="82"/>
      <c r="E16" s="79"/>
      <c r="F16" s="78"/>
      <c r="G16" s="78"/>
      <c r="I16" s="78"/>
      <c r="J16" s="88"/>
      <c r="K16" s="78"/>
      <c r="L16" s="78"/>
      <c r="M16" s="88"/>
      <c r="N16" s="88"/>
      <c r="O16" s="92"/>
    </row>
    <row r="17" spans="2:15" x14ac:dyDescent="0.3">
      <c r="B17" s="78"/>
      <c r="C17" s="78"/>
      <c r="D17" s="79"/>
      <c r="E17" s="79"/>
      <c r="F17" s="78"/>
      <c r="G17" s="78"/>
      <c r="I17" s="93"/>
      <c r="J17" s="90"/>
      <c r="K17" s="78"/>
      <c r="L17" s="78"/>
      <c r="M17" s="78"/>
      <c r="N17" s="78"/>
      <c r="O17" s="78"/>
    </row>
    <row r="18" spans="2:15" x14ac:dyDescent="0.3">
      <c r="B18" s="78"/>
      <c r="C18" s="78"/>
      <c r="D18" s="79"/>
      <c r="E18" s="79"/>
      <c r="F18" s="78"/>
      <c r="G18" s="78"/>
      <c r="I18" s="78"/>
      <c r="J18" s="94"/>
      <c r="K18" s="81"/>
      <c r="L18" s="78"/>
      <c r="M18" s="81"/>
      <c r="N18" s="81"/>
      <c r="O18" s="81"/>
    </row>
    <row r="19" spans="2:15" ht="15" thickBot="1" x14ac:dyDescent="0.35">
      <c r="B19" s="78"/>
      <c r="C19" s="78"/>
      <c r="D19" s="78"/>
      <c r="E19" s="78"/>
      <c r="F19" s="78"/>
      <c r="G19" s="78"/>
      <c r="I19" s="83"/>
      <c r="J19" s="83"/>
      <c r="K19" s="83"/>
      <c r="L19" s="78"/>
      <c r="M19" s="83"/>
      <c r="N19" s="83"/>
      <c r="O19" s="83"/>
    </row>
    <row r="20" spans="2:15" x14ac:dyDescent="0.3">
      <c r="B20" s="78"/>
      <c r="C20" s="78"/>
      <c r="D20" s="78"/>
      <c r="E20" s="78"/>
      <c r="F20" s="78"/>
      <c r="G20" s="78"/>
      <c r="I20" s="81"/>
      <c r="J20" s="81"/>
      <c r="K20" s="81"/>
      <c r="L20" s="78"/>
      <c r="M20" s="81"/>
      <c r="N20" s="81"/>
      <c r="O20" s="81"/>
    </row>
    <row r="21" spans="2:15" x14ac:dyDescent="0.3">
      <c r="I21" s="78"/>
      <c r="J21" s="78"/>
      <c r="K21" s="78"/>
      <c r="L21" s="79"/>
      <c r="M21" s="78"/>
      <c r="N21" s="78"/>
      <c r="O21" s="78"/>
    </row>
    <row r="22" spans="2:15" x14ac:dyDescent="0.3">
      <c r="I22" s="78"/>
      <c r="J22" s="78"/>
      <c r="K22" s="78"/>
      <c r="L22" s="79"/>
      <c r="M22" s="78"/>
      <c r="N22" s="78"/>
      <c r="O22" s="78"/>
    </row>
    <row r="23" spans="2:15" x14ac:dyDescent="0.3">
      <c r="I23" s="78"/>
      <c r="J23" s="78"/>
      <c r="K23" s="78"/>
      <c r="L23" s="89"/>
      <c r="M23" s="78"/>
      <c r="N23" s="78"/>
      <c r="O23" s="78"/>
    </row>
    <row r="24" spans="2:15" x14ac:dyDescent="0.3">
      <c r="I24" s="78"/>
      <c r="J24" s="78"/>
      <c r="K24" s="78"/>
      <c r="L24" s="78"/>
      <c r="M24" s="78"/>
      <c r="N24" s="78"/>
      <c r="O24" s="78"/>
    </row>
    <row r="25" spans="2:15" x14ac:dyDescent="0.3">
      <c r="I25" s="78"/>
      <c r="J25" s="78"/>
      <c r="K25" s="78"/>
      <c r="L25" s="78"/>
      <c r="M25" s="78"/>
      <c r="N25" s="78"/>
      <c r="O25" s="78"/>
    </row>
    <row r="26" spans="2:15" x14ac:dyDescent="0.3">
      <c r="I26" s="78"/>
      <c r="J26" s="78"/>
      <c r="K26" s="78"/>
      <c r="L26" s="78"/>
      <c r="M26" s="78"/>
      <c r="N26" s="78"/>
      <c r="O26" s="78"/>
    </row>
    <row r="27" spans="2:15" x14ac:dyDescent="0.3">
      <c r="I27" s="78"/>
      <c r="J27" s="78"/>
      <c r="K27" s="78"/>
      <c r="L27" s="78"/>
      <c r="M27" s="78"/>
      <c r="N27" s="78"/>
      <c r="O27" s="78"/>
    </row>
    <row r="28" spans="2:15" x14ac:dyDescent="0.3">
      <c r="I28" s="78"/>
      <c r="J28" s="78"/>
      <c r="K28" s="78"/>
      <c r="L28" s="78"/>
      <c r="M28" s="78"/>
      <c r="N28" s="78"/>
      <c r="O28" s="78"/>
    </row>
    <row r="29" spans="2:15" x14ac:dyDescent="0.3">
      <c r="I29" s="78"/>
      <c r="J29" s="78"/>
      <c r="K29" s="78"/>
      <c r="L29" s="78"/>
      <c r="M29" s="78"/>
      <c r="N29" s="78"/>
      <c r="O29" s="78"/>
    </row>
    <row r="30" spans="2:15" x14ac:dyDescent="0.3">
      <c r="I30" s="78"/>
      <c r="J30" s="78"/>
      <c r="K30" s="78"/>
      <c r="L30" s="78"/>
      <c r="M30" s="78"/>
      <c r="N30" s="78"/>
      <c r="O30" s="78"/>
    </row>
    <row r="31" spans="2:15" x14ac:dyDescent="0.3">
      <c r="I31" s="78"/>
      <c r="J31" s="78"/>
      <c r="K31" s="78"/>
      <c r="L31" s="78"/>
      <c r="M31" s="78"/>
      <c r="N31" s="78"/>
      <c r="O31" s="7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TDPA</vt:lpstr>
      <vt:lpstr>AFOROS (2)</vt:lpstr>
      <vt:lpstr>AFOROS PW</vt:lpstr>
      <vt:lpstr>AFOROS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Tovar</dc:creator>
  <cp:lastModifiedBy>Carlos Tovar</cp:lastModifiedBy>
  <dcterms:created xsi:type="dcterms:W3CDTF">2024-01-15T22:29:08Z</dcterms:created>
  <dcterms:modified xsi:type="dcterms:W3CDTF">2024-08-27T20:15:01Z</dcterms:modified>
</cp:coreProperties>
</file>