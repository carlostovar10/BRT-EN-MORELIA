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arlo\Desktop\VIDEOS AFOROS\POZARICA\"/>
    </mc:Choice>
  </mc:AlternateContent>
  <xr:revisionPtr revIDLastSave="0" documentId="13_ncr:1_{A268F2ED-F43E-48D1-BDC5-5FFD49E49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zarica" sheetId="1" r:id="rId1"/>
  </sheets>
  <calcPr calcId="191029"/>
  <extLst>
    <ext uri="GoogleSheetsCustomDataVersion2">
      <go:sheetsCustomData xmlns:go="http://customooxmlschemas.google.com/" r:id="rId5" roundtripDataChecksum="opKrC5tnBxMhtNYdkVn5bsgLs1wzBTrtRzZxktD3RH4="/>
    </ext>
  </extLst>
</workbook>
</file>

<file path=xl/calcChain.xml><?xml version="1.0" encoding="utf-8"?>
<calcChain xmlns="http://schemas.openxmlformats.org/spreadsheetml/2006/main">
  <c r="S70" i="1" l="1"/>
  <c r="S74" i="1"/>
  <c r="S66" i="1"/>
  <c r="S58" i="1"/>
  <c r="S62" i="1"/>
  <c r="S54" i="1"/>
  <c r="S46" i="1"/>
  <c r="S50" i="1"/>
  <c r="S42" i="1"/>
  <c r="S34" i="1"/>
  <c r="S38" i="1"/>
  <c r="S30" i="1"/>
  <c r="U42" i="1"/>
  <c r="U66" i="1"/>
  <c r="U54" i="1"/>
  <c r="U30" i="1"/>
  <c r="T66" i="1"/>
  <c r="T54" i="1"/>
  <c r="T42" i="1"/>
  <c r="T30" i="1"/>
  <c r="R78" i="1"/>
  <c r="O78" i="1"/>
  <c r="N78" i="1"/>
  <c r="M78" i="1"/>
  <c r="L78" i="1"/>
  <c r="K78" i="1"/>
  <c r="J78" i="1"/>
  <c r="I78" i="1"/>
  <c r="H78" i="1"/>
  <c r="G78" i="1"/>
  <c r="F78" i="1"/>
  <c r="E78" i="1"/>
  <c r="P77" i="1"/>
  <c r="P76" i="1"/>
  <c r="P75" i="1"/>
  <c r="P74" i="1"/>
  <c r="P73" i="1"/>
  <c r="P72" i="1"/>
  <c r="P71" i="1"/>
  <c r="P70" i="1"/>
  <c r="P69" i="1"/>
  <c r="P68" i="1"/>
  <c r="P67" i="1"/>
  <c r="P66" i="1"/>
  <c r="Q66" i="1" s="1"/>
  <c r="P65" i="1"/>
  <c r="P64" i="1"/>
  <c r="P63" i="1"/>
  <c r="P62" i="1"/>
  <c r="Q62" i="1" s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Q46" i="1" l="1"/>
  <c r="Q70" i="1"/>
  <c r="Q58" i="1"/>
  <c r="Q34" i="1"/>
  <c r="P78" i="1"/>
  <c r="Q74" i="1"/>
  <c r="Q30" i="1"/>
  <c r="Q38" i="1"/>
  <c r="Q42" i="1"/>
  <c r="Q50" i="1"/>
  <c r="Q54" i="1"/>
  <c r="Q78" i="1" l="1"/>
  <c r="J79" i="1" s="1"/>
  <c r="Q80" i="1"/>
  <c r="Q81" i="1" s="1"/>
  <c r="O79" i="1"/>
  <c r="Q79" i="1"/>
  <c r="M79" i="1"/>
  <c r="I79" i="1"/>
  <c r="E79" i="1"/>
  <c r="L79" i="1"/>
  <c r="H79" i="1"/>
  <c r="K79" i="1"/>
  <c r="F79" i="1"/>
  <c r="G79" i="1"/>
  <c r="N79" i="1"/>
  <c r="P79" i="1" l="1"/>
</calcChain>
</file>

<file path=xl/sharedStrings.xml><?xml version="1.0" encoding="utf-8"?>
<sst xmlns="http://schemas.openxmlformats.org/spreadsheetml/2006/main" count="32" uniqueCount="32">
  <si>
    <t>Plan de Ayala Hacia Av Tata Vasco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</si>
  <si>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</si>
  <si>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</si>
  <si>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</si>
  <si>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</si>
  <si>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</si>
  <si>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</si>
  <si>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</si>
  <si>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</si>
  <si>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</si>
  <si>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</si>
  <si>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</si>
  <si>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</si>
  <si>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</si>
  <si>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</si>
  <si>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PEATONES</t>
  </si>
  <si>
    <t>NBS</t>
  </si>
  <si>
    <t>NBL</t>
  </si>
  <si>
    <t>NBR</t>
  </si>
  <si>
    <t>SBS</t>
  </si>
  <si>
    <t>SBL</t>
  </si>
  <si>
    <t>SBR</t>
  </si>
  <si>
    <t>EBS</t>
  </si>
  <si>
    <t>EBL</t>
  </si>
  <si>
    <t>EBR</t>
  </si>
  <si>
    <t>WBS</t>
  </si>
  <si>
    <t>WBL</t>
  </si>
  <si>
    <t>WBR</t>
  </si>
  <si>
    <t>Suma</t>
  </si>
  <si>
    <t>Porcentaje</t>
  </si>
  <si>
    <t>Tránsito por hora</t>
  </si>
  <si>
    <t>Tránsito por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</si>
</sst>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rgb="FFF4B083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21" fontId="3" fillId="0" borderId="7" xfId="0" applyNumberFormat="1" applyFont="1" applyBorder="1" applyAlignment="1">
      <alignment horizontal="center"/>
    </xf>
    <xf numFmtId="21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/>
    <xf numFmtId="21" fontId="3" fillId="0" borderId="12" xfId="0" applyNumberFormat="1" applyFont="1" applyBorder="1" applyAlignment="1">
      <alignment horizontal="center"/>
    </xf>
    <xf numFmtId="21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/>
    <xf numFmtId="21" fontId="3" fillId="0" borderId="16" xfId="0" applyNumberFormat="1" applyFont="1" applyBorder="1" applyAlignment="1">
      <alignment horizontal="center"/>
    </xf>
    <xf numFmtId="21" fontId="3" fillId="0" borderId="17" xfId="0" applyNumberFormat="1" applyFont="1" applyBorder="1" applyAlignment="1">
      <alignment horizontal="center"/>
    </xf>
    <xf numFmtId="21" fontId="3" fillId="0" borderId="19" xfId="0" applyNumberFormat="1" applyFont="1" applyBorder="1" applyAlignment="1">
      <alignment horizontal="center"/>
    </xf>
    <xf numFmtId="21" fontId="3" fillId="0" borderId="20" xfId="0" applyNumberFormat="1" applyFont="1" applyBorder="1" applyAlignment="1">
      <alignment horizontal="center"/>
    </xf>
    <xf numFmtId="1" fontId="3" fillId="0" borderId="2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9" fontId="3" fillId="0" borderId="22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9" fontId="3" fillId="0" borderId="24" xfId="0" applyNumberFormat="1" applyFont="1" applyBorder="1" applyAlignment="1">
      <alignment horizontal="center" vertical="center"/>
    </xf>
    <xf numFmtId="9" fontId="3" fillId="0" borderId="2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6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8" xfId="0" applyFont="1" applyBorder="1"/>
    <xf numFmtId="164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0" fillId="0" borderId="26" xfId="0" applyBorder="1" applyAlignment="1">
      <alignment horizontal="center"/>
    </xf>
    <xf numFmtId="9" fontId="3" fillId="0" borderId="6" xfId="1" applyFont="1" applyBorder="1" applyAlignment="1">
      <alignment horizontal="center" vertical="center"/>
    </xf>
    <xf numFmtId="9" fontId="2" fillId="0" borderId="11" xfId="1" applyFont="1" applyBorder="1"/>
    <xf numFmtId="9" fontId="2" fillId="0" borderId="18" xfId="1" applyFont="1" applyBorder="1"/>
    <xf numFmtId="9" fontId="0" fillId="0" borderId="26" xfId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317500</xdr:colOff>
      <xdr:row>1</xdr:row>
      <xdr:rowOff>98425</xdr:rowOff>
    </xdr:from>
    <xdr:ext cx="7797799" cy="4343400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55900" y="276225"/>
          <a:ext cx="7797799" cy="43434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600075</xdr:colOff>
      <xdr:row>19</xdr:row>
      <xdr:rowOff>-9525</xdr:rowOff>
    </xdr:from>
    <xdr:ext cx="762000" cy="2286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526155" y="3320415"/>
          <a:ext cx="762000" cy="228600"/>
          <a:chOff x="4988813" y="3689513"/>
          <a:chExt cx="714375" cy="1809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 flipH="1">
            <a:off x="4988813" y="3689513"/>
            <a:ext cx="714375" cy="180975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60325</xdr:colOff>
      <xdr:row>13</xdr:row>
      <xdr:rowOff>123825</xdr:rowOff>
    </xdr:from>
    <xdr:ext cx="771525" cy="6667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986405" y="2402205"/>
          <a:ext cx="771525" cy="666750"/>
          <a:chOff x="5003100" y="3508538"/>
          <a:chExt cx="685800" cy="542925"/>
        </a:xfrm>
      </xdr:grpSpPr>
      <xdr:grpSp>
        <xdr:nvGrp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 rot="-602222">
            <a:off x="5003100" y="3508538"/>
            <a:ext cx="685800" cy="542925"/>
            <a:chOff x="6143625" y="409575"/>
            <a:chExt cx="1266825" cy="466725"/>
          </a:xfrm>
        </xdr:grpSpPr>
        <xdr:sp macro="" textlink="">
          <xdr:nvSpPr>
            <xdr:cNvPr id="6" name="Shap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8" name="Shap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3</xdr:col>
      <xdr:colOff>219075</xdr:colOff>
      <xdr:row>18</xdr:row>
      <xdr:rowOff>114300</xdr:rowOff>
    </xdr:from>
    <xdr:ext cx="1495425" cy="600075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98425</xdr:colOff>
      <xdr:row>22</xdr:row>
      <xdr:rowOff>111125</xdr:rowOff>
    </xdr:from>
    <xdr:ext cx="847725" cy="6477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3756025" y="3966845"/>
          <a:ext cx="847725" cy="647700"/>
          <a:chOff x="4969763" y="3565688"/>
          <a:chExt cx="752475" cy="428625"/>
        </a:xfrm>
      </xdr:grpSpPr>
      <xdr:grpSp>
        <xdr:nvGrpSpPr>
          <xdr:cNvPr id="11" name="Shape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 rot="9674216" flipH="1">
            <a:off x="4969763" y="3565688"/>
            <a:ext cx="752475" cy="428625"/>
            <a:chOff x="6143625" y="409575"/>
            <a:chExt cx="1266825" cy="466725"/>
          </a:xfrm>
        </xdr:grpSpPr>
        <xdr:sp macro="" textlink="">
          <xdr:nvSpPr>
            <xdr:cNvPr id="12" name="Shape 5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" name="Shape 10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14" name="Shape 11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3</xdr:col>
      <xdr:colOff>142875</xdr:colOff>
      <xdr:row>13</xdr:row>
      <xdr:rowOff>168275</xdr:rowOff>
    </xdr:from>
    <xdr:ext cx="1495425" cy="600075"/>
    <xdr:sp macro="" textlink="">
      <xdr:nvSpPr>
        <xdr:cNvPr id="15" name="Shape 1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581275" y="2479675"/>
          <a:ext cx="14954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342900</xdr:colOff>
      <xdr:row>22</xdr:row>
      <xdr:rowOff>60325</xdr:rowOff>
    </xdr:from>
    <xdr:ext cx="1495425" cy="600075"/>
    <xdr:sp macro="" textlink="">
      <xdr:nvSpPr>
        <xdr:cNvPr id="16" name="Shape 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781300" y="3971925"/>
          <a:ext cx="14954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EBR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520699</xdr:colOff>
      <xdr:row>8</xdr:row>
      <xdr:rowOff>12700</xdr:rowOff>
    </xdr:from>
    <xdr:ext cx="714375" cy="812800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4909819" y="1414780"/>
          <a:ext cx="714375" cy="812800"/>
          <a:chOff x="4965000" y="3513300"/>
          <a:chExt cx="762000" cy="533400"/>
        </a:xfrm>
      </xdr:grpSpPr>
      <xdr:grpSp>
        <xdr:nvGrpSpPr>
          <xdr:cNvPr id="20" name="Shape 15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 rot="3432101">
            <a:off x="4965000" y="3513300"/>
            <a:ext cx="762000" cy="533400"/>
            <a:chOff x="6143625" y="409575"/>
            <a:chExt cx="1266825" cy="466725"/>
          </a:xfrm>
        </xdr:grpSpPr>
        <xdr:sp macro="" textlink="">
          <xdr:nvSpPr>
            <xdr:cNvPr id="21" name="Shape 5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2" name="Shape 16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17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5</xdr:col>
      <xdr:colOff>0</xdr:colOff>
      <xdr:row>11</xdr:row>
      <xdr:rowOff>168275</xdr:rowOff>
    </xdr:from>
    <xdr:ext cx="673100" cy="631825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3657600" y="2096135"/>
          <a:ext cx="673100" cy="631825"/>
          <a:chOff x="4965000" y="3570450"/>
          <a:chExt cx="762000" cy="419100"/>
        </a:xfrm>
      </xdr:grpSpPr>
      <xdr:grpSp>
        <xdr:nvGrpSpPr>
          <xdr:cNvPr id="25" name="Shape 18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GrpSpPr/>
        </xdr:nvGrpSpPr>
        <xdr:grpSpPr>
          <a:xfrm rot="-7593944" flipH="1">
            <a:off x="4965000" y="3570450"/>
            <a:ext cx="762000" cy="419100"/>
            <a:chOff x="6143625" y="409575"/>
            <a:chExt cx="1266825" cy="466725"/>
          </a:xfrm>
        </xdr:grpSpPr>
        <xdr:sp macro="" textlink="">
          <xdr:nvSpPr>
            <xdr:cNvPr id="26" name="Shape 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7" name="Shape 19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8" name="Shape 20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5</xdr:col>
      <xdr:colOff>384174</xdr:colOff>
      <xdr:row>5</xdr:row>
      <xdr:rowOff>120650</xdr:rowOff>
    </xdr:from>
    <xdr:ext cx="1524000" cy="676275"/>
    <xdr:sp macro="" textlink="">
      <xdr:nvSpPr>
        <xdr:cNvPr id="29" name="Shape 2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 rot="-160051">
          <a:off x="4448174" y="1009650"/>
          <a:ext cx="1524000" cy="676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SBL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752474</xdr:colOff>
      <xdr:row>8</xdr:row>
      <xdr:rowOff>47624</xdr:rowOff>
    </xdr:from>
    <xdr:ext cx="1524000" cy="676275"/>
    <xdr:sp macro="" textlink="">
      <xdr:nvSpPr>
        <xdr:cNvPr id="30" name="Shape 2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 rot="-160051">
          <a:off x="4003674" y="1470024"/>
          <a:ext cx="1524000" cy="676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SBS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784225</xdr:colOff>
      <xdr:row>7</xdr:row>
      <xdr:rowOff>139699</xdr:rowOff>
    </xdr:from>
    <xdr:ext cx="1524000" cy="676275"/>
    <xdr:sp macro="" textlink="">
      <xdr:nvSpPr>
        <xdr:cNvPr id="31" name="Shape 2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-160051">
          <a:off x="3222625" y="1384299"/>
          <a:ext cx="1524000" cy="676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SBR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10</xdr:col>
      <xdr:colOff>365125</xdr:colOff>
      <xdr:row>21</xdr:row>
      <xdr:rowOff>15875</xdr:rowOff>
    </xdr:from>
    <xdr:ext cx="866775" cy="847725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 rot="20670031">
          <a:off x="7680325" y="3696335"/>
          <a:ext cx="866775" cy="847725"/>
          <a:chOff x="5003100" y="3508538"/>
          <a:chExt cx="685800" cy="542925"/>
        </a:xfrm>
      </xdr:grpSpPr>
      <xdr:grpSp>
        <xdr:nvGrpSpPr>
          <xdr:cNvPr id="35" name="Shape 2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GrpSpPr/>
        </xdr:nvGrpSpPr>
        <xdr:grpSpPr>
          <a:xfrm rot="-8468438">
            <a:off x="5003100" y="3508538"/>
            <a:ext cx="685800" cy="542925"/>
            <a:chOff x="6143625" y="409575"/>
            <a:chExt cx="1266825" cy="466725"/>
          </a:xfrm>
        </xdr:grpSpPr>
        <xdr:sp macro="" textlink="">
          <xdr:nvSpPr>
            <xdr:cNvPr id="36" name="Shape 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7" name="Shape 2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38" name="Shape 27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11</xdr:col>
      <xdr:colOff>381000</xdr:colOff>
      <xdr:row>11</xdr:row>
      <xdr:rowOff>69850</xdr:rowOff>
    </xdr:from>
    <xdr:ext cx="809625" cy="742950"/>
    <xdr:grpSp>
      <xdr:nvGrpSpPr>
        <xdr:cNvPr id="39" name="Shape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 rot="19734424">
          <a:off x="8427720" y="1997710"/>
          <a:ext cx="809625" cy="742950"/>
          <a:chOff x="5003100" y="3560925"/>
          <a:chExt cx="685800" cy="438150"/>
        </a:xfrm>
      </xdr:grpSpPr>
      <xdr:grpSp>
        <xdr:nvGrpSpPr>
          <xdr:cNvPr id="40" name="Shape 28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GrpSpPr/>
        </xdr:nvGrpSpPr>
        <xdr:grpSpPr>
          <a:xfrm rot="2105517" flipH="1">
            <a:off x="5003100" y="3560925"/>
            <a:ext cx="685800" cy="438150"/>
            <a:chOff x="6143625" y="409575"/>
            <a:chExt cx="1266825" cy="466725"/>
          </a:xfrm>
        </xdr:grpSpPr>
        <xdr:sp macro="" textlink="">
          <xdr:nvSpPr>
            <xdr:cNvPr id="41" name="Shape 5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2" name="Shape 29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43" name="Shape 30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11</xdr:col>
      <xdr:colOff>85725</xdr:colOff>
      <xdr:row>20</xdr:row>
      <xdr:rowOff>9525</xdr:rowOff>
    </xdr:from>
    <xdr:ext cx="1533525" cy="704850"/>
    <xdr:sp macro="" textlink="">
      <xdr:nvSpPr>
        <xdr:cNvPr id="44" name="Shape 3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 rot="-234871"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NBL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209550</xdr:colOff>
      <xdr:row>17</xdr:row>
      <xdr:rowOff>76200</xdr:rowOff>
    </xdr:from>
    <xdr:ext cx="1533525" cy="704850"/>
    <xdr:sp macro="" textlink="">
      <xdr:nvSpPr>
        <xdr:cNvPr id="45" name="Shape 3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-234871"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NBS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593725</xdr:colOff>
      <xdr:row>12</xdr:row>
      <xdr:rowOff>139700</xdr:rowOff>
    </xdr:from>
    <xdr:ext cx="1533525" cy="704850"/>
    <xdr:sp macro="" textlink="">
      <xdr:nvSpPr>
        <xdr:cNvPr id="46" name="Shape 3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 rot="-234871">
          <a:off x="9534525" y="2273300"/>
          <a:ext cx="1533525" cy="704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NBR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752475</xdr:colOff>
      <xdr:row>11</xdr:row>
      <xdr:rowOff>25400</xdr:rowOff>
    </xdr:from>
    <xdr:ext cx="762000" cy="552450"/>
    <xdr:grpSp>
      <xdr:nvGrpSpPr>
        <xdr:cNvPr id="47" name="Shape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 rot="736837">
          <a:off x="6581775" y="1953260"/>
          <a:ext cx="762000" cy="552450"/>
          <a:chOff x="4988813" y="3689513"/>
          <a:chExt cx="714375" cy="180975"/>
        </a:xfrm>
      </xdr:grpSpPr>
      <xdr:cxnSp macro="">
        <xdr:nvCxnSpPr>
          <xdr:cNvPr id="48" name="Shape 34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/>
        </xdr:nvCxnSpPr>
        <xdr:spPr>
          <a:xfrm rot="-1716544" flipH="1">
            <a:off x="4988813" y="3689513"/>
            <a:ext cx="714375" cy="180975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196198</xdr:colOff>
      <xdr:row>10</xdr:row>
      <xdr:rowOff>81767</xdr:rowOff>
    </xdr:from>
    <xdr:ext cx="834742" cy="819441"/>
    <xdr:grpSp>
      <xdr:nvGrpSpPr>
        <xdr:cNvPr id="49" name="Shape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 rot="19946869">
          <a:off x="7511398" y="1834367"/>
          <a:ext cx="834742" cy="819441"/>
          <a:chOff x="5003100" y="3508538"/>
          <a:chExt cx="685800" cy="542925"/>
        </a:xfrm>
      </xdr:grpSpPr>
      <xdr:grpSp>
        <xdr:nvGrpSpPr>
          <xdr:cNvPr id="50" name="Shape 35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GrpSpPr/>
        </xdr:nvGrpSpPr>
        <xdr:grpSpPr>
          <a:xfrm rot="8481234">
            <a:off x="5003100" y="3508538"/>
            <a:ext cx="685800" cy="542925"/>
            <a:chOff x="6143625" y="409575"/>
            <a:chExt cx="1266825" cy="466725"/>
          </a:xfrm>
        </xdr:grpSpPr>
        <xdr:sp macro="" textlink="">
          <xdr:nvSpPr>
            <xdr:cNvPr id="51" name="Shape 5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2" name="Shape 36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53" name="Shape 37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10</xdr:col>
      <xdr:colOff>219075</xdr:colOff>
      <xdr:row>7</xdr:row>
      <xdr:rowOff>60325</xdr:rowOff>
    </xdr:from>
    <xdr:ext cx="1495425" cy="600075"/>
    <xdr:sp macro="" textlink="">
      <xdr:nvSpPr>
        <xdr:cNvPr id="54" name="Shape 38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8347075" y="1304925"/>
          <a:ext cx="14954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chemeClr val="lt1"/>
              </a:solidFill>
            </a:rPr>
            <a:t>WBL</a:t>
          </a:r>
          <a:endParaRPr sz="5400" b="0" cap="none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377825</xdr:colOff>
      <xdr:row>8</xdr:row>
      <xdr:rowOff>139700</xdr:rowOff>
    </xdr:from>
    <xdr:ext cx="587375" cy="593725"/>
    <xdr:grpSp>
      <xdr:nvGrpSpPr>
        <xdr:cNvPr id="55" name="Shape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6229985" y="1541780"/>
          <a:ext cx="587375" cy="593725"/>
          <a:chOff x="4965000" y="3599025"/>
          <a:chExt cx="762000" cy="361950"/>
        </a:xfrm>
      </xdr:grpSpPr>
      <xdr:grpSp>
        <xdr:nvGrpSpPr>
          <xdr:cNvPr id="56" name="Shape 39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GrpSpPr/>
        </xdr:nvGrpSpPr>
        <xdr:grpSpPr>
          <a:xfrm rot="-2842328" flipH="1">
            <a:off x="4965000" y="3599025"/>
            <a:ext cx="762000" cy="361950"/>
            <a:chOff x="6143625" y="409575"/>
            <a:chExt cx="1266825" cy="466725"/>
          </a:xfrm>
        </xdr:grpSpPr>
        <xdr:sp macro="" textlink="">
          <xdr:nvSpPr>
            <xdr:cNvPr id="57" name="Shape 5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SpPr/>
          </xdr:nvSpPr>
          <xdr:spPr>
            <a:xfrm>
              <a:off x="6143625" y="409575"/>
              <a:ext cx="1266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40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CxnSpPr/>
          </xdr:nvCxnSpPr>
          <xdr:spPr>
            <a:xfrm rot="10800000">
              <a:off x="7391400" y="409575"/>
              <a:ext cx="19050" cy="457200"/>
            </a:xfrm>
            <a:prstGeom prst="straightConnector1">
              <a:avLst/>
            </a:prstGeom>
            <a:noFill/>
            <a:ln w="5715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59" name="Shape 41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CxnSpPr/>
          </xdr:nvCxnSpPr>
          <xdr:spPr>
            <a:xfrm flipH="1">
              <a:off x="6143625" y="838200"/>
              <a:ext cx="1266825" cy="38100"/>
            </a:xfrm>
            <a:prstGeom prst="straightConnector1">
              <a:avLst/>
            </a:prstGeom>
            <a:noFill/>
            <a:ln w="76200" cap="flat" cmpd="sng">
              <a:solidFill>
                <a:schemeClr val="l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9</xdr:col>
      <xdr:colOff>114300</xdr:colOff>
      <xdr:row>7</xdr:row>
      <xdr:rowOff>161925</xdr:rowOff>
    </xdr:from>
    <xdr:ext cx="1495425" cy="600075"/>
    <xdr:sp macro="" textlink="">
      <xdr:nvSpPr>
        <xdr:cNvPr id="60" name="Shape 4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600034" y="3483348"/>
          <a:ext cx="1491932" cy="59330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rgbClr val="000000"/>
              </a:solidFill>
            </a:rPr>
            <a:t>WBS</a:t>
          </a:r>
          <a:endParaRPr sz="5400" b="0" cap="none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584200</xdr:colOff>
      <xdr:row>6</xdr:row>
      <xdr:rowOff>155575</xdr:rowOff>
    </xdr:from>
    <xdr:ext cx="1495425" cy="600075"/>
    <xdr:sp macro="" textlink="">
      <xdr:nvSpPr>
        <xdr:cNvPr id="61" name="Shape 4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6273800" y="1222375"/>
          <a:ext cx="14954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0" cap="none">
              <a:solidFill>
                <a:srgbClr val="000000"/>
              </a:solidFill>
            </a:rPr>
            <a:t>WBR</a:t>
          </a:r>
          <a:endParaRPr sz="5400" b="0" cap="none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10</xdr:col>
      <xdr:colOff>660399</xdr:colOff>
      <xdr:row>15</xdr:row>
      <xdr:rowOff>133351</xdr:rowOff>
    </xdr:from>
    <xdr:ext cx="552450" cy="762000"/>
    <xdr:grpSp>
      <xdr:nvGrpSpPr>
        <xdr:cNvPr id="63" name="Shape 2">
          <a:extLst>
            <a:ext uri="{FF2B5EF4-FFF2-40B4-BE49-F238E27FC236}">
              <a16:creationId xmlns:a16="http://schemas.microsoft.com/office/drawing/2014/main" id="{3FEDF485-6314-494F-B272-E801BFA3C3DD}"/>
            </a:ext>
          </a:extLst>
        </xdr:cNvPr>
        <xdr:cNvGrpSpPr/>
      </xdr:nvGrpSpPr>
      <xdr:grpSpPr>
        <a:xfrm rot="4925194">
          <a:off x="7870824" y="2867026"/>
          <a:ext cx="762000" cy="552450"/>
          <a:chOff x="4988813" y="3689513"/>
          <a:chExt cx="714375" cy="180975"/>
        </a:xfrm>
      </xdr:grpSpPr>
      <xdr:cxnSp macro="">
        <xdr:nvCxnSpPr>
          <xdr:cNvPr id="64" name="Shape 34">
            <a:extLst>
              <a:ext uri="{FF2B5EF4-FFF2-40B4-BE49-F238E27FC236}">
                <a16:creationId xmlns:a16="http://schemas.microsoft.com/office/drawing/2014/main" id="{C94D1973-33C7-6642-955F-B54D38B5ADA4}"/>
              </a:ext>
            </a:extLst>
          </xdr:cNvPr>
          <xdr:cNvCxnSpPr/>
        </xdr:nvCxnSpPr>
        <xdr:spPr>
          <a:xfrm rot="-1716544" flipH="1">
            <a:off x="4988813" y="3689513"/>
            <a:ext cx="714375" cy="180975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228599</xdr:colOff>
      <xdr:row>11</xdr:row>
      <xdr:rowOff>22225</xdr:rowOff>
    </xdr:from>
    <xdr:ext cx="228600" cy="762000"/>
    <xdr:grpSp>
      <xdr:nvGrpSpPr>
        <xdr:cNvPr id="65" name="Shape 2">
          <a:extLst>
            <a:ext uri="{FF2B5EF4-FFF2-40B4-BE49-F238E27FC236}">
              <a16:creationId xmlns:a16="http://schemas.microsoft.com/office/drawing/2014/main" id="{EB468B5F-5AEF-0741-8538-8172A653414B}"/>
            </a:ext>
          </a:extLst>
        </xdr:cNvPr>
        <xdr:cNvGrpSpPr/>
      </xdr:nvGrpSpPr>
      <xdr:grpSpPr>
        <a:xfrm rot="4614633">
          <a:off x="4351019" y="2216785"/>
          <a:ext cx="762000" cy="228600"/>
          <a:chOff x="4988813" y="3689513"/>
          <a:chExt cx="714375" cy="180975"/>
        </a:xfrm>
      </xdr:grpSpPr>
      <xdr:cxnSp macro="">
        <xdr:nvCxnSpPr>
          <xdr:cNvPr id="66" name="Shape 3">
            <a:extLst>
              <a:ext uri="{FF2B5EF4-FFF2-40B4-BE49-F238E27FC236}">
                <a16:creationId xmlns:a16="http://schemas.microsoft.com/office/drawing/2014/main" id="{BE40FB4C-A1B4-6F4B-8A82-73A0EEEC2702}"/>
              </a:ext>
            </a:extLst>
          </xdr:cNvPr>
          <xdr:cNvCxnSpPr/>
        </xdr:nvCxnSpPr>
        <xdr:spPr>
          <a:xfrm rot="10800000" flipH="1">
            <a:off x="4988813" y="3689513"/>
            <a:ext cx="714375" cy="180975"/>
          </a:xfrm>
          <a:prstGeom prst="straightConnector1">
            <a:avLst/>
          </a:prstGeom>
          <a:noFill/>
          <a:ln w="57150" cap="flat" cmpd="sng">
            <a:solidFill>
              <a:schemeClr val="l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0"/>
  <sheetViews>
    <sheetView tabSelected="1" topLeftCell="H34" workbookViewId="0">
      <selection activeCell="V49" sqref="V49"/>
    </sheetView>
  </sheetViews>
  <sheetFormatPr baseColWidth="10" defaultColWidth="14.44140625" defaultRowHeight="15" customHeight="1" x14ac:dyDescent="0.3"/>
  <cols>
    <col min="1" max="26" width="10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spans="2:21" ht="14.25" customHeight="1" x14ac:dyDescent="0.3"/>
    <row r="18" spans="2:21" ht="14.25" customHeight="1" x14ac:dyDescent="0.3"/>
    <row r="19" spans="2:21" ht="14.25" customHeight="1" x14ac:dyDescent="0.3"/>
    <row r="20" spans="2:21" ht="14.25" customHeight="1" x14ac:dyDescent="0.3"/>
    <row r="21" spans="2:21" ht="14.25" customHeight="1" x14ac:dyDescent="0.3"/>
    <row r="22" spans="2:21" ht="14.25" customHeight="1" x14ac:dyDescent="0.3"/>
    <row r="23" spans="2:21" ht="14.25" customHeight="1" x14ac:dyDescent="0.3"/>
    <row r="24" spans="2:21" ht="14.25" customHeight="1" x14ac:dyDescent="0.3"/>
    <row r="25" spans="2:21" ht="14.25" customHeight="1" x14ac:dyDescent="0.3"/>
    <row r="26" spans="2:21" ht="14.25" customHeight="1" x14ac:dyDescent="0.3"/>
    <row r="27" spans="2:21" ht="14.25" customHeight="1" x14ac:dyDescent="0.3"/>
    <row r="28" spans="2:21" ht="14.25" customHeight="1" x14ac:dyDescent="0.3">
      <c r="C28" s="34" t="s">
        <v>0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6"/>
    </row>
    <row r="29" spans="2:21" ht="14.25" customHeight="1" thickBot="1" x14ac:dyDescent="0.35">
      <c r="C29" s="37" t="s">
        <v>1</v>
      </c>
      <c r="D29" s="38"/>
      <c r="E29" s="1" t="s">
        <v>2</v>
      </c>
      <c r="F29" s="1" t="s">
        <v>3</v>
      </c>
      <c r="G29" s="1" t="s">
        <v>4</v>
      </c>
      <c r="H29" s="1" t="s">
        <v>5</v>
      </c>
      <c r="I29" s="1" t="s">
        <v>6</v>
      </c>
      <c r="J29" s="1" t="s">
        <v>7</v>
      </c>
      <c r="K29" s="1" t="s">
        <v>8</v>
      </c>
      <c r="L29" s="1" t="s">
        <v>9</v>
      </c>
      <c r="M29" s="1" t="s">
        <v>10</v>
      </c>
      <c r="N29" s="1" t="s">
        <v>11</v>
      </c>
      <c r="O29" s="1" t="s">
        <v>12</v>
      </c>
      <c r="P29" s="1" t="s">
        <v>13</v>
      </c>
      <c r="Q29" s="1" t="s">
        <v>14</v>
      </c>
      <c r="R29" s="1" t="s">
        <v>15</v>
      </c>
    </row>
    <row r="30" spans="2:21" ht="14.25" customHeight="1" x14ac:dyDescent="0.3">
      <c r="B30" s="30" t="s">
        <v>16</v>
      </c>
      <c r="C30" s="2">
        <v>0.5</v>
      </c>
      <c r="D30" s="3">
        <v>0.51041666666666663</v>
      </c>
      <c r="E30" s="4">
        <v>6</v>
      </c>
      <c r="F30" s="4">
        <v>53</v>
      </c>
      <c r="G30" s="4">
        <v>12</v>
      </c>
      <c r="H30" s="4">
        <v>10</v>
      </c>
      <c r="I30" s="26">
        <v>0</v>
      </c>
      <c r="J30" s="26">
        <v>2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5">
        <f t="shared" ref="P30:P77" si="0">SUM(E30:O30)</f>
        <v>83</v>
      </c>
      <c r="Q30" s="30">
        <f>SUM(P30:P33)</f>
        <v>367</v>
      </c>
      <c r="R30" s="6"/>
      <c r="S30" s="40">
        <f>+Q30/$T$30</f>
        <v>0.8398169336384439</v>
      </c>
      <c r="T30" s="39">
        <f>Q30+Q34+Q38</f>
        <v>437</v>
      </c>
      <c r="U30" s="43">
        <f>+T30/Q78</f>
        <v>0.20325581395348838</v>
      </c>
    </row>
    <row r="31" spans="2:21" ht="14.25" customHeight="1" x14ac:dyDescent="0.3">
      <c r="B31" s="31"/>
      <c r="C31" s="7">
        <v>0.51041666666666663</v>
      </c>
      <c r="D31" s="8">
        <v>0.52083333333333337</v>
      </c>
      <c r="E31" s="9">
        <v>15</v>
      </c>
      <c r="F31" s="9">
        <v>52</v>
      </c>
      <c r="G31" s="9">
        <v>36</v>
      </c>
      <c r="H31" s="9">
        <v>7</v>
      </c>
      <c r="I31" s="26">
        <v>0</v>
      </c>
      <c r="J31" s="26">
        <v>2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10">
        <f t="shared" si="0"/>
        <v>112</v>
      </c>
      <c r="Q31" s="31"/>
      <c r="R31" s="11"/>
      <c r="S31" s="41"/>
      <c r="T31" s="39"/>
      <c r="U31" s="43"/>
    </row>
    <row r="32" spans="2:21" ht="14.25" customHeight="1" x14ac:dyDescent="0.3">
      <c r="B32" s="31"/>
      <c r="C32" s="12">
        <v>0.52083333333333337</v>
      </c>
      <c r="D32" s="13">
        <v>0.94791666666666663</v>
      </c>
      <c r="E32" s="9">
        <v>19</v>
      </c>
      <c r="F32" s="9">
        <v>20</v>
      </c>
      <c r="G32" s="9">
        <v>38</v>
      </c>
      <c r="H32" s="9">
        <v>9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10">
        <f t="shared" si="0"/>
        <v>86</v>
      </c>
      <c r="Q32" s="31"/>
      <c r="R32" s="11"/>
      <c r="S32" s="41"/>
      <c r="T32" s="39"/>
      <c r="U32" s="43"/>
    </row>
    <row r="33" spans="2:21" ht="14.25" customHeight="1" thickBot="1" x14ac:dyDescent="0.35">
      <c r="B33" s="32"/>
      <c r="C33" s="14">
        <v>0.53125</v>
      </c>
      <c r="D33" s="15">
        <v>0.54166666666666663</v>
      </c>
      <c r="E33" s="9">
        <v>17</v>
      </c>
      <c r="F33" s="9">
        <v>18</v>
      </c>
      <c r="G33" s="9">
        <v>43</v>
      </c>
      <c r="H33" s="9">
        <v>5</v>
      </c>
      <c r="I33" s="26">
        <v>0</v>
      </c>
      <c r="J33" s="26">
        <v>3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10">
        <f t="shared" si="0"/>
        <v>86</v>
      </c>
      <c r="Q33" s="32"/>
      <c r="R33" s="11"/>
      <c r="S33" s="42"/>
      <c r="T33" s="39"/>
      <c r="U33" s="43"/>
    </row>
    <row r="34" spans="2:21" ht="14.25" customHeight="1" x14ac:dyDescent="0.3">
      <c r="B34" s="30" t="s">
        <v>17</v>
      </c>
      <c r="C34" s="2">
        <v>0.5</v>
      </c>
      <c r="D34" s="3">
        <v>0.51041666666666663</v>
      </c>
      <c r="E34" s="9">
        <v>0</v>
      </c>
      <c r="F34" s="9">
        <v>0</v>
      </c>
      <c r="G34" s="9">
        <v>0</v>
      </c>
      <c r="H34" s="9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10">
        <f t="shared" si="0"/>
        <v>0</v>
      </c>
      <c r="Q34" s="30">
        <f>SUM(P34:P37)</f>
        <v>9</v>
      </c>
      <c r="R34" s="11"/>
      <c r="S34" s="40">
        <f t="shared" ref="S34:S41" si="1">+Q34/$T$30</f>
        <v>2.0594965675057208E-2</v>
      </c>
      <c r="T34" s="39"/>
      <c r="U34" s="43"/>
    </row>
    <row r="35" spans="2:21" ht="14.25" customHeight="1" x14ac:dyDescent="0.3">
      <c r="B35" s="31"/>
      <c r="C35" s="7">
        <v>0.51041666666666663</v>
      </c>
      <c r="D35" s="8">
        <v>0.52083333333333337</v>
      </c>
      <c r="E35" s="9">
        <v>0</v>
      </c>
      <c r="F35" s="9">
        <v>1</v>
      </c>
      <c r="G35" s="9">
        <v>0</v>
      </c>
      <c r="H35" s="9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10">
        <f t="shared" si="0"/>
        <v>1</v>
      </c>
      <c r="Q35" s="31"/>
      <c r="R35" s="11"/>
      <c r="S35" s="41"/>
      <c r="T35" s="39"/>
      <c r="U35" s="43"/>
    </row>
    <row r="36" spans="2:21" ht="14.25" customHeight="1" x14ac:dyDescent="0.3">
      <c r="B36" s="31"/>
      <c r="C36" s="12">
        <v>0.52083333333333337</v>
      </c>
      <c r="D36" s="13">
        <v>0.94791666666666663</v>
      </c>
      <c r="E36" s="9">
        <v>0</v>
      </c>
      <c r="F36" s="9">
        <v>0</v>
      </c>
      <c r="G36" s="9">
        <v>1</v>
      </c>
      <c r="H36" s="9">
        <v>0</v>
      </c>
      <c r="I36" s="26">
        <v>0</v>
      </c>
      <c r="J36" s="26">
        <v>1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10">
        <f t="shared" si="0"/>
        <v>2</v>
      </c>
      <c r="Q36" s="31"/>
      <c r="R36" s="11"/>
      <c r="S36" s="41"/>
      <c r="T36" s="39"/>
      <c r="U36" s="43"/>
    </row>
    <row r="37" spans="2:21" ht="14.25" customHeight="1" thickBot="1" x14ac:dyDescent="0.35">
      <c r="B37" s="32"/>
      <c r="C37" s="14">
        <v>0.53125</v>
      </c>
      <c r="D37" s="15">
        <v>0.54166666666666663</v>
      </c>
      <c r="E37" s="9">
        <v>0</v>
      </c>
      <c r="F37" s="9">
        <v>0</v>
      </c>
      <c r="G37" s="9">
        <v>6</v>
      </c>
      <c r="H37" s="9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10">
        <f t="shared" si="0"/>
        <v>6</v>
      </c>
      <c r="Q37" s="32"/>
      <c r="R37" s="11"/>
      <c r="S37" s="42"/>
      <c r="T37" s="39"/>
      <c r="U37" s="43"/>
    </row>
    <row r="38" spans="2:21" ht="14.25" customHeight="1" x14ac:dyDescent="0.3">
      <c r="B38" s="30" t="s">
        <v>18</v>
      </c>
      <c r="C38" s="2">
        <v>0.5</v>
      </c>
      <c r="D38" s="3">
        <v>0.51041666666666663</v>
      </c>
      <c r="E38" s="9">
        <v>5</v>
      </c>
      <c r="F38" s="9">
        <v>7</v>
      </c>
      <c r="G38" s="9">
        <v>2</v>
      </c>
      <c r="H38" s="9">
        <v>0</v>
      </c>
      <c r="I38" s="26">
        <v>0</v>
      </c>
      <c r="J38" s="26">
        <v>1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10">
        <f t="shared" si="0"/>
        <v>15</v>
      </c>
      <c r="Q38" s="30">
        <f>SUM(P38:P41)</f>
        <v>61</v>
      </c>
      <c r="R38" s="11"/>
      <c r="S38" s="40">
        <f t="shared" ref="S38:S41" si="2">+Q38/$T$30</f>
        <v>0.13958810068649885</v>
      </c>
      <c r="T38" s="39"/>
      <c r="U38" s="43"/>
    </row>
    <row r="39" spans="2:21" ht="14.25" customHeight="1" x14ac:dyDescent="0.3">
      <c r="B39" s="31"/>
      <c r="C39" s="7">
        <v>0.51041666666666663</v>
      </c>
      <c r="D39" s="8">
        <v>0.52083333333333337</v>
      </c>
      <c r="E39" s="9">
        <v>3</v>
      </c>
      <c r="F39" s="9">
        <v>4</v>
      </c>
      <c r="G39" s="9">
        <v>7</v>
      </c>
      <c r="H39" s="9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10">
        <f t="shared" si="0"/>
        <v>14</v>
      </c>
      <c r="Q39" s="31"/>
      <c r="R39" s="11"/>
      <c r="S39" s="41"/>
      <c r="T39" s="39"/>
      <c r="U39" s="43"/>
    </row>
    <row r="40" spans="2:21" ht="14.25" customHeight="1" x14ac:dyDescent="0.3">
      <c r="B40" s="31"/>
      <c r="C40" s="12">
        <v>0.52083333333333337</v>
      </c>
      <c r="D40" s="13">
        <v>0.94791666666666663</v>
      </c>
      <c r="E40" s="9">
        <v>1</v>
      </c>
      <c r="F40" s="9">
        <v>5</v>
      </c>
      <c r="G40" s="9">
        <v>4</v>
      </c>
      <c r="H40" s="9">
        <v>0</v>
      </c>
      <c r="I40" s="26">
        <v>0</v>
      </c>
      <c r="J40" s="26">
        <v>1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10">
        <f t="shared" si="0"/>
        <v>11</v>
      </c>
      <c r="Q40" s="31"/>
      <c r="R40" s="11"/>
      <c r="S40" s="41"/>
      <c r="T40" s="39"/>
      <c r="U40" s="43"/>
    </row>
    <row r="41" spans="2:21" ht="14.25" customHeight="1" thickBot="1" x14ac:dyDescent="0.35">
      <c r="B41" s="32"/>
      <c r="C41" s="14">
        <v>0.53125</v>
      </c>
      <c r="D41" s="15">
        <v>0.54166666666666663</v>
      </c>
      <c r="E41" s="9">
        <v>12</v>
      </c>
      <c r="F41" s="9">
        <v>1</v>
      </c>
      <c r="G41" s="9">
        <v>6</v>
      </c>
      <c r="H41" s="9">
        <v>1</v>
      </c>
      <c r="I41" s="26">
        <v>0</v>
      </c>
      <c r="J41" s="26">
        <v>1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9">
        <f t="shared" si="0"/>
        <v>21</v>
      </c>
      <c r="Q41" s="32"/>
      <c r="R41" s="11"/>
      <c r="S41" s="42"/>
      <c r="T41" s="39"/>
      <c r="U41" s="43"/>
    </row>
    <row r="42" spans="2:21" ht="14.25" customHeight="1" x14ac:dyDescent="0.3">
      <c r="B42" s="30" t="s">
        <v>19</v>
      </c>
      <c r="C42" s="2">
        <v>0.5</v>
      </c>
      <c r="D42" s="3">
        <v>0.51041666666666663</v>
      </c>
      <c r="E42" s="9">
        <v>23</v>
      </c>
      <c r="F42" s="9">
        <v>77</v>
      </c>
      <c r="G42" s="9">
        <v>11</v>
      </c>
      <c r="H42" s="9">
        <v>4</v>
      </c>
      <c r="I42" s="26">
        <v>0</v>
      </c>
      <c r="J42" s="26">
        <v>1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9">
        <f t="shared" si="0"/>
        <v>116</v>
      </c>
      <c r="Q42" s="30">
        <f>SUM(P42:P45)</f>
        <v>455</v>
      </c>
      <c r="R42" s="11"/>
      <c r="S42" s="40">
        <f>+Q42/$T$42</f>
        <v>0.61155913978494625</v>
      </c>
      <c r="T42" s="39">
        <f>+Q42+Q46+Q50</f>
        <v>744</v>
      </c>
      <c r="U42" s="43">
        <f>+T42/Q78</f>
        <v>0.34604651162790695</v>
      </c>
    </row>
    <row r="43" spans="2:21" ht="14.25" customHeight="1" x14ac:dyDescent="0.3">
      <c r="B43" s="31"/>
      <c r="C43" s="7">
        <v>0.51041666666666663</v>
      </c>
      <c r="D43" s="8">
        <v>0.52083333333333337</v>
      </c>
      <c r="E43" s="9">
        <v>19</v>
      </c>
      <c r="F43" s="9">
        <v>52</v>
      </c>
      <c r="G43" s="9">
        <v>32</v>
      </c>
      <c r="H43" s="9">
        <v>3</v>
      </c>
      <c r="I43" s="26">
        <v>0</v>
      </c>
      <c r="J43" s="26">
        <v>3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9">
        <f t="shared" si="0"/>
        <v>109</v>
      </c>
      <c r="Q43" s="31"/>
      <c r="R43" s="11"/>
      <c r="S43" s="41"/>
      <c r="T43" s="39"/>
      <c r="U43" s="43"/>
    </row>
    <row r="44" spans="2:21" ht="14.25" customHeight="1" x14ac:dyDescent="0.3">
      <c r="B44" s="31"/>
      <c r="C44" s="12">
        <v>0.52083333333333337</v>
      </c>
      <c r="D44" s="13">
        <v>0.94791666666666663</v>
      </c>
      <c r="E44" s="9">
        <v>17</v>
      </c>
      <c r="F44" s="9">
        <v>43</v>
      </c>
      <c r="G44" s="9">
        <v>47</v>
      </c>
      <c r="H44" s="9">
        <v>1</v>
      </c>
      <c r="I44" s="26">
        <v>0</v>
      </c>
      <c r="J44" s="26">
        <v>2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9">
        <f t="shared" si="0"/>
        <v>110</v>
      </c>
      <c r="Q44" s="31"/>
      <c r="R44" s="11"/>
      <c r="S44" s="41"/>
      <c r="T44" s="39"/>
      <c r="U44" s="43"/>
    </row>
    <row r="45" spans="2:21" ht="14.25" customHeight="1" thickBot="1" x14ac:dyDescent="0.35">
      <c r="B45" s="32"/>
      <c r="C45" s="14">
        <v>0.53125</v>
      </c>
      <c r="D45" s="15">
        <v>0.54166666666666663</v>
      </c>
      <c r="E45" s="9">
        <v>25</v>
      </c>
      <c r="F45" s="9">
        <v>38</v>
      </c>
      <c r="G45" s="9">
        <v>52</v>
      </c>
      <c r="H45" s="9">
        <v>3</v>
      </c>
      <c r="I45" s="26">
        <v>0</v>
      </c>
      <c r="J45" s="26">
        <v>2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9">
        <f t="shared" si="0"/>
        <v>120</v>
      </c>
      <c r="Q45" s="32"/>
      <c r="R45" s="11"/>
      <c r="S45" s="42"/>
      <c r="T45" s="39"/>
      <c r="U45" s="43"/>
    </row>
    <row r="46" spans="2:21" ht="14.25" customHeight="1" x14ac:dyDescent="0.3">
      <c r="B46" s="30" t="s">
        <v>20</v>
      </c>
      <c r="C46" s="2">
        <v>0.5</v>
      </c>
      <c r="D46" s="3">
        <v>0.51041666666666663</v>
      </c>
      <c r="E46" s="9">
        <v>8</v>
      </c>
      <c r="F46" s="9">
        <v>29</v>
      </c>
      <c r="G46" s="9">
        <v>4</v>
      </c>
      <c r="H46" s="9">
        <v>0</v>
      </c>
      <c r="I46" s="26">
        <v>0</v>
      </c>
      <c r="J46" s="26">
        <v>1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9">
        <f t="shared" si="0"/>
        <v>42</v>
      </c>
      <c r="Q46" s="30">
        <f>SUM(P46:P49)</f>
        <v>139</v>
      </c>
      <c r="R46" s="11"/>
      <c r="S46" s="40">
        <f t="shared" ref="S46:S53" si="3">+Q46/$T$42</f>
        <v>0.18682795698924731</v>
      </c>
      <c r="T46" s="39"/>
      <c r="U46" s="43"/>
    </row>
    <row r="47" spans="2:21" ht="14.25" customHeight="1" x14ac:dyDescent="0.3">
      <c r="B47" s="31"/>
      <c r="C47" s="7">
        <v>0.51041666666666663</v>
      </c>
      <c r="D47" s="8">
        <v>0.52083333333333337</v>
      </c>
      <c r="E47" s="9">
        <v>1</v>
      </c>
      <c r="F47" s="9">
        <v>21</v>
      </c>
      <c r="G47" s="9">
        <v>12</v>
      </c>
      <c r="H47" s="9">
        <v>0</v>
      </c>
      <c r="I47" s="26">
        <v>0</v>
      </c>
      <c r="J47" s="26">
        <v>1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9">
        <f t="shared" si="0"/>
        <v>35</v>
      </c>
      <c r="Q47" s="31"/>
      <c r="R47" s="11"/>
      <c r="S47" s="41"/>
      <c r="T47" s="39"/>
      <c r="U47" s="43"/>
    </row>
    <row r="48" spans="2:21" ht="14.25" customHeight="1" x14ac:dyDescent="0.3">
      <c r="B48" s="31"/>
      <c r="C48" s="12">
        <v>0.52083333333333337</v>
      </c>
      <c r="D48" s="13">
        <v>0.94791666666666663</v>
      </c>
      <c r="E48" s="9">
        <v>8</v>
      </c>
      <c r="F48" s="9">
        <v>3</v>
      </c>
      <c r="G48" s="9">
        <v>20</v>
      </c>
      <c r="H48" s="9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9">
        <f t="shared" si="0"/>
        <v>31</v>
      </c>
      <c r="Q48" s="31"/>
      <c r="R48" s="11"/>
      <c r="S48" s="41"/>
      <c r="T48" s="39"/>
      <c r="U48" s="43"/>
    </row>
    <row r="49" spans="2:21" ht="14.25" customHeight="1" thickBot="1" x14ac:dyDescent="0.35">
      <c r="B49" s="32"/>
      <c r="C49" s="14">
        <v>0.53125</v>
      </c>
      <c r="D49" s="15">
        <v>0.54166666666666663</v>
      </c>
      <c r="E49" s="9">
        <v>15</v>
      </c>
      <c r="F49" s="9">
        <v>8</v>
      </c>
      <c r="G49" s="9">
        <v>6</v>
      </c>
      <c r="H49" s="9">
        <v>1</v>
      </c>
      <c r="I49" s="26">
        <v>0</v>
      </c>
      <c r="J49" s="26">
        <v>1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9">
        <f t="shared" si="0"/>
        <v>31</v>
      </c>
      <c r="Q49" s="32"/>
      <c r="R49" s="11"/>
      <c r="S49" s="42"/>
      <c r="T49" s="39"/>
      <c r="U49" s="43"/>
    </row>
    <row r="50" spans="2:21" ht="14.25" customHeight="1" x14ac:dyDescent="0.3">
      <c r="B50" s="30" t="s">
        <v>21</v>
      </c>
      <c r="C50" s="2">
        <v>0.5</v>
      </c>
      <c r="D50" s="3">
        <v>0.51041666666666663</v>
      </c>
      <c r="E50" s="9">
        <v>16</v>
      </c>
      <c r="F50" s="9">
        <v>34</v>
      </c>
      <c r="G50" s="9">
        <v>15</v>
      </c>
      <c r="H50" s="9">
        <v>3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9">
        <f t="shared" si="0"/>
        <v>68</v>
      </c>
      <c r="Q50" s="30">
        <f>SUM(P50:P53)</f>
        <v>150</v>
      </c>
      <c r="R50" s="11"/>
      <c r="S50" s="40">
        <f t="shared" ref="S50:S53" si="4">+Q50/$T$42</f>
        <v>0.20161290322580644</v>
      </c>
      <c r="T50" s="39"/>
      <c r="U50" s="43"/>
    </row>
    <row r="51" spans="2:21" ht="14.25" customHeight="1" x14ac:dyDescent="0.3">
      <c r="B51" s="31"/>
      <c r="C51" s="7">
        <v>0.51041666666666663</v>
      </c>
      <c r="D51" s="8">
        <v>0.52083333333333337</v>
      </c>
      <c r="E51" s="9">
        <v>1</v>
      </c>
      <c r="F51" s="9">
        <v>6</v>
      </c>
      <c r="G51" s="9">
        <v>5</v>
      </c>
      <c r="H51" s="9">
        <v>0</v>
      </c>
      <c r="I51" s="26">
        <v>0</v>
      </c>
      <c r="J51" s="26">
        <v>1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9">
        <f t="shared" si="0"/>
        <v>13</v>
      </c>
      <c r="Q51" s="31"/>
      <c r="R51" s="11"/>
      <c r="S51" s="41"/>
      <c r="T51" s="39"/>
      <c r="U51" s="43"/>
    </row>
    <row r="52" spans="2:21" ht="14.25" customHeight="1" x14ac:dyDescent="0.3">
      <c r="B52" s="31"/>
      <c r="C52" s="12">
        <v>0.52083333333333337</v>
      </c>
      <c r="D52" s="13">
        <v>0.94791666666666663</v>
      </c>
      <c r="E52" s="9">
        <v>0</v>
      </c>
      <c r="F52" s="9">
        <v>5</v>
      </c>
      <c r="G52" s="9">
        <v>9</v>
      </c>
      <c r="H52" s="9">
        <v>0</v>
      </c>
      <c r="I52" s="26">
        <v>0</v>
      </c>
      <c r="J52" s="26">
        <v>1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9">
        <f t="shared" si="0"/>
        <v>15</v>
      </c>
      <c r="Q52" s="31"/>
      <c r="R52" s="11"/>
      <c r="S52" s="41"/>
      <c r="T52" s="39"/>
      <c r="U52" s="43"/>
    </row>
    <row r="53" spans="2:21" ht="14.25" customHeight="1" thickBot="1" x14ac:dyDescent="0.35">
      <c r="B53" s="32"/>
      <c r="C53" s="14">
        <v>0.53125</v>
      </c>
      <c r="D53" s="15">
        <v>0.54166666666666663</v>
      </c>
      <c r="E53" s="9">
        <v>11</v>
      </c>
      <c r="F53" s="9">
        <v>20</v>
      </c>
      <c r="G53" s="9">
        <v>22</v>
      </c>
      <c r="H53" s="9">
        <v>0</v>
      </c>
      <c r="I53" s="26">
        <v>0</v>
      </c>
      <c r="J53" s="26">
        <v>1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9">
        <f t="shared" si="0"/>
        <v>54</v>
      </c>
      <c r="Q53" s="32"/>
      <c r="R53" s="11"/>
      <c r="S53" s="42"/>
      <c r="T53" s="39"/>
      <c r="U53" s="43"/>
    </row>
    <row r="54" spans="2:21" ht="14.25" customHeight="1" x14ac:dyDescent="0.3">
      <c r="B54" s="30" t="s">
        <v>22</v>
      </c>
      <c r="C54" s="2">
        <v>0.5</v>
      </c>
      <c r="D54" s="3">
        <v>0.51041666666666663</v>
      </c>
      <c r="E54" s="9">
        <v>10</v>
      </c>
      <c r="F54" s="9">
        <v>45</v>
      </c>
      <c r="G54" s="9">
        <v>5</v>
      </c>
      <c r="H54" s="9">
        <v>0</v>
      </c>
      <c r="I54" s="26">
        <v>0</v>
      </c>
      <c r="J54" s="26">
        <v>2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9">
        <f t="shared" si="0"/>
        <v>62</v>
      </c>
      <c r="Q54" s="30">
        <f>SUM(P54:P57)</f>
        <v>250</v>
      </c>
      <c r="R54" s="11"/>
      <c r="S54" s="40">
        <f>+Q54/$T$54</f>
        <v>0.51440329218106995</v>
      </c>
      <c r="T54" s="39">
        <f>+Q54+Q58+Q62</f>
        <v>486</v>
      </c>
      <c r="U54" s="43">
        <f>+T54/Q78</f>
        <v>0.22604651162790698</v>
      </c>
    </row>
    <row r="55" spans="2:21" ht="14.25" customHeight="1" x14ac:dyDescent="0.3">
      <c r="B55" s="31"/>
      <c r="C55" s="7">
        <v>0.51041666666666663</v>
      </c>
      <c r="D55" s="8">
        <v>0.52083333333333337</v>
      </c>
      <c r="E55" s="9">
        <v>6</v>
      </c>
      <c r="F55" s="9">
        <v>26</v>
      </c>
      <c r="G55" s="9">
        <v>12</v>
      </c>
      <c r="H55" s="9">
        <v>0</v>
      </c>
      <c r="I55" s="26">
        <v>0</v>
      </c>
      <c r="J55" s="26">
        <v>1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9">
        <f t="shared" si="0"/>
        <v>45</v>
      </c>
      <c r="Q55" s="31"/>
      <c r="R55" s="11"/>
      <c r="S55" s="41"/>
      <c r="T55" s="39"/>
      <c r="U55" s="43"/>
    </row>
    <row r="56" spans="2:21" ht="14.25" customHeight="1" x14ac:dyDescent="0.3">
      <c r="B56" s="31"/>
      <c r="C56" s="12">
        <v>0.52083333333333337</v>
      </c>
      <c r="D56" s="13">
        <v>0.94791666666666663</v>
      </c>
      <c r="E56" s="9">
        <v>13</v>
      </c>
      <c r="F56" s="9">
        <v>21</v>
      </c>
      <c r="G56" s="9">
        <v>43</v>
      </c>
      <c r="H56" s="9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9">
        <f t="shared" si="0"/>
        <v>77</v>
      </c>
      <c r="Q56" s="31"/>
      <c r="R56" s="11"/>
      <c r="S56" s="41"/>
      <c r="T56" s="39"/>
      <c r="U56" s="43"/>
    </row>
    <row r="57" spans="2:21" ht="14.25" customHeight="1" thickBot="1" x14ac:dyDescent="0.35">
      <c r="B57" s="32"/>
      <c r="C57" s="14">
        <v>0.53125</v>
      </c>
      <c r="D57" s="15">
        <v>0.54166666666666663</v>
      </c>
      <c r="E57" s="9">
        <v>14</v>
      </c>
      <c r="F57" s="9">
        <v>24</v>
      </c>
      <c r="G57" s="9">
        <v>28</v>
      </c>
      <c r="H57" s="9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9">
        <f t="shared" si="0"/>
        <v>66</v>
      </c>
      <c r="Q57" s="32"/>
      <c r="R57" s="11"/>
      <c r="S57" s="42"/>
      <c r="T57" s="39"/>
      <c r="U57" s="43"/>
    </row>
    <row r="58" spans="2:21" ht="14.25" customHeight="1" x14ac:dyDescent="0.3">
      <c r="B58" s="30" t="s">
        <v>23</v>
      </c>
      <c r="C58" s="2">
        <v>0.5</v>
      </c>
      <c r="D58" s="3">
        <v>0.51041666666666663</v>
      </c>
      <c r="E58" s="9">
        <v>9</v>
      </c>
      <c r="F58" s="9">
        <v>23</v>
      </c>
      <c r="G58" s="9">
        <v>8</v>
      </c>
      <c r="H58" s="9">
        <v>4</v>
      </c>
      <c r="I58" s="26">
        <v>0</v>
      </c>
      <c r="J58" s="26">
        <v>2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9">
        <f t="shared" si="0"/>
        <v>46</v>
      </c>
      <c r="Q58" s="30">
        <f>SUM(P58:P61)</f>
        <v>144</v>
      </c>
      <c r="R58" s="11"/>
      <c r="S58" s="40">
        <f t="shared" ref="S58:S65" si="5">+Q58/$T$54</f>
        <v>0.29629629629629628</v>
      </c>
      <c r="T58" s="39"/>
      <c r="U58" s="43"/>
    </row>
    <row r="59" spans="2:21" ht="14.25" customHeight="1" x14ac:dyDescent="0.3">
      <c r="B59" s="31"/>
      <c r="C59" s="7">
        <v>0.51041666666666663</v>
      </c>
      <c r="D59" s="8">
        <v>0.52083333333333337</v>
      </c>
      <c r="E59" s="9">
        <v>1</v>
      </c>
      <c r="F59" s="9">
        <v>5</v>
      </c>
      <c r="G59" s="9">
        <v>2</v>
      </c>
      <c r="H59" s="9">
        <v>0</v>
      </c>
      <c r="I59" s="26">
        <v>0</v>
      </c>
      <c r="J59" s="26">
        <v>1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9">
        <f t="shared" si="0"/>
        <v>9</v>
      </c>
      <c r="Q59" s="31"/>
      <c r="R59" s="11"/>
      <c r="S59" s="41"/>
      <c r="T59" s="39"/>
      <c r="U59" s="43"/>
    </row>
    <row r="60" spans="2:21" ht="14.25" customHeight="1" x14ac:dyDescent="0.3">
      <c r="B60" s="31"/>
      <c r="C60" s="12">
        <v>0.52083333333333337</v>
      </c>
      <c r="D60" s="13">
        <v>0.94791666666666663</v>
      </c>
      <c r="E60" s="9">
        <v>1</v>
      </c>
      <c r="F60" s="9">
        <v>12</v>
      </c>
      <c r="G60" s="9">
        <v>27</v>
      </c>
      <c r="H60" s="9">
        <v>1</v>
      </c>
      <c r="I60" s="26">
        <v>0</v>
      </c>
      <c r="J60" s="26">
        <v>2</v>
      </c>
      <c r="K60" s="26">
        <v>1</v>
      </c>
      <c r="L60" s="26">
        <v>0</v>
      </c>
      <c r="M60" s="26">
        <v>0</v>
      </c>
      <c r="N60" s="26">
        <v>0</v>
      </c>
      <c r="O60" s="26">
        <v>0</v>
      </c>
      <c r="P60" s="9">
        <f t="shared" si="0"/>
        <v>44</v>
      </c>
      <c r="Q60" s="31"/>
      <c r="R60" s="11"/>
      <c r="S60" s="41"/>
      <c r="T60" s="39"/>
      <c r="U60" s="43"/>
    </row>
    <row r="61" spans="2:21" ht="14.25" customHeight="1" thickBot="1" x14ac:dyDescent="0.35">
      <c r="B61" s="32"/>
      <c r="C61" s="14">
        <v>0.53125</v>
      </c>
      <c r="D61" s="15">
        <v>0.54166666666666663</v>
      </c>
      <c r="E61" s="9">
        <v>13</v>
      </c>
      <c r="F61" s="9">
        <v>18</v>
      </c>
      <c r="G61" s="9">
        <v>12</v>
      </c>
      <c r="H61" s="9">
        <v>0</v>
      </c>
      <c r="I61" s="26">
        <v>0</v>
      </c>
      <c r="J61" s="26">
        <v>2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9">
        <f t="shared" si="0"/>
        <v>45</v>
      </c>
      <c r="Q61" s="32"/>
      <c r="R61" s="11"/>
      <c r="S61" s="42"/>
      <c r="T61" s="39"/>
      <c r="U61" s="43"/>
    </row>
    <row r="62" spans="2:21" ht="14.25" customHeight="1" x14ac:dyDescent="0.3">
      <c r="B62" s="30" t="s">
        <v>24</v>
      </c>
      <c r="C62" s="2">
        <v>0.5</v>
      </c>
      <c r="D62" s="3">
        <v>0.51041666666666663</v>
      </c>
      <c r="E62" s="9">
        <v>3</v>
      </c>
      <c r="F62" s="9">
        <v>6</v>
      </c>
      <c r="G62" s="9">
        <v>1</v>
      </c>
      <c r="H62" s="9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9">
        <f t="shared" si="0"/>
        <v>10</v>
      </c>
      <c r="Q62" s="30">
        <f>SUM(P62:P65)</f>
        <v>92</v>
      </c>
      <c r="R62" s="11"/>
      <c r="S62" s="40">
        <f t="shared" ref="S62:S65" si="6">+Q62/$T$54</f>
        <v>0.18930041152263374</v>
      </c>
      <c r="T62" s="39"/>
      <c r="U62" s="43"/>
    </row>
    <row r="63" spans="2:21" ht="14.25" customHeight="1" x14ac:dyDescent="0.3">
      <c r="B63" s="31"/>
      <c r="C63" s="7">
        <v>0.51041666666666663</v>
      </c>
      <c r="D63" s="8">
        <v>0.52083333333333337</v>
      </c>
      <c r="E63" s="9">
        <v>5</v>
      </c>
      <c r="F63" s="9">
        <v>26</v>
      </c>
      <c r="G63" s="9">
        <v>20</v>
      </c>
      <c r="H63" s="9">
        <v>1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9">
        <f t="shared" si="0"/>
        <v>52</v>
      </c>
      <c r="Q63" s="31"/>
      <c r="R63" s="11"/>
      <c r="S63" s="41"/>
      <c r="T63" s="39"/>
      <c r="U63" s="43"/>
    </row>
    <row r="64" spans="2:21" ht="14.25" customHeight="1" x14ac:dyDescent="0.3">
      <c r="B64" s="31"/>
      <c r="C64" s="12">
        <v>0.52083333333333337</v>
      </c>
      <c r="D64" s="13">
        <v>0.94791666666666663</v>
      </c>
      <c r="E64" s="9">
        <v>6</v>
      </c>
      <c r="F64" s="9">
        <v>1</v>
      </c>
      <c r="G64" s="9">
        <v>1</v>
      </c>
      <c r="H64" s="9">
        <v>0</v>
      </c>
      <c r="I64" s="26">
        <v>0</v>
      </c>
      <c r="J64" s="26">
        <v>1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9">
        <f t="shared" si="0"/>
        <v>9</v>
      </c>
      <c r="Q64" s="31"/>
      <c r="R64" s="11"/>
      <c r="S64" s="41"/>
      <c r="T64" s="39"/>
      <c r="U64" s="43"/>
    </row>
    <row r="65" spans="2:21" ht="14.25" customHeight="1" thickBot="1" x14ac:dyDescent="0.35">
      <c r="B65" s="32"/>
      <c r="C65" s="14">
        <v>0.53125</v>
      </c>
      <c r="D65" s="15">
        <v>0.54166666666666663</v>
      </c>
      <c r="E65" s="9">
        <v>7</v>
      </c>
      <c r="F65" s="9">
        <v>8</v>
      </c>
      <c r="G65" s="9">
        <v>6</v>
      </c>
      <c r="H65" s="9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9">
        <f t="shared" si="0"/>
        <v>21</v>
      </c>
      <c r="Q65" s="32"/>
      <c r="R65" s="11"/>
      <c r="S65" s="42"/>
      <c r="T65" s="39"/>
      <c r="U65" s="43"/>
    </row>
    <row r="66" spans="2:21" ht="14.25" customHeight="1" x14ac:dyDescent="0.3">
      <c r="B66" s="30" t="s">
        <v>25</v>
      </c>
      <c r="C66" s="2">
        <v>0.5</v>
      </c>
      <c r="D66" s="3">
        <v>0.51041666666666663</v>
      </c>
      <c r="E66" s="9">
        <v>13</v>
      </c>
      <c r="F66" s="9">
        <v>57</v>
      </c>
      <c r="G66" s="9">
        <v>16</v>
      </c>
      <c r="H66" s="9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9">
        <f t="shared" si="0"/>
        <v>86</v>
      </c>
      <c r="Q66" s="30">
        <f>SUM(P66:P69)</f>
        <v>302</v>
      </c>
      <c r="R66" s="11"/>
      <c r="S66" s="40">
        <f>+Q66/$T$66</f>
        <v>0.62525879917184268</v>
      </c>
      <c r="T66" s="39">
        <f>+Q66+Q70+Q74</f>
        <v>483</v>
      </c>
      <c r="U66" s="43">
        <f>+T66/Q78</f>
        <v>0.22465116279069766</v>
      </c>
    </row>
    <row r="67" spans="2:21" ht="14.25" customHeight="1" x14ac:dyDescent="0.3">
      <c r="B67" s="31"/>
      <c r="C67" s="7">
        <v>0.51041666666666663</v>
      </c>
      <c r="D67" s="8">
        <v>0.52083333333333337</v>
      </c>
      <c r="E67" s="9">
        <v>8</v>
      </c>
      <c r="F67" s="9">
        <v>39</v>
      </c>
      <c r="G67" s="9">
        <v>28</v>
      </c>
      <c r="H67" s="9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9">
        <f t="shared" si="0"/>
        <v>75</v>
      </c>
      <c r="Q67" s="31"/>
      <c r="R67" s="11"/>
      <c r="S67" s="41"/>
      <c r="T67" s="39"/>
      <c r="U67" s="43"/>
    </row>
    <row r="68" spans="2:21" ht="14.25" customHeight="1" x14ac:dyDescent="0.3">
      <c r="B68" s="31"/>
      <c r="C68" s="12">
        <v>0.52083333333333337</v>
      </c>
      <c r="D68" s="13">
        <v>0.94791666666666663</v>
      </c>
      <c r="E68" s="9">
        <v>15</v>
      </c>
      <c r="F68" s="9">
        <v>22</v>
      </c>
      <c r="G68" s="9">
        <v>39</v>
      </c>
      <c r="H68" s="9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9">
        <f t="shared" si="0"/>
        <v>76</v>
      </c>
      <c r="Q68" s="31"/>
      <c r="R68" s="11"/>
      <c r="S68" s="41"/>
      <c r="T68" s="39"/>
      <c r="U68" s="43"/>
    </row>
    <row r="69" spans="2:21" ht="14.25" customHeight="1" thickBot="1" x14ac:dyDescent="0.35">
      <c r="B69" s="32"/>
      <c r="C69" s="14">
        <v>0.53125</v>
      </c>
      <c r="D69" s="15">
        <v>0.54166666666666663</v>
      </c>
      <c r="E69" s="9">
        <v>13</v>
      </c>
      <c r="F69" s="9">
        <v>29</v>
      </c>
      <c r="G69" s="9">
        <v>23</v>
      </c>
      <c r="H69" s="9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9">
        <f t="shared" si="0"/>
        <v>65</v>
      </c>
      <c r="Q69" s="32"/>
      <c r="R69" s="11"/>
      <c r="S69" s="42"/>
      <c r="T69" s="39"/>
      <c r="U69" s="43"/>
    </row>
    <row r="70" spans="2:21" ht="14.25" customHeight="1" x14ac:dyDescent="0.3">
      <c r="B70" s="30" t="s">
        <v>26</v>
      </c>
      <c r="C70" s="2">
        <v>0.5</v>
      </c>
      <c r="D70" s="3">
        <v>0.51041666666666663</v>
      </c>
      <c r="E70" s="9">
        <v>4</v>
      </c>
      <c r="F70" s="9">
        <v>11</v>
      </c>
      <c r="G70" s="9">
        <v>3</v>
      </c>
      <c r="H70" s="9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9">
        <f t="shared" si="0"/>
        <v>18</v>
      </c>
      <c r="Q70" s="30">
        <f>SUM(P70:P73)</f>
        <v>73</v>
      </c>
      <c r="R70" s="11"/>
      <c r="S70" s="40">
        <f t="shared" ref="S70:S77" si="7">+Q70/$T$66</f>
        <v>0.15113871635610765</v>
      </c>
      <c r="T70" s="39"/>
      <c r="U70" s="43"/>
    </row>
    <row r="71" spans="2:21" ht="14.25" customHeight="1" x14ac:dyDescent="0.3">
      <c r="B71" s="31"/>
      <c r="C71" s="7">
        <v>0.51041666666666663</v>
      </c>
      <c r="D71" s="8">
        <v>0.52083333333333337</v>
      </c>
      <c r="E71" s="9">
        <v>2</v>
      </c>
      <c r="F71" s="9">
        <v>8</v>
      </c>
      <c r="G71" s="9">
        <v>4</v>
      </c>
      <c r="H71" s="9">
        <v>0</v>
      </c>
      <c r="I71" s="26">
        <v>0</v>
      </c>
      <c r="J71" s="26">
        <v>2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9">
        <f t="shared" si="0"/>
        <v>16</v>
      </c>
      <c r="Q71" s="31"/>
      <c r="R71" s="11"/>
      <c r="S71" s="41"/>
      <c r="T71" s="39"/>
      <c r="U71" s="43"/>
    </row>
    <row r="72" spans="2:21" ht="14.25" customHeight="1" x14ac:dyDescent="0.3">
      <c r="B72" s="31"/>
      <c r="C72" s="12">
        <v>0.52083333333333337</v>
      </c>
      <c r="D72" s="13">
        <v>0.94791666666666663</v>
      </c>
      <c r="E72" s="9">
        <v>2</v>
      </c>
      <c r="F72" s="9">
        <v>6</v>
      </c>
      <c r="G72" s="9">
        <v>8</v>
      </c>
      <c r="H72" s="9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9">
        <f t="shared" si="0"/>
        <v>16</v>
      </c>
      <c r="Q72" s="31"/>
      <c r="R72" s="11"/>
      <c r="S72" s="41"/>
      <c r="T72" s="39"/>
      <c r="U72" s="43"/>
    </row>
    <row r="73" spans="2:21" ht="14.25" customHeight="1" thickBot="1" x14ac:dyDescent="0.35">
      <c r="B73" s="32"/>
      <c r="C73" s="14">
        <v>0.53125</v>
      </c>
      <c r="D73" s="15">
        <v>0.54166666666666663</v>
      </c>
      <c r="E73" s="9">
        <v>2</v>
      </c>
      <c r="F73" s="9">
        <v>14</v>
      </c>
      <c r="G73" s="9">
        <v>4</v>
      </c>
      <c r="H73" s="9">
        <v>0</v>
      </c>
      <c r="I73" s="26">
        <v>0</v>
      </c>
      <c r="J73" s="26">
        <v>3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9">
        <f t="shared" si="0"/>
        <v>23</v>
      </c>
      <c r="Q73" s="32"/>
      <c r="R73" s="11"/>
      <c r="S73" s="42"/>
      <c r="T73" s="39"/>
      <c r="U73" s="43"/>
    </row>
    <row r="74" spans="2:21" ht="14.25" customHeight="1" x14ac:dyDescent="0.3">
      <c r="B74" s="30" t="s">
        <v>27</v>
      </c>
      <c r="C74" s="2">
        <v>0.5</v>
      </c>
      <c r="D74" s="3">
        <v>0.51041666666666663</v>
      </c>
      <c r="E74" s="9">
        <v>3</v>
      </c>
      <c r="F74" s="9">
        <v>21</v>
      </c>
      <c r="G74" s="9">
        <v>5</v>
      </c>
      <c r="H74" s="9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9">
        <f t="shared" si="0"/>
        <v>29</v>
      </c>
      <c r="Q74" s="30">
        <f>SUM(P74:P77)</f>
        <v>108</v>
      </c>
      <c r="R74" s="11"/>
      <c r="S74" s="40">
        <f t="shared" ref="S74:S77" si="8">+Q74/$T$66</f>
        <v>0.2236024844720497</v>
      </c>
      <c r="T74" s="39"/>
      <c r="U74" s="43"/>
    </row>
    <row r="75" spans="2:21" ht="14.25" customHeight="1" x14ac:dyDescent="0.3">
      <c r="B75" s="31"/>
      <c r="C75" s="7">
        <v>0.51041666666666663</v>
      </c>
      <c r="D75" s="8">
        <v>0.52083333333333337</v>
      </c>
      <c r="E75" s="9">
        <v>2</v>
      </c>
      <c r="F75" s="9">
        <v>13</v>
      </c>
      <c r="G75" s="9">
        <v>6</v>
      </c>
      <c r="H75" s="9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9">
        <f t="shared" si="0"/>
        <v>21</v>
      </c>
      <c r="Q75" s="31"/>
      <c r="R75" s="11"/>
      <c r="S75" s="41"/>
      <c r="T75" s="39"/>
      <c r="U75" s="43"/>
    </row>
    <row r="76" spans="2:21" ht="14.25" customHeight="1" x14ac:dyDescent="0.3">
      <c r="B76" s="31"/>
      <c r="C76" s="12">
        <v>0.52083333333333337</v>
      </c>
      <c r="D76" s="13">
        <v>0.94791666666666663</v>
      </c>
      <c r="E76" s="9">
        <v>1</v>
      </c>
      <c r="F76" s="9">
        <v>6</v>
      </c>
      <c r="G76" s="9">
        <v>16</v>
      </c>
      <c r="H76" s="9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9">
        <f t="shared" si="0"/>
        <v>23</v>
      </c>
      <c r="Q76" s="31"/>
      <c r="R76" s="11"/>
      <c r="S76" s="41"/>
      <c r="T76" s="39"/>
      <c r="U76" s="43"/>
    </row>
    <row r="77" spans="2:21" ht="14.25" customHeight="1" thickBot="1" x14ac:dyDescent="0.35">
      <c r="B77" s="32"/>
      <c r="C77" s="14">
        <v>0.53125</v>
      </c>
      <c r="D77" s="15">
        <v>0.54166666666666663</v>
      </c>
      <c r="E77" s="9">
        <v>6</v>
      </c>
      <c r="F77" s="9">
        <v>21</v>
      </c>
      <c r="G77" s="9">
        <v>8</v>
      </c>
      <c r="H77" s="9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9">
        <f t="shared" si="0"/>
        <v>35</v>
      </c>
      <c r="Q77" s="32"/>
      <c r="R77" s="11"/>
      <c r="S77" s="42"/>
      <c r="T77" s="39"/>
      <c r="U77" s="43"/>
    </row>
    <row r="78" spans="2:21" ht="14.25" customHeight="1" thickBot="1" x14ac:dyDescent="0.35">
      <c r="C78" s="33" t="s">
        <v>28</v>
      </c>
      <c r="D78" s="29"/>
      <c r="E78" s="16">
        <f t="shared" ref="E78:R78" si="9">SUM(E30:E77)</f>
        <v>381</v>
      </c>
      <c r="F78" s="16">
        <f t="shared" si="9"/>
        <v>959</v>
      </c>
      <c r="G78" s="16">
        <f t="shared" si="9"/>
        <v>715</v>
      </c>
      <c r="H78" s="16">
        <f t="shared" si="9"/>
        <v>53</v>
      </c>
      <c r="I78" s="16">
        <f t="shared" si="9"/>
        <v>0</v>
      </c>
      <c r="J78" s="16">
        <f t="shared" si="9"/>
        <v>41</v>
      </c>
      <c r="K78" s="16">
        <f t="shared" si="9"/>
        <v>1</v>
      </c>
      <c r="L78" s="16">
        <f t="shared" si="9"/>
        <v>0</v>
      </c>
      <c r="M78" s="16">
        <f t="shared" si="9"/>
        <v>0</v>
      </c>
      <c r="N78" s="16">
        <f t="shared" si="9"/>
        <v>0</v>
      </c>
      <c r="O78" s="16">
        <f t="shared" si="9"/>
        <v>0</v>
      </c>
      <c r="P78" s="16">
        <f t="shared" si="9"/>
        <v>2150</v>
      </c>
      <c r="Q78" s="17">
        <f t="shared" si="9"/>
        <v>2150</v>
      </c>
      <c r="R78" s="17">
        <f t="shared" si="9"/>
        <v>0</v>
      </c>
      <c r="U78" s="39"/>
    </row>
    <row r="79" spans="2:21" ht="14.25" customHeight="1" x14ac:dyDescent="0.3">
      <c r="C79" s="33" t="s">
        <v>29</v>
      </c>
      <c r="D79" s="29"/>
      <c r="E79" s="18">
        <f t="shared" ref="E79:O79" si="10">E78/$Q$78</f>
        <v>0.17720930232558141</v>
      </c>
      <c r="F79" s="19">
        <f t="shared" si="10"/>
        <v>0.44604651162790698</v>
      </c>
      <c r="G79" s="19">
        <f t="shared" si="10"/>
        <v>0.33255813953488372</v>
      </c>
      <c r="H79" s="19">
        <f t="shared" si="10"/>
        <v>2.4651162790697675E-2</v>
      </c>
      <c r="I79" s="19">
        <f t="shared" si="10"/>
        <v>0</v>
      </c>
      <c r="J79" s="19">
        <f t="shared" si="10"/>
        <v>1.9069767441860466E-2</v>
      </c>
      <c r="K79" s="19">
        <f t="shared" si="10"/>
        <v>4.6511627906976747E-4</v>
      </c>
      <c r="L79" s="19">
        <f t="shared" si="10"/>
        <v>0</v>
      </c>
      <c r="M79" s="19">
        <f t="shared" si="10"/>
        <v>0</v>
      </c>
      <c r="N79" s="19">
        <f t="shared" si="10"/>
        <v>0</v>
      </c>
      <c r="O79" s="20">
        <f t="shared" si="10"/>
        <v>0</v>
      </c>
      <c r="P79" s="21">
        <f>SUM(E79:O79)</f>
        <v>1</v>
      </c>
      <c r="Q79" s="22">
        <f>Q78/$Q$78</f>
        <v>1</v>
      </c>
      <c r="U79" s="39"/>
    </row>
    <row r="80" spans="2:21" ht="14.25" customHeight="1" x14ac:dyDescent="0.3">
      <c r="C80" s="23"/>
      <c r="D80" s="23"/>
      <c r="N80" s="27" t="s">
        <v>30</v>
      </c>
      <c r="O80" s="28"/>
      <c r="P80" s="29"/>
      <c r="Q80" s="17">
        <f>AVERAGE(Q30:Q41)</f>
        <v>145.66666666666666</v>
      </c>
      <c r="U80" s="39"/>
    </row>
    <row r="81" spans="3:21" ht="14.25" customHeight="1" x14ac:dyDescent="0.3">
      <c r="C81" s="23"/>
      <c r="D81" s="23"/>
      <c r="N81" s="27" t="s">
        <v>31</v>
      </c>
      <c r="O81" s="28"/>
      <c r="P81" s="29"/>
      <c r="Q81" s="24">
        <f>Q80*12</f>
        <v>1748</v>
      </c>
      <c r="U81" s="39"/>
    </row>
    <row r="82" spans="3:21" ht="14.25" customHeight="1" x14ac:dyDescent="0.3">
      <c r="C82" s="23"/>
      <c r="D82" s="23"/>
      <c r="N82" s="25"/>
      <c r="O82" s="25"/>
      <c r="P82" s="25"/>
      <c r="Q82" s="25"/>
      <c r="U82" s="39"/>
    </row>
    <row r="83" spans="3:21" ht="14.25" customHeight="1" x14ac:dyDescent="0.3">
      <c r="C83" s="23"/>
      <c r="D83" s="23"/>
      <c r="N83" s="25"/>
      <c r="O83" s="25"/>
      <c r="P83" s="25"/>
      <c r="Q83" s="25"/>
      <c r="U83" s="39"/>
    </row>
    <row r="84" spans="3:21" ht="14.25" customHeight="1" x14ac:dyDescent="0.3">
      <c r="U84" s="39"/>
    </row>
    <row r="85" spans="3:21" ht="14.25" customHeight="1" x14ac:dyDescent="0.3">
      <c r="U85" s="39"/>
    </row>
    <row r="86" spans="3:21" ht="14.25" customHeight="1" x14ac:dyDescent="0.3">
      <c r="U86" s="39"/>
    </row>
    <row r="87" spans="3:21" ht="14.25" customHeight="1" x14ac:dyDescent="0.3">
      <c r="U87" s="39"/>
    </row>
    <row r="88" spans="3:21" ht="14.25" customHeight="1" x14ac:dyDescent="0.3">
      <c r="U88" s="39"/>
    </row>
    <row r="89" spans="3:21" ht="14.25" customHeight="1" x14ac:dyDescent="0.3">
      <c r="U89" s="39"/>
    </row>
    <row r="90" spans="3:21" ht="14.25" customHeight="1" x14ac:dyDescent="0.3">
      <c r="U90" s="39"/>
    </row>
    <row r="91" spans="3:21" ht="14.25" customHeight="1" x14ac:dyDescent="0.3">
      <c r="U91" s="39"/>
    </row>
    <row r="92" spans="3:21" ht="14.25" customHeight="1" x14ac:dyDescent="0.3">
      <c r="U92" s="39"/>
    </row>
    <row r="93" spans="3:21" ht="14.25" customHeight="1" x14ac:dyDescent="0.3">
      <c r="U93" s="39"/>
    </row>
    <row r="94" spans="3:21" ht="14.25" customHeight="1" x14ac:dyDescent="0.3">
      <c r="U94" s="39"/>
    </row>
    <row r="95" spans="3:21" ht="14.25" customHeight="1" x14ac:dyDescent="0.3">
      <c r="U95" s="39"/>
    </row>
    <row r="96" spans="3:21" ht="14.25" customHeight="1" x14ac:dyDescent="0.3">
      <c r="U96" s="39"/>
    </row>
    <row r="97" spans="21:21" ht="14.25" customHeight="1" x14ac:dyDescent="0.3">
      <c r="U97" s="39"/>
    </row>
    <row r="98" spans="21:21" ht="14.25" customHeight="1" x14ac:dyDescent="0.3">
      <c r="U98" s="39"/>
    </row>
    <row r="99" spans="21:21" ht="14.25" customHeight="1" x14ac:dyDescent="0.3">
      <c r="U99" s="39"/>
    </row>
    <row r="100" spans="21:21" ht="14.25" customHeight="1" x14ac:dyDescent="0.3">
      <c r="U100" s="39"/>
    </row>
    <row r="101" spans="21:21" ht="14.25" customHeight="1" x14ac:dyDescent="0.3">
      <c r="U101" s="39"/>
    </row>
    <row r="102" spans="21:21" ht="14.25" customHeight="1" x14ac:dyDescent="0.3">
      <c r="U102" s="39"/>
    </row>
    <row r="103" spans="21:21" ht="14.25" customHeight="1" x14ac:dyDescent="0.3">
      <c r="U103" s="39"/>
    </row>
    <row r="104" spans="21:21" ht="14.25" customHeight="1" x14ac:dyDescent="0.3">
      <c r="U104" s="39"/>
    </row>
    <row r="105" spans="21:21" ht="14.25" customHeight="1" x14ac:dyDescent="0.3">
      <c r="U105" s="39"/>
    </row>
    <row r="106" spans="21:21" ht="14.25" customHeight="1" x14ac:dyDescent="0.3">
      <c r="U106" s="39"/>
    </row>
    <row r="107" spans="21:21" ht="14.25" customHeight="1" x14ac:dyDescent="0.3">
      <c r="U107" s="39"/>
    </row>
    <row r="108" spans="21:21" ht="14.25" customHeight="1" x14ac:dyDescent="0.3">
      <c r="U108" s="39"/>
    </row>
    <row r="109" spans="21:21" ht="14.25" customHeight="1" x14ac:dyDescent="0.3">
      <c r="U109" s="39"/>
    </row>
    <row r="110" spans="21:21" ht="14.25" customHeight="1" x14ac:dyDescent="0.3">
      <c r="U110" s="39"/>
    </row>
    <row r="111" spans="21:21" ht="14.25" customHeight="1" x14ac:dyDescent="0.3">
      <c r="U111" s="39"/>
    </row>
    <row r="112" spans="21:21" ht="14.25" customHeight="1" x14ac:dyDescent="0.3">
      <c r="U112" s="39"/>
    </row>
    <row r="113" spans="21:21" ht="14.25" customHeight="1" x14ac:dyDescent="0.3">
      <c r="U113" s="39"/>
    </row>
    <row r="114" spans="21:21" ht="14.25" customHeight="1" x14ac:dyDescent="0.3"/>
    <row r="115" spans="21:21" ht="14.25" customHeight="1" x14ac:dyDescent="0.3"/>
    <row r="116" spans="21:21" ht="14.25" customHeight="1" x14ac:dyDescent="0.3"/>
    <row r="117" spans="21:21" ht="14.25" customHeight="1" x14ac:dyDescent="0.3"/>
    <row r="118" spans="21:21" ht="14.25" customHeight="1" x14ac:dyDescent="0.3"/>
    <row r="119" spans="21:21" ht="14.25" customHeight="1" x14ac:dyDescent="0.3"/>
    <row r="120" spans="21:21" ht="14.25" customHeight="1" x14ac:dyDescent="0.3"/>
    <row r="121" spans="21:21" ht="14.25" customHeight="1" x14ac:dyDescent="0.3"/>
    <row r="122" spans="21:21" ht="14.25" customHeight="1" x14ac:dyDescent="0.3"/>
    <row r="123" spans="21:21" ht="14.25" customHeight="1" x14ac:dyDescent="0.3"/>
    <row r="124" spans="21:21" ht="14.25" customHeight="1" x14ac:dyDescent="0.3"/>
    <row r="125" spans="21:21" ht="14.25" customHeight="1" x14ac:dyDescent="0.3"/>
    <row r="126" spans="21:21" ht="14.25" customHeight="1" x14ac:dyDescent="0.3"/>
    <row r="127" spans="21:21" ht="14.25" customHeight="1" x14ac:dyDescent="0.3"/>
    <row r="128" spans="21:21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3">
    <mergeCell ref="U66:U77"/>
    <mergeCell ref="U78:U89"/>
    <mergeCell ref="U90:U101"/>
    <mergeCell ref="U102:U113"/>
    <mergeCell ref="U30:U41"/>
    <mergeCell ref="U42:U53"/>
    <mergeCell ref="U54:U65"/>
    <mergeCell ref="S70:S73"/>
    <mergeCell ref="S74:S77"/>
    <mergeCell ref="T30:T41"/>
    <mergeCell ref="T42:T53"/>
    <mergeCell ref="T54:T65"/>
    <mergeCell ref="T66:T77"/>
    <mergeCell ref="S50:S53"/>
    <mergeCell ref="S54:S57"/>
    <mergeCell ref="S58:S61"/>
    <mergeCell ref="S62:S65"/>
    <mergeCell ref="S66:S69"/>
    <mergeCell ref="S30:S33"/>
    <mergeCell ref="S34:S37"/>
    <mergeCell ref="S38:S41"/>
    <mergeCell ref="S42:S45"/>
    <mergeCell ref="S46:S49"/>
    <mergeCell ref="C28:R28"/>
    <mergeCell ref="C29:D29"/>
    <mergeCell ref="B30:B33"/>
    <mergeCell ref="Q30:Q33"/>
    <mergeCell ref="B34:B37"/>
    <mergeCell ref="Q34:Q37"/>
    <mergeCell ref="Q38:Q41"/>
    <mergeCell ref="B66:B69"/>
    <mergeCell ref="B70:B73"/>
    <mergeCell ref="B74:B77"/>
    <mergeCell ref="C78:D78"/>
    <mergeCell ref="Q70:Q73"/>
    <mergeCell ref="Q74:Q77"/>
    <mergeCell ref="C79:D79"/>
    <mergeCell ref="B38:B41"/>
    <mergeCell ref="B42:B45"/>
    <mergeCell ref="B46:B49"/>
    <mergeCell ref="B50:B53"/>
    <mergeCell ref="B54:B57"/>
    <mergeCell ref="B58:B61"/>
    <mergeCell ref="B62:B65"/>
    <mergeCell ref="N80:P80"/>
    <mergeCell ref="N81:P81"/>
    <mergeCell ref="Q42:Q45"/>
    <mergeCell ref="Q46:Q49"/>
    <mergeCell ref="Q50:Q53"/>
    <mergeCell ref="Q54:Q57"/>
    <mergeCell ref="Q58:Q61"/>
    <mergeCell ref="Q62:Q65"/>
    <mergeCell ref="Q66:Q6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Pozarica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2023-11-07T03:04:12Z</dcterms:created>
  <dcterms:modified xsi:type="dcterms:W3CDTF">2024-01-18T03:51:30Z</dcterms:modified>
</cp:coreProperties>
</file>