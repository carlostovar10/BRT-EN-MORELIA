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VIDEOS AFOROS\CUCHILLA MONUMENTO\"/>
    </mc:Choice>
  </mc:AlternateContent>
  <xr:revisionPtr revIDLastSave="0" documentId="13_ncr:1_{67B0D64F-CBAB-49E8-A835-4215B8EE5B5C}" xr6:coauthVersionLast="47" xr6:coauthVersionMax="47" xr10:uidLastSave="{00000000-0000-0000-0000-000000000000}"/>
  <bookViews>
    <workbookView xWindow="11424" yWindow="0" windowWidth="11712" windowHeight="12336" xr2:uid="{4B951643-AF25-43C9-A726-9C57A57897A7}"/>
  </bookViews>
  <sheets>
    <sheet name="Cuchilla Monumento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6" i="1" l="1"/>
  <c r="S60" i="1"/>
  <c r="S52" i="1"/>
  <c r="S48" i="1"/>
  <c r="S44" i="1"/>
  <c r="S36" i="1"/>
  <c r="S40" i="1"/>
  <c r="S32" i="1"/>
  <c r="U52" i="1"/>
  <c r="U44" i="1"/>
  <c r="U32" i="1"/>
  <c r="T52" i="1"/>
  <c r="T44" i="1"/>
  <c r="T32" i="1"/>
  <c r="F31" i="2"/>
  <c r="D25" i="2"/>
  <c r="F17" i="2"/>
  <c r="B8" i="2"/>
  <c r="B7" i="2"/>
  <c r="D4" i="2"/>
  <c r="R64" i="1"/>
  <c r="O64" i="1"/>
  <c r="N64" i="1"/>
  <c r="M64" i="1"/>
  <c r="L64" i="1"/>
  <c r="K64" i="1"/>
  <c r="J64" i="1"/>
  <c r="I64" i="1"/>
  <c r="H64" i="1"/>
  <c r="G64" i="1"/>
  <c r="F64" i="1"/>
  <c r="E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Q60" i="1" l="1"/>
  <c r="Q36" i="1"/>
  <c r="Q32" i="1"/>
  <c r="P64" i="1"/>
  <c r="Q40" i="1"/>
  <c r="Q52" i="1"/>
  <c r="Q44" i="1"/>
  <c r="Q48" i="1"/>
  <c r="Q56" i="1"/>
  <c r="Q66" i="1" l="1"/>
  <c r="Q67" i="1" s="1"/>
  <c r="Q64" i="1"/>
  <c r="Q65" i="1" s="1"/>
  <c r="I65" i="1" l="1"/>
  <c r="F65" i="1"/>
  <c r="J65" i="1"/>
  <c r="O65" i="1"/>
  <c r="L65" i="1"/>
  <c r="N65" i="1"/>
  <c r="M65" i="1"/>
  <c r="G65" i="1"/>
  <c r="K65" i="1"/>
  <c r="H65" i="1"/>
  <c r="E65" i="1"/>
  <c r="P65" i="1" l="1"/>
</calcChain>
</file>

<file path=xl/sharedStrings.xml><?xml version="1.0" encoding="utf-8"?>
<sst xmlns="http://schemas.openxmlformats.org/spreadsheetml/2006/main" count="57" uniqueCount="48">
  <si>
    <t>Madero Pte Hacia Centro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</si>
  <si>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</si>
  <si>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</si>
  <si>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</si>
  <si>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</si>
  <si>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</si>
  <si>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</si>
  <si>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</si>
  <si>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</si>
  <si>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</si>
  <si>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</si>
  <si>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</si>
  <si>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</si>
  <si>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</si>
  <si>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</si>
  <si>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NBS</t>
  </si>
  <si>
    <t>NBSL</t>
  </si>
  <si>
    <t>NBR</t>
  </si>
  <si>
    <t>SBS</t>
  </si>
  <si>
    <t>SBL</t>
  </si>
  <si>
    <t>WBS</t>
  </si>
  <si>
    <t>WBL</t>
  </si>
  <si>
    <t>WBR</t>
  </si>
  <si>
    <t>Suma</t>
  </si>
  <si>
    <t>Porcentaje</t>
  </si>
  <si>
    <t>Tránsito por hora</t>
  </si>
  <si>
    <t>Tránsito por dia</t>
  </si>
  <si>
    <t>PEATONES</t>
  </si>
  <si>
    <t>Volumen Horario de Máxima Demanda (VHMD)</t>
  </si>
  <si>
    <t>VHMD=</t>
  </si>
  <si>
    <t>12-12:15</t>
  </si>
  <si>
    <t>12:15-12:30</t>
  </si>
  <si>
    <t>12:30-12:45</t>
  </si>
  <si>
    <t>12:45-13</t>
  </si>
  <si>
    <t>vehiculos mixtos por hora</t>
  </si>
  <si>
    <t>El flujo máximo para periodos de 15 minutos corresponde al de las 12:30-12:45=</t>
  </si>
  <si>
    <t>Por lo tanto, el factor horario de máxima demanda es:</t>
  </si>
  <si>
    <t>qmáx=</t>
  </si>
  <si>
    <t>12=</t>
  </si>
  <si>
    <t>FHMD=</t>
  </si>
  <si>
    <t>peatones por hora</t>
  </si>
  <si>
    <t>El flujo máximo para periodos de 15 minutos corresponde al de las 12:00-12:15=</t>
  </si>
  <si>
    <t>DE LOS MOVIMIENTOS VEHICULARES (EN TODA LA INTERSECCIÓN)</t>
  </si>
  <si>
    <t>DE LOS MOVIMIENTOS PEATONALES (TODA LA INTERSECCIÓN)</t>
  </si>
  <si>
    <t>207 peatones</t>
  </si>
  <si>
    <t>196+201+237+227=</t>
  </si>
  <si>
    <t>237 vehiculos mixtos</t>
  </si>
  <si>
    <t>210+200+194+189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</si>
</sst>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" fontId="0" fillId="0" borderId="2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0" borderId="24" xfId="1" applyFont="1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9" fontId="0" fillId="0" borderId="26" xfId="1" applyFont="1" applyBorder="1" applyAlignment="1">
      <alignment horizontal="center" vertical="center"/>
    </xf>
    <xf numFmtId="9" fontId="0" fillId="0" borderId="27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65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7" xfId="0" applyBorder="1"/>
    <xf numFmtId="0" fontId="0" fillId="0" borderId="13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left"/>
    </xf>
    <xf numFmtId="0" fontId="0" fillId="5" borderId="13" xfId="0" applyFill="1" applyBorder="1" applyAlignment="1">
      <alignment horizontal="center" vertical="center"/>
    </xf>
    <xf numFmtId="0" fontId="0" fillId="4" borderId="13" xfId="0" applyFill="1" applyBorder="1"/>
    <xf numFmtId="0" fontId="0" fillId="2" borderId="1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/>
    <xf numFmtId="0" fontId="0" fillId="7" borderId="13" xfId="0" applyFill="1" applyBorder="1" applyAlignment="1">
      <alignment horizontal="right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21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6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29" xfId="0" applyBorder="1" applyAlignment="1">
      <alignment horizontal="center"/>
    </xf>
    <xf numFmtId="9" fontId="0" fillId="0" borderId="29" xfId="1" applyFont="1" applyBorder="1" applyAlignment="1">
      <alignment horizontal="center"/>
    </xf>
    <xf numFmtId="9" fontId="0" fillId="0" borderId="4" xfId="1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598715</xdr:colOff>
      <xdr:row>1</xdr:row>
      <xdr:rowOff>32658</xdr:rowOff>
    </xdr:from>
    <xdr:to>
      <xdr:col>12</xdr:col>
      <xdr:colOff>691940</xdr:colOff>
      <xdr:row>26</xdr:row>
      <xdr:rowOff>70073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CF5DCF-DBCF-4C0E-A83B-29C5352C3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3675" y="215538"/>
          <a:ext cx="8018025" cy="4609415"/>
        </a:xfrm>
        <a:prstGeom prst="rect">
          <a:avLst/>
        </a:prstGeom>
      </xdr:spPr>
    </xdr:pic>
    <xdr:clientData/>
  </xdr:twoCellAnchor>
  <xdr:oneCellAnchor>
    <xdr:from>
      <xdr:col>3</xdr:col>
      <xdr:colOff>421079</xdr:colOff>
      <xdr:row>4</xdr:row>
      <xdr:rowOff>174172</xdr:rowOff>
    </xdr:from>
    <xdr:ext cx="1491932" cy="593304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33246D6-D0BA-4063-95D1-BBA407FFFDDA}"/>
            </a:ext>
          </a:extLst>
        </xdr:cNvPr>
        <xdr:cNvSpPr/>
      </xdr:nvSpPr>
      <xdr:spPr>
        <a:xfrm>
          <a:off x="2798519" y="905692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4</xdr:col>
      <xdr:colOff>533399</xdr:colOff>
      <xdr:row>7</xdr:row>
      <xdr:rowOff>163285</xdr:rowOff>
    </xdr:from>
    <xdr:to>
      <xdr:col>5</xdr:col>
      <xdr:colOff>174171</xdr:colOff>
      <xdr:row>10</xdr:row>
      <xdr:rowOff>163286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91AC9F3-91A8-4B75-AEFB-B5AA7332CDE6}"/>
            </a:ext>
          </a:extLst>
        </xdr:cNvPr>
        <xdr:cNvCxnSpPr/>
      </xdr:nvCxnSpPr>
      <xdr:spPr>
        <a:xfrm>
          <a:off x="3703319" y="1443445"/>
          <a:ext cx="433252" cy="548641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423147</xdr:colOff>
      <xdr:row>5</xdr:row>
      <xdr:rowOff>105847</xdr:rowOff>
    </xdr:from>
    <xdr:to>
      <xdr:col>6</xdr:col>
      <xdr:colOff>166050</xdr:colOff>
      <xdr:row>9</xdr:row>
      <xdr:rowOff>121519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9C2F720E-5769-4EDD-8720-0A6FDC6F5343}"/>
            </a:ext>
          </a:extLst>
        </xdr:cNvPr>
        <xdr:cNvGrpSpPr/>
      </xdr:nvGrpSpPr>
      <xdr:grpSpPr>
        <a:xfrm rot="3272793">
          <a:off x="4287263" y="1140303"/>
          <a:ext cx="755900" cy="537560"/>
          <a:chOff x="6143625" y="409575"/>
          <a:chExt cx="1266825" cy="466725"/>
        </a:xfrm>
      </xdr:grpSpPr>
      <xdr:cxnSp macro="">
        <xdr:nvCxnSpPr>
          <xdr:cNvPr id="6" name="Conector recto de flecha 5">
            <a:extLst>
              <a:ext uri="{FF2B5EF4-FFF2-40B4-BE49-F238E27FC236}">
                <a16:creationId xmlns:a16="http://schemas.microsoft.com/office/drawing/2014/main" id="{E916283E-91BF-EE16-6F14-CF7BA34BFF08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6FDD0937-3953-581D-513B-34398569198E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4</xdr:col>
      <xdr:colOff>377535</xdr:colOff>
      <xdr:row>3</xdr:row>
      <xdr:rowOff>174173</xdr:rowOff>
    </xdr:from>
    <xdr:ext cx="1491932" cy="593304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D69F73EF-2ED9-41A7-B878-3D6701F23F66}"/>
            </a:ext>
          </a:extLst>
        </xdr:cNvPr>
        <xdr:cNvSpPr/>
      </xdr:nvSpPr>
      <xdr:spPr>
        <a:xfrm>
          <a:off x="3547455" y="722813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10</xdr:col>
      <xdr:colOff>768930</xdr:colOff>
      <xdr:row>7</xdr:row>
      <xdr:rowOff>125339</xdr:rowOff>
    </xdr:from>
    <xdr:to>
      <xdr:col>11</xdr:col>
      <xdr:colOff>562247</xdr:colOff>
      <xdr:row>10</xdr:row>
      <xdr:rowOff>24453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B7FB9EA2-92D4-4B42-88DF-0CA88BDF16D0}"/>
            </a:ext>
          </a:extLst>
        </xdr:cNvPr>
        <xdr:cNvGrpSpPr/>
      </xdr:nvGrpSpPr>
      <xdr:grpSpPr>
        <a:xfrm rot="1223427" flipH="1">
          <a:off x="8715501" y="1420739"/>
          <a:ext cx="587975" cy="454285"/>
          <a:chOff x="6143625" y="409575"/>
          <a:chExt cx="1266825" cy="466725"/>
        </a:xfrm>
      </xdr:grpSpPr>
      <xdr:cxnSp macro="">
        <xdr:nvCxnSpPr>
          <xdr:cNvPr id="10" name="Conector recto de flecha 9">
            <a:extLst>
              <a:ext uri="{FF2B5EF4-FFF2-40B4-BE49-F238E27FC236}">
                <a16:creationId xmlns:a16="http://schemas.microsoft.com/office/drawing/2014/main" id="{0EF22AA7-92F5-B21E-BB65-E8434DAEA92E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cto 10">
            <a:extLst>
              <a:ext uri="{FF2B5EF4-FFF2-40B4-BE49-F238E27FC236}">
                <a16:creationId xmlns:a16="http://schemas.microsoft.com/office/drawing/2014/main" id="{6E9F6527-333E-3DCD-CEB0-41790CA273AE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413658</xdr:colOff>
      <xdr:row>10</xdr:row>
      <xdr:rowOff>54429</xdr:rowOff>
    </xdr:from>
    <xdr:to>
      <xdr:col>11</xdr:col>
      <xdr:colOff>424542</xdr:colOff>
      <xdr:row>12</xdr:row>
      <xdr:rowOff>10885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C9E1FF27-F74E-4C91-9DF4-5AF29BA6CF4F}"/>
            </a:ext>
          </a:extLst>
        </xdr:cNvPr>
        <xdr:cNvCxnSpPr/>
      </xdr:nvCxnSpPr>
      <xdr:spPr>
        <a:xfrm flipH="1" flipV="1">
          <a:off x="8338458" y="1883229"/>
          <a:ext cx="803364" cy="322216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293915</xdr:colOff>
      <xdr:row>11</xdr:row>
      <xdr:rowOff>97971</xdr:rowOff>
    </xdr:from>
    <xdr:to>
      <xdr:col>11</xdr:col>
      <xdr:colOff>304799</xdr:colOff>
      <xdr:row>13</xdr:row>
      <xdr:rowOff>54428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327EC7A-7E3E-41B6-B901-783DC169A813}"/>
            </a:ext>
          </a:extLst>
        </xdr:cNvPr>
        <xdr:cNvCxnSpPr/>
      </xdr:nvCxnSpPr>
      <xdr:spPr>
        <a:xfrm flipH="1" flipV="1">
          <a:off x="8218715" y="2109651"/>
          <a:ext cx="803364" cy="322217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424544</xdr:colOff>
      <xdr:row>5</xdr:row>
      <xdr:rowOff>54428</xdr:rowOff>
    </xdr:from>
    <xdr:to>
      <xdr:col>9</xdr:col>
      <xdr:colOff>32657</xdr:colOff>
      <xdr:row>8</xdr:row>
      <xdr:rowOff>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2AB8EC20-B41E-48C5-ACC3-3A0E616BFD93}"/>
            </a:ext>
          </a:extLst>
        </xdr:cNvPr>
        <xdr:cNvCxnSpPr/>
      </xdr:nvCxnSpPr>
      <xdr:spPr>
        <a:xfrm flipH="1">
          <a:off x="6764384" y="968828"/>
          <a:ext cx="400593" cy="494212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46188</xdr:colOff>
      <xdr:row>6</xdr:row>
      <xdr:rowOff>73433</xdr:rowOff>
    </xdr:from>
    <xdr:to>
      <xdr:col>9</xdr:col>
      <xdr:colOff>483234</xdr:colOff>
      <xdr:row>9</xdr:row>
      <xdr:rowOff>98141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6A30E457-00BC-4A26-8371-76C765E89626}"/>
            </a:ext>
          </a:extLst>
        </xdr:cNvPr>
        <xdr:cNvGrpSpPr/>
      </xdr:nvGrpSpPr>
      <xdr:grpSpPr>
        <a:xfrm rot="7748670">
          <a:off x="7126685" y="1255193"/>
          <a:ext cx="579879" cy="437046"/>
          <a:chOff x="6143625" y="409575"/>
          <a:chExt cx="1266825" cy="466725"/>
        </a:xfrm>
      </xdr:grpSpPr>
      <xdr:cxnSp macro="">
        <xdr:nvCxnSpPr>
          <xdr:cNvPr id="16" name="Conector recto de flecha 15">
            <a:extLst>
              <a:ext uri="{FF2B5EF4-FFF2-40B4-BE49-F238E27FC236}">
                <a16:creationId xmlns:a16="http://schemas.microsoft.com/office/drawing/2014/main" id="{10BBBAF7-123B-916F-9CCD-146A2688BAF8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cto 16">
            <a:extLst>
              <a:ext uri="{FF2B5EF4-FFF2-40B4-BE49-F238E27FC236}">
                <a16:creationId xmlns:a16="http://schemas.microsoft.com/office/drawing/2014/main" id="{95D87037-60C9-DDCD-CD0F-0DB520F2CE52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746434</xdr:colOff>
      <xdr:row>3</xdr:row>
      <xdr:rowOff>180334</xdr:rowOff>
    </xdr:from>
    <xdr:to>
      <xdr:col>8</xdr:col>
      <xdr:colOff>383126</xdr:colOff>
      <xdr:row>7</xdr:row>
      <xdr:rowOff>19984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A09F76A5-D3B7-49AD-B05B-01488A17E21B}"/>
            </a:ext>
          </a:extLst>
        </xdr:cNvPr>
        <xdr:cNvGrpSpPr/>
      </xdr:nvGrpSpPr>
      <xdr:grpSpPr>
        <a:xfrm rot="7748670" flipV="1">
          <a:off x="6234769" y="809770"/>
          <a:ext cx="579879" cy="431349"/>
          <a:chOff x="6143625" y="409575"/>
          <a:chExt cx="1266825" cy="466725"/>
        </a:xfrm>
      </xdr:grpSpPr>
      <xdr:cxnSp macro="">
        <xdr:nvCxnSpPr>
          <xdr:cNvPr id="19" name="Conector recto de flecha 18">
            <a:extLst>
              <a:ext uri="{FF2B5EF4-FFF2-40B4-BE49-F238E27FC236}">
                <a16:creationId xmlns:a16="http://schemas.microsoft.com/office/drawing/2014/main" id="{EBFEFED2-8E82-F3F6-69DE-2D84A7135885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cto 19">
            <a:extLst>
              <a:ext uri="{FF2B5EF4-FFF2-40B4-BE49-F238E27FC236}">
                <a16:creationId xmlns:a16="http://schemas.microsoft.com/office/drawing/2014/main" id="{86C78F19-3311-EDE3-A2A0-E3173E17ADD2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11</xdr:col>
      <xdr:colOff>159821</xdr:colOff>
      <xdr:row>8</xdr:row>
      <xdr:rowOff>174173</xdr:rowOff>
    </xdr:from>
    <xdr:ext cx="1491932" cy="593304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8978361-72E7-4706-AC4A-D5B20B53F1A5}"/>
            </a:ext>
          </a:extLst>
        </xdr:cNvPr>
        <xdr:cNvSpPr/>
      </xdr:nvSpPr>
      <xdr:spPr>
        <a:xfrm>
          <a:off x="8877101" y="1637213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11</xdr:col>
      <xdr:colOff>148936</xdr:colOff>
      <xdr:row>10</xdr:row>
      <xdr:rowOff>108859</xdr:rowOff>
    </xdr:from>
    <xdr:ext cx="1491932" cy="593304"/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B9E10E82-E101-4015-97F7-39A071705321}"/>
            </a:ext>
          </a:extLst>
        </xdr:cNvPr>
        <xdr:cNvSpPr/>
      </xdr:nvSpPr>
      <xdr:spPr>
        <a:xfrm>
          <a:off x="8866216" y="1937659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11</xdr:col>
      <xdr:colOff>40079</xdr:colOff>
      <xdr:row>12</xdr:row>
      <xdr:rowOff>119744</xdr:rowOff>
    </xdr:from>
    <xdr:ext cx="1491932" cy="593304"/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69317585-189B-47B8-886F-0B587DA37ACF}"/>
            </a:ext>
          </a:extLst>
        </xdr:cNvPr>
        <xdr:cNvSpPr/>
      </xdr:nvSpPr>
      <xdr:spPr>
        <a:xfrm>
          <a:off x="8757359" y="2314304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333993</xdr:colOff>
      <xdr:row>2</xdr:row>
      <xdr:rowOff>130630</xdr:rowOff>
    </xdr:from>
    <xdr:ext cx="1491932" cy="593304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687688E4-0CFF-45FC-9DEC-1ECD13507DA7}"/>
            </a:ext>
          </a:extLst>
        </xdr:cNvPr>
        <xdr:cNvSpPr/>
      </xdr:nvSpPr>
      <xdr:spPr>
        <a:xfrm>
          <a:off x="6673833" y="496390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WBS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9</xdr:col>
      <xdr:colOff>50965</xdr:colOff>
      <xdr:row>5</xdr:row>
      <xdr:rowOff>54430</xdr:rowOff>
    </xdr:from>
    <xdr:ext cx="1491932" cy="593304"/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D2C137E0-4E04-4B1B-800B-82471EC09729}"/>
            </a:ext>
          </a:extLst>
        </xdr:cNvPr>
        <xdr:cNvSpPr/>
      </xdr:nvSpPr>
      <xdr:spPr>
        <a:xfrm>
          <a:off x="7183285" y="968830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WBL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214250</xdr:colOff>
      <xdr:row>2</xdr:row>
      <xdr:rowOff>10888</xdr:rowOff>
    </xdr:from>
    <xdr:ext cx="1491932" cy="593304"/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E7ED486C-E3C9-481D-AEAD-A6955D69B41E}"/>
            </a:ext>
          </a:extLst>
        </xdr:cNvPr>
        <xdr:cNvSpPr/>
      </xdr:nvSpPr>
      <xdr:spPr>
        <a:xfrm>
          <a:off x="5761610" y="376648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WBR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14</xdr:row>
      <xdr:rowOff>157162</xdr:rowOff>
    </xdr:from>
    <xdr:ext cx="1255793" cy="3454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4301B7A-3CB0-1648-1067-CD5B6944F048}"/>
                </a:ext>
              </a:extLst>
            </xdr:cNvPr>
            <xdr:cNvSpPr txBox="1"/>
          </xdr:nvSpPr>
          <xdr:spPr>
            <a:xfrm>
              <a:off x="476250" y="2633662"/>
              <a:ext cx="1255793" cy="345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𝐹𝐻𝑀𝐷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𝑉𝐻𝑀𝐷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12∗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𝑞𝑚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4301B7A-3CB0-1648-1067-CD5B6944F048}"/>
                </a:ext>
              </a:extLst>
            </xdr:cNvPr>
            <xdr:cNvSpPr txBox="1"/>
          </xdr:nvSpPr>
          <xdr:spPr>
            <a:xfrm>
              <a:off x="476250" y="2633662"/>
              <a:ext cx="1255793" cy="345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𝐹𝐻𝑀𝐷=𝑉𝐻𝑀𝐷/(12∗𝑞𝑚á𝑥)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590550</xdr:colOff>
      <xdr:row>30</xdr:row>
      <xdr:rowOff>47625</xdr:rowOff>
    </xdr:from>
    <xdr:ext cx="1255793" cy="3454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0781CCD-9FAF-4055-B6D0-78C081CEBFDA}"/>
                </a:ext>
              </a:extLst>
            </xdr:cNvPr>
            <xdr:cNvSpPr txBox="1"/>
          </xdr:nvSpPr>
          <xdr:spPr>
            <a:xfrm>
              <a:off x="590550" y="5762625"/>
              <a:ext cx="1255793" cy="345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𝐹𝐻𝑀𝐷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𝑉𝐻𝑀𝐷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12∗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𝑞𝑚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0781CCD-9FAF-4055-B6D0-78C081CEBFDA}"/>
                </a:ext>
              </a:extLst>
            </xdr:cNvPr>
            <xdr:cNvSpPr txBox="1"/>
          </xdr:nvSpPr>
          <xdr:spPr>
            <a:xfrm>
              <a:off x="590550" y="5762625"/>
              <a:ext cx="1255793" cy="345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𝐹𝐻𝑀𝐷=𝑉𝐻𝑀𝐷/(12∗𝑞𝑚á𝑥)</a:t>
              </a:r>
              <a:endParaRPr lang="es-MX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6823-158B-442E-AC2D-D74736965620}">
  <dimension ref="B29:U67"/>
  <sheetViews>
    <sheetView tabSelected="1" topLeftCell="O27" zoomScale="70" zoomScaleNormal="70" workbookViewId="0">
      <selection activeCell="W42" sqref="W42"/>
    </sheetView>
  </sheetViews>
  <sheetFormatPr baseColWidth="10" defaultRowHeight="14.4" x14ac:dyDescent="0.3"/>
  <sheetData>
    <row r="29" spans="2:21" ht="15" thickBot="1" x14ac:dyDescent="0.35"/>
    <row r="30" spans="2:21" ht="15" thickBot="1" x14ac:dyDescent="0.35">
      <c r="C30" s="46" t="s"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8"/>
    </row>
    <row r="31" spans="2:21" ht="29.4" thickBot="1" x14ac:dyDescent="0.35">
      <c r="C31" s="49" t="s">
        <v>1</v>
      </c>
      <c r="D31" s="50"/>
      <c r="E31" s="1" t="s">
        <v>2</v>
      </c>
      <c r="F31" s="1" t="s">
        <v>3</v>
      </c>
      <c r="G31" s="1" t="s">
        <v>4</v>
      </c>
      <c r="H31" s="1" t="s">
        <v>5</v>
      </c>
      <c r="I31" s="1" t="s">
        <v>6</v>
      </c>
      <c r="J31" s="1" t="s">
        <v>7</v>
      </c>
      <c r="K31" s="1" t="s">
        <v>8</v>
      </c>
      <c r="L31" s="1" t="s">
        <v>9</v>
      </c>
      <c r="M31" s="1" t="s">
        <v>10</v>
      </c>
      <c r="N31" s="1" t="s">
        <v>11</v>
      </c>
      <c r="O31" s="1" t="s">
        <v>12</v>
      </c>
      <c r="P31" s="1" t="s">
        <v>13</v>
      </c>
      <c r="Q31" s="1" t="s">
        <v>14</v>
      </c>
      <c r="R31" s="1" t="s">
        <v>27</v>
      </c>
    </row>
    <row r="32" spans="2:21" x14ac:dyDescent="0.3">
      <c r="B32" s="42" t="s">
        <v>15</v>
      </c>
      <c r="C32" s="2">
        <v>0.5</v>
      </c>
      <c r="D32" s="3">
        <v>0.51041666666666663</v>
      </c>
      <c r="E32" s="4">
        <v>8</v>
      </c>
      <c r="F32" s="4">
        <v>62</v>
      </c>
      <c r="G32" s="4">
        <v>20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5">
        <v>0</v>
      </c>
      <c r="P32" s="6">
        <f>SUM(E32:O32)</f>
        <v>90</v>
      </c>
      <c r="Q32" s="42">
        <f>SUM(P32:P35)</f>
        <v>444</v>
      </c>
      <c r="R32" s="25">
        <v>180</v>
      </c>
      <c r="S32" s="56">
        <f>+Q32/$T$32</f>
        <v>0.31623931623931623</v>
      </c>
      <c r="T32" s="54">
        <f>Q32+Q36+Q40</f>
        <v>1404</v>
      </c>
      <c r="U32" s="55">
        <f>+T32/Q64</f>
        <v>0.47738864331859909</v>
      </c>
    </row>
    <row r="33" spans="2:21" x14ac:dyDescent="0.3">
      <c r="B33" s="41"/>
      <c r="C33" s="7">
        <v>0.51041666666666663</v>
      </c>
      <c r="D33" s="8">
        <v>0.52083333333333337</v>
      </c>
      <c r="E33" s="9">
        <v>15</v>
      </c>
      <c r="F33" s="9">
        <v>85</v>
      </c>
      <c r="G33" s="9">
        <v>23</v>
      </c>
      <c r="H33" s="9">
        <v>1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10">
        <v>0</v>
      </c>
      <c r="P33" s="11">
        <f t="shared" ref="P33:P65" si="0">SUM(E33:O33)</f>
        <v>124</v>
      </c>
      <c r="Q33" s="41"/>
      <c r="R33" s="26">
        <v>204</v>
      </c>
      <c r="S33" s="57"/>
      <c r="T33" s="54"/>
      <c r="U33" s="55"/>
    </row>
    <row r="34" spans="2:21" x14ac:dyDescent="0.3">
      <c r="B34" s="41"/>
      <c r="C34" s="12">
        <v>0.52083333333333337</v>
      </c>
      <c r="D34" s="13">
        <v>0.94791666666666663</v>
      </c>
      <c r="E34" s="9">
        <v>4</v>
      </c>
      <c r="F34" s="9">
        <v>53</v>
      </c>
      <c r="G34" s="9">
        <v>44</v>
      </c>
      <c r="H34" s="9">
        <v>1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10">
        <v>0</v>
      </c>
      <c r="P34" s="11">
        <f t="shared" si="0"/>
        <v>102</v>
      </c>
      <c r="Q34" s="41"/>
      <c r="R34" s="26">
        <v>181</v>
      </c>
      <c r="S34" s="57"/>
      <c r="T34" s="54"/>
      <c r="U34" s="55"/>
    </row>
    <row r="35" spans="2:21" ht="15" thickBot="1" x14ac:dyDescent="0.35">
      <c r="B35" s="43"/>
      <c r="C35" s="14">
        <v>0.53125</v>
      </c>
      <c r="D35" s="15">
        <v>0.54166666666666663</v>
      </c>
      <c r="E35" s="9">
        <v>10</v>
      </c>
      <c r="F35" s="9">
        <v>93</v>
      </c>
      <c r="G35" s="9">
        <v>25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10">
        <v>0</v>
      </c>
      <c r="P35" s="11">
        <f t="shared" si="0"/>
        <v>128</v>
      </c>
      <c r="Q35" s="43"/>
      <c r="R35" s="26">
        <v>189</v>
      </c>
      <c r="S35" s="58"/>
      <c r="T35" s="54"/>
      <c r="U35" s="55"/>
    </row>
    <row r="36" spans="2:21" x14ac:dyDescent="0.3">
      <c r="B36" s="41" t="s">
        <v>16</v>
      </c>
      <c r="C36" s="2">
        <v>0.5</v>
      </c>
      <c r="D36" s="3">
        <v>0.51041666666666663</v>
      </c>
      <c r="E36" s="9">
        <v>17</v>
      </c>
      <c r="F36" s="9">
        <v>81</v>
      </c>
      <c r="G36" s="9">
        <v>31</v>
      </c>
      <c r="H36" s="9">
        <v>4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10">
        <v>0</v>
      </c>
      <c r="P36" s="11">
        <f t="shared" si="0"/>
        <v>133</v>
      </c>
      <c r="Q36" s="42">
        <f>SUM(P36:P39)</f>
        <v>581</v>
      </c>
      <c r="R36" s="26">
        <v>195</v>
      </c>
      <c r="S36" s="56">
        <f t="shared" ref="S36:S43" si="1">+Q36/$T$32</f>
        <v>0.41381766381766383</v>
      </c>
      <c r="T36" s="54"/>
      <c r="U36" s="55"/>
    </row>
    <row r="37" spans="2:21" x14ac:dyDescent="0.3">
      <c r="B37" s="41"/>
      <c r="C37" s="7">
        <v>0.51041666666666663</v>
      </c>
      <c r="D37" s="8">
        <v>0.52083333333333337</v>
      </c>
      <c r="E37" s="9">
        <v>20</v>
      </c>
      <c r="F37" s="9">
        <v>75</v>
      </c>
      <c r="G37" s="9">
        <v>48</v>
      </c>
      <c r="H37" s="9">
        <v>4</v>
      </c>
      <c r="I37" s="9">
        <v>0</v>
      </c>
      <c r="J37" s="9">
        <v>1</v>
      </c>
      <c r="K37" s="9">
        <v>0</v>
      </c>
      <c r="L37" s="9">
        <v>0</v>
      </c>
      <c r="M37" s="9">
        <v>0</v>
      </c>
      <c r="N37" s="9">
        <v>0</v>
      </c>
      <c r="O37" s="10">
        <v>0</v>
      </c>
      <c r="P37" s="11">
        <f t="shared" si="0"/>
        <v>148</v>
      </c>
      <c r="Q37" s="41"/>
      <c r="R37" s="26">
        <v>206</v>
      </c>
      <c r="S37" s="57"/>
      <c r="T37" s="54"/>
      <c r="U37" s="55"/>
    </row>
    <row r="38" spans="2:21" x14ac:dyDescent="0.3">
      <c r="B38" s="41"/>
      <c r="C38" s="12">
        <v>0.52083333333333337</v>
      </c>
      <c r="D38" s="13">
        <v>0.94791666666666663</v>
      </c>
      <c r="E38" s="9">
        <v>14</v>
      </c>
      <c r="F38" s="9">
        <v>75</v>
      </c>
      <c r="G38" s="9">
        <v>34</v>
      </c>
      <c r="H38" s="9">
        <v>7</v>
      </c>
      <c r="I38" s="9">
        <v>0</v>
      </c>
      <c r="J38" s="9">
        <v>1</v>
      </c>
      <c r="K38" s="9">
        <v>0</v>
      </c>
      <c r="L38" s="9">
        <v>0</v>
      </c>
      <c r="M38" s="9">
        <v>0</v>
      </c>
      <c r="N38" s="9">
        <v>0</v>
      </c>
      <c r="O38" s="10">
        <v>0</v>
      </c>
      <c r="P38" s="11">
        <f t="shared" si="0"/>
        <v>131</v>
      </c>
      <c r="Q38" s="41"/>
      <c r="R38" s="26">
        <v>172</v>
      </c>
      <c r="S38" s="57"/>
      <c r="T38" s="54"/>
      <c r="U38" s="55"/>
    </row>
    <row r="39" spans="2:21" ht="15" thickBot="1" x14ac:dyDescent="0.35">
      <c r="B39" s="41"/>
      <c r="C39" s="14">
        <v>0.53125</v>
      </c>
      <c r="D39" s="15">
        <v>0.54166666666666663</v>
      </c>
      <c r="E39" s="9">
        <v>22</v>
      </c>
      <c r="F39" s="9">
        <v>95</v>
      </c>
      <c r="G39" s="9">
        <v>47</v>
      </c>
      <c r="H39" s="9">
        <v>5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10">
        <v>0</v>
      </c>
      <c r="P39" s="11">
        <f t="shared" si="0"/>
        <v>169</v>
      </c>
      <c r="Q39" s="43"/>
      <c r="R39" s="26">
        <v>174</v>
      </c>
      <c r="S39" s="58"/>
      <c r="T39" s="54"/>
      <c r="U39" s="55"/>
    </row>
    <row r="40" spans="2:21" x14ac:dyDescent="0.3">
      <c r="B40" s="42" t="s">
        <v>17</v>
      </c>
      <c r="C40" s="2">
        <v>0.5</v>
      </c>
      <c r="D40" s="3">
        <v>0.51041666666666663</v>
      </c>
      <c r="E40" s="9">
        <v>12</v>
      </c>
      <c r="F40" s="9">
        <v>53</v>
      </c>
      <c r="G40" s="9">
        <v>11</v>
      </c>
      <c r="H40" s="9">
        <v>11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10">
        <v>0</v>
      </c>
      <c r="P40" s="11">
        <f t="shared" si="0"/>
        <v>87</v>
      </c>
      <c r="Q40" s="42">
        <f>SUM(P40:P43)</f>
        <v>379</v>
      </c>
      <c r="R40" s="26">
        <v>187</v>
      </c>
      <c r="S40" s="56">
        <f t="shared" ref="S40:S43" si="2">+Q40/$T$32</f>
        <v>0.26994301994301995</v>
      </c>
      <c r="T40" s="54"/>
      <c r="U40" s="55"/>
    </row>
    <row r="41" spans="2:21" x14ac:dyDescent="0.3">
      <c r="B41" s="41"/>
      <c r="C41" s="7">
        <v>0.51041666666666663</v>
      </c>
      <c r="D41" s="8">
        <v>0.52083333333333337</v>
      </c>
      <c r="E41" s="9">
        <v>18</v>
      </c>
      <c r="F41" s="9">
        <v>52</v>
      </c>
      <c r="G41" s="9">
        <v>29</v>
      </c>
      <c r="H41" s="9">
        <v>9</v>
      </c>
      <c r="I41" s="9">
        <v>0</v>
      </c>
      <c r="J41" s="9">
        <v>1</v>
      </c>
      <c r="K41" s="9">
        <v>0</v>
      </c>
      <c r="L41" s="9">
        <v>0</v>
      </c>
      <c r="M41" s="9">
        <v>0</v>
      </c>
      <c r="N41" s="9">
        <v>0</v>
      </c>
      <c r="O41" s="10">
        <v>0</v>
      </c>
      <c r="P41" s="11">
        <f t="shared" si="0"/>
        <v>109</v>
      </c>
      <c r="Q41" s="41"/>
      <c r="R41" s="26">
        <v>178</v>
      </c>
      <c r="S41" s="57"/>
      <c r="T41" s="54"/>
      <c r="U41" s="55"/>
    </row>
    <row r="42" spans="2:21" x14ac:dyDescent="0.3">
      <c r="B42" s="41"/>
      <c r="C42" s="12">
        <v>0.52083333333333337</v>
      </c>
      <c r="D42" s="13">
        <v>0.94791666666666663</v>
      </c>
      <c r="E42" s="9">
        <v>22</v>
      </c>
      <c r="F42" s="9">
        <v>41</v>
      </c>
      <c r="G42" s="9">
        <v>25</v>
      </c>
      <c r="H42" s="9">
        <v>10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10">
        <v>0</v>
      </c>
      <c r="P42" s="11">
        <f t="shared" si="0"/>
        <v>98</v>
      </c>
      <c r="Q42" s="41"/>
      <c r="R42" s="26">
        <v>192</v>
      </c>
      <c r="S42" s="57"/>
      <c r="T42" s="54"/>
      <c r="U42" s="55"/>
    </row>
    <row r="43" spans="2:21" ht="15" thickBot="1" x14ac:dyDescent="0.35">
      <c r="B43" s="43"/>
      <c r="C43" s="14">
        <v>0.53125</v>
      </c>
      <c r="D43" s="15">
        <v>0.54166666666666663</v>
      </c>
      <c r="E43" s="9">
        <v>15</v>
      </c>
      <c r="F43" s="9">
        <v>49</v>
      </c>
      <c r="G43" s="9">
        <v>10</v>
      </c>
      <c r="H43" s="9">
        <v>11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f>SUM(E43:O43)</f>
        <v>85</v>
      </c>
      <c r="Q43" s="43"/>
      <c r="R43" s="26">
        <v>166</v>
      </c>
      <c r="S43" s="58"/>
      <c r="T43" s="54"/>
      <c r="U43" s="55"/>
    </row>
    <row r="44" spans="2:21" x14ac:dyDescent="0.3">
      <c r="B44" s="41" t="s">
        <v>18</v>
      </c>
      <c r="C44" s="2">
        <v>0.5</v>
      </c>
      <c r="D44" s="3">
        <v>0.51041666666666663</v>
      </c>
      <c r="E44" s="9">
        <v>20</v>
      </c>
      <c r="F44" s="9">
        <v>120</v>
      </c>
      <c r="G44" s="9">
        <v>53</v>
      </c>
      <c r="H44" s="9">
        <v>3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32">
        <f t="shared" si="0"/>
        <v>196</v>
      </c>
      <c r="Q44" s="42">
        <f t="shared" ref="Q44" si="3">SUM(P44:P47)</f>
        <v>861</v>
      </c>
      <c r="R44" s="26">
        <v>204</v>
      </c>
      <c r="S44" s="56">
        <f>+Q44/$T$44</f>
        <v>0.90822784810126578</v>
      </c>
      <c r="T44" s="54">
        <f>+Q44+Q48</f>
        <v>948</v>
      </c>
      <c r="U44" s="55">
        <f>+T44/Q64</f>
        <v>0.32233934036042161</v>
      </c>
    </row>
    <row r="45" spans="2:21" x14ac:dyDescent="0.3">
      <c r="B45" s="41"/>
      <c r="C45" s="7">
        <v>0.51041666666666663</v>
      </c>
      <c r="D45" s="8">
        <v>0.52083333333333337</v>
      </c>
      <c r="E45" s="9">
        <v>19</v>
      </c>
      <c r="F45" s="9">
        <v>121</v>
      </c>
      <c r="G45" s="9">
        <v>57</v>
      </c>
      <c r="H45" s="9">
        <v>4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f t="shared" si="0"/>
        <v>201</v>
      </c>
      <c r="Q45" s="41"/>
      <c r="R45" s="26">
        <v>196</v>
      </c>
      <c r="S45" s="57"/>
      <c r="T45" s="54"/>
      <c r="U45" s="55"/>
    </row>
    <row r="46" spans="2:21" x14ac:dyDescent="0.3">
      <c r="B46" s="41"/>
      <c r="C46" s="12">
        <v>0.52083333333333337</v>
      </c>
      <c r="D46" s="13">
        <v>0.94791666666666663</v>
      </c>
      <c r="E46" s="9">
        <v>28</v>
      </c>
      <c r="F46" s="9">
        <v>163</v>
      </c>
      <c r="G46" s="9">
        <v>44</v>
      </c>
      <c r="H46" s="9">
        <v>2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f t="shared" si="0"/>
        <v>237</v>
      </c>
      <c r="Q46" s="41"/>
      <c r="R46" s="26">
        <v>197</v>
      </c>
      <c r="S46" s="57"/>
      <c r="T46" s="54"/>
      <c r="U46" s="55"/>
    </row>
    <row r="47" spans="2:21" ht="15" thickBot="1" x14ac:dyDescent="0.35">
      <c r="B47" s="41"/>
      <c r="C47" s="14">
        <v>0.53125</v>
      </c>
      <c r="D47" s="15">
        <v>0.54166666666666663</v>
      </c>
      <c r="E47" s="9">
        <v>25</v>
      </c>
      <c r="F47" s="9">
        <v>142</v>
      </c>
      <c r="G47" s="9">
        <v>56</v>
      </c>
      <c r="H47" s="9">
        <v>4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f t="shared" si="0"/>
        <v>227</v>
      </c>
      <c r="Q47" s="43"/>
      <c r="R47" s="26">
        <v>178</v>
      </c>
      <c r="S47" s="58"/>
      <c r="T47" s="54"/>
      <c r="U47" s="55"/>
    </row>
    <row r="48" spans="2:21" x14ac:dyDescent="0.3">
      <c r="B48" s="42" t="s">
        <v>19</v>
      </c>
      <c r="C48" s="2">
        <v>0.5</v>
      </c>
      <c r="D48" s="3">
        <v>0.51041666666666663</v>
      </c>
      <c r="E48" s="9">
        <v>2</v>
      </c>
      <c r="F48" s="9">
        <v>22</v>
      </c>
      <c r="G48" s="9">
        <v>1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f t="shared" si="0"/>
        <v>25</v>
      </c>
      <c r="Q48" s="42">
        <f t="shared" ref="Q48" si="4">SUM(P48:P51)</f>
        <v>87</v>
      </c>
      <c r="R48" s="33">
        <v>210</v>
      </c>
      <c r="S48" s="56">
        <f>+Q48/$T$44</f>
        <v>9.1772151898734181E-2</v>
      </c>
      <c r="T48" s="54"/>
      <c r="U48" s="55"/>
    </row>
    <row r="49" spans="2:21" x14ac:dyDescent="0.3">
      <c r="B49" s="41"/>
      <c r="C49" s="7">
        <v>0.51041666666666663</v>
      </c>
      <c r="D49" s="8">
        <v>0.52083333333333337</v>
      </c>
      <c r="E49" s="9">
        <v>2</v>
      </c>
      <c r="F49" s="9">
        <v>15</v>
      </c>
      <c r="G49" s="9">
        <v>3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f t="shared" si="0"/>
        <v>20</v>
      </c>
      <c r="Q49" s="41"/>
      <c r="R49" s="33">
        <v>200</v>
      </c>
      <c r="S49" s="57"/>
      <c r="T49" s="54"/>
      <c r="U49" s="55"/>
    </row>
    <row r="50" spans="2:21" x14ac:dyDescent="0.3">
      <c r="B50" s="41"/>
      <c r="C50" s="12">
        <v>0.52083333333333337</v>
      </c>
      <c r="D50" s="13">
        <v>0.94791666666666663</v>
      </c>
      <c r="E50" s="9">
        <v>6</v>
      </c>
      <c r="F50" s="9">
        <v>13</v>
      </c>
      <c r="G50" s="9">
        <v>4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f t="shared" si="0"/>
        <v>23</v>
      </c>
      <c r="Q50" s="41"/>
      <c r="R50" s="33">
        <v>194</v>
      </c>
      <c r="S50" s="57"/>
      <c r="T50" s="54"/>
      <c r="U50" s="55"/>
    </row>
    <row r="51" spans="2:21" ht="15" thickBot="1" x14ac:dyDescent="0.35">
      <c r="B51" s="43"/>
      <c r="C51" s="14">
        <v>0.53125</v>
      </c>
      <c r="D51" s="15">
        <v>0.54166666666666663</v>
      </c>
      <c r="E51" s="9">
        <v>3</v>
      </c>
      <c r="F51" s="9">
        <v>12</v>
      </c>
      <c r="G51" s="9">
        <v>4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f t="shared" si="0"/>
        <v>19</v>
      </c>
      <c r="Q51" s="43"/>
      <c r="R51" s="33">
        <v>189</v>
      </c>
      <c r="S51" s="58"/>
      <c r="T51" s="54"/>
      <c r="U51" s="55"/>
    </row>
    <row r="52" spans="2:21" x14ac:dyDescent="0.3">
      <c r="B52" s="41" t="s">
        <v>20</v>
      </c>
      <c r="C52" s="2">
        <v>0.5</v>
      </c>
      <c r="D52" s="3">
        <v>0.51041666666666663</v>
      </c>
      <c r="E52" s="9">
        <v>8</v>
      </c>
      <c r="F52" s="9">
        <v>38</v>
      </c>
      <c r="G52" s="9">
        <v>14</v>
      </c>
      <c r="H52" s="9">
        <v>15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f t="shared" si="0"/>
        <v>75</v>
      </c>
      <c r="Q52" s="42">
        <f t="shared" ref="Q52" si="5">SUM(P52:P55)</f>
        <v>287</v>
      </c>
      <c r="R52" s="26">
        <v>198</v>
      </c>
      <c r="S52" s="56">
        <f>+Q52/$T$52</f>
        <v>0.48726655348047537</v>
      </c>
      <c r="T52" s="54">
        <f>+Q52+Q56+Q60</f>
        <v>589</v>
      </c>
      <c r="U52" s="55">
        <f>+T52/Q64</f>
        <v>0.20027201632097927</v>
      </c>
    </row>
    <row r="53" spans="2:21" x14ac:dyDescent="0.3">
      <c r="B53" s="41"/>
      <c r="C53" s="7">
        <v>0.51041666666666663</v>
      </c>
      <c r="D53" s="8">
        <v>0.52083333333333337</v>
      </c>
      <c r="E53" s="9">
        <v>11</v>
      </c>
      <c r="F53" s="9">
        <v>35</v>
      </c>
      <c r="G53" s="9">
        <v>14</v>
      </c>
      <c r="H53" s="9">
        <v>12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f t="shared" si="0"/>
        <v>72</v>
      </c>
      <c r="Q53" s="41"/>
      <c r="R53" s="26">
        <v>178</v>
      </c>
      <c r="S53" s="57"/>
      <c r="T53" s="54"/>
      <c r="U53" s="55"/>
    </row>
    <row r="54" spans="2:21" x14ac:dyDescent="0.3">
      <c r="B54" s="41"/>
      <c r="C54" s="12">
        <v>0.52083333333333337</v>
      </c>
      <c r="D54" s="13">
        <v>0.94791666666666663</v>
      </c>
      <c r="E54" s="9">
        <v>5</v>
      </c>
      <c r="F54" s="9">
        <v>31</v>
      </c>
      <c r="G54" s="9">
        <v>19</v>
      </c>
      <c r="H54" s="9">
        <v>11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f t="shared" si="0"/>
        <v>66</v>
      </c>
      <c r="Q54" s="41"/>
      <c r="R54" s="26">
        <v>171</v>
      </c>
      <c r="S54" s="57"/>
      <c r="T54" s="54"/>
      <c r="U54" s="55"/>
    </row>
    <row r="55" spans="2:21" ht="15" thickBot="1" x14ac:dyDescent="0.35">
      <c r="B55" s="41"/>
      <c r="C55" s="14">
        <v>0.53125</v>
      </c>
      <c r="D55" s="15">
        <v>0.54166666666666663</v>
      </c>
      <c r="E55" s="9">
        <v>14</v>
      </c>
      <c r="F55" s="9">
        <v>32</v>
      </c>
      <c r="G55" s="9">
        <v>15</v>
      </c>
      <c r="H55" s="9">
        <v>13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f t="shared" si="0"/>
        <v>74</v>
      </c>
      <c r="Q55" s="43"/>
      <c r="R55" s="26">
        <v>197</v>
      </c>
      <c r="S55" s="58"/>
      <c r="T55" s="54"/>
      <c r="U55" s="55"/>
    </row>
    <row r="56" spans="2:21" x14ac:dyDescent="0.3">
      <c r="B56" s="42" t="s">
        <v>21</v>
      </c>
      <c r="C56" s="2">
        <v>0.5</v>
      </c>
      <c r="D56" s="3">
        <v>0.51041666666666663</v>
      </c>
      <c r="E56" s="9">
        <v>5</v>
      </c>
      <c r="F56" s="9">
        <v>48</v>
      </c>
      <c r="G56" s="9">
        <v>11</v>
      </c>
      <c r="H56" s="9">
        <v>3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f t="shared" si="0"/>
        <v>67</v>
      </c>
      <c r="Q56" s="42">
        <f t="shared" ref="Q56" si="6">SUM(P56:P59)</f>
        <v>257</v>
      </c>
      <c r="R56" s="26">
        <v>165</v>
      </c>
      <c r="S56" s="56">
        <f t="shared" ref="S56:S63" si="7">+Q56/$T$52</f>
        <v>0.43633276740237692</v>
      </c>
      <c r="T56" s="54"/>
      <c r="U56" s="55"/>
    </row>
    <row r="57" spans="2:21" x14ac:dyDescent="0.3">
      <c r="B57" s="41"/>
      <c r="C57" s="7">
        <v>0.51041666666666663</v>
      </c>
      <c r="D57" s="8">
        <v>0.52083333333333337</v>
      </c>
      <c r="E57" s="9">
        <v>3</v>
      </c>
      <c r="F57" s="9">
        <v>34</v>
      </c>
      <c r="G57" s="9">
        <v>4</v>
      </c>
      <c r="H57" s="9">
        <v>2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f t="shared" si="0"/>
        <v>43</v>
      </c>
      <c r="Q57" s="41"/>
      <c r="R57" s="26">
        <v>204</v>
      </c>
      <c r="S57" s="57"/>
      <c r="T57" s="54"/>
      <c r="U57" s="55"/>
    </row>
    <row r="58" spans="2:21" x14ac:dyDescent="0.3">
      <c r="B58" s="41"/>
      <c r="C58" s="12">
        <v>0.52083333333333337</v>
      </c>
      <c r="D58" s="13">
        <v>0.94791666666666663</v>
      </c>
      <c r="E58" s="9">
        <v>10</v>
      </c>
      <c r="F58" s="9">
        <v>43</v>
      </c>
      <c r="G58" s="9">
        <v>11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f t="shared" si="0"/>
        <v>64</v>
      </c>
      <c r="Q58" s="41"/>
      <c r="R58" s="26">
        <v>202</v>
      </c>
      <c r="S58" s="57"/>
      <c r="T58" s="54"/>
      <c r="U58" s="55"/>
    </row>
    <row r="59" spans="2:21" ht="15" thickBot="1" x14ac:dyDescent="0.35">
      <c r="B59" s="43"/>
      <c r="C59" s="14">
        <v>0.53125</v>
      </c>
      <c r="D59" s="15">
        <v>0.54166666666666663</v>
      </c>
      <c r="E59" s="9">
        <v>23</v>
      </c>
      <c r="F59" s="9">
        <v>46</v>
      </c>
      <c r="G59" s="9">
        <v>14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f t="shared" si="0"/>
        <v>83</v>
      </c>
      <c r="Q59" s="43"/>
      <c r="R59" s="26">
        <v>184</v>
      </c>
      <c r="S59" s="58"/>
      <c r="T59" s="54"/>
      <c r="U59" s="55"/>
    </row>
    <row r="60" spans="2:21" x14ac:dyDescent="0.3">
      <c r="B60" s="42" t="s">
        <v>22</v>
      </c>
      <c r="C60" s="2">
        <v>0.5</v>
      </c>
      <c r="D60" s="3">
        <v>0.51041666666666663</v>
      </c>
      <c r="E60" s="9">
        <v>3</v>
      </c>
      <c r="F60" s="9">
        <v>11</v>
      </c>
      <c r="G60" s="9">
        <v>3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f t="shared" si="0"/>
        <v>17</v>
      </c>
      <c r="Q60" s="42">
        <f t="shared" ref="Q60" si="8">SUM(P60:P63)</f>
        <v>45</v>
      </c>
      <c r="R60" s="26">
        <v>172</v>
      </c>
      <c r="S60" s="56">
        <f t="shared" ref="S60:S63" si="9">+Q60/$T$52</f>
        <v>7.6400679117147707E-2</v>
      </c>
      <c r="T60" s="54"/>
      <c r="U60" s="55"/>
    </row>
    <row r="61" spans="2:21" x14ac:dyDescent="0.3">
      <c r="B61" s="41"/>
      <c r="C61" s="7">
        <v>0.51041666666666663</v>
      </c>
      <c r="D61" s="8">
        <v>0.52083333333333337</v>
      </c>
      <c r="E61" s="9">
        <v>0</v>
      </c>
      <c r="F61" s="9">
        <v>3</v>
      </c>
      <c r="G61" s="9">
        <v>2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f t="shared" si="0"/>
        <v>5</v>
      </c>
      <c r="Q61" s="41"/>
      <c r="R61" s="26">
        <v>190</v>
      </c>
      <c r="S61" s="57"/>
      <c r="T61" s="54"/>
      <c r="U61" s="55"/>
    </row>
    <row r="62" spans="2:21" x14ac:dyDescent="0.3">
      <c r="B62" s="41"/>
      <c r="C62" s="12">
        <v>0.52083333333333337</v>
      </c>
      <c r="D62" s="13">
        <v>0.94791666666666663</v>
      </c>
      <c r="E62" s="9">
        <v>0</v>
      </c>
      <c r="F62" s="9">
        <v>12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f t="shared" si="0"/>
        <v>12</v>
      </c>
      <c r="Q62" s="41"/>
      <c r="R62" s="26">
        <v>184</v>
      </c>
      <c r="S62" s="57"/>
      <c r="T62" s="54"/>
      <c r="U62" s="55"/>
    </row>
    <row r="63" spans="2:21" ht="15" thickBot="1" x14ac:dyDescent="0.35">
      <c r="B63" s="43"/>
      <c r="C63" s="14">
        <v>0.53125</v>
      </c>
      <c r="D63" s="15">
        <v>0.54166666666666663</v>
      </c>
      <c r="E63" s="9">
        <v>4</v>
      </c>
      <c r="F63" s="9">
        <v>7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f t="shared" si="0"/>
        <v>11</v>
      </c>
      <c r="Q63" s="43"/>
      <c r="R63" s="26">
        <v>203</v>
      </c>
      <c r="S63" s="58"/>
      <c r="T63" s="54"/>
      <c r="U63" s="55"/>
    </row>
    <row r="64" spans="2:21" ht="15" thickBot="1" x14ac:dyDescent="0.35">
      <c r="C64" s="44" t="s">
        <v>23</v>
      </c>
      <c r="D64" s="45"/>
      <c r="E64" s="16">
        <f>SUM(E32:E63)</f>
        <v>368</v>
      </c>
      <c r="F64" s="16">
        <f t="shared" ref="F64:P64" si="10">SUM(F32:F63)</f>
        <v>1762</v>
      </c>
      <c r="G64" s="16">
        <f t="shared" si="10"/>
        <v>676</v>
      </c>
      <c r="H64" s="16">
        <f t="shared" si="10"/>
        <v>132</v>
      </c>
      <c r="I64" s="16">
        <f t="shared" si="10"/>
        <v>0</v>
      </c>
      <c r="J64" s="16">
        <f t="shared" si="10"/>
        <v>3</v>
      </c>
      <c r="K64" s="16">
        <f t="shared" si="10"/>
        <v>0</v>
      </c>
      <c r="L64" s="16">
        <f t="shared" si="10"/>
        <v>0</v>
      </c>
      <c r="M64" s="16">
        <f t="shared" si="10"/>
        <v>0</v>
      </c>
      <c r="N64" s="16">
        <f t="shared" si="10"/>
        <v>0</v>
      </c>
      <c r="O64" s="16">
        <f t="shared" si="10"/>
        <v>0</v>
      </c>
      <c r="P64" s="16">
        <f t="shared" si="10"/>
        <v>2941</v>
      </c>
      <c r="Q64" s="17">
        <f>SUM(Q32:Q63)</f>
        <v>2941</v>
      </c>
      <c r="R64" s="17">
        <f>SUM(R32:R63)</f>
        <v>6040</v>
      </c>
    </row>
    <row r="65" spans="3:17" ht="15" thickBot="1" x14ac:dyDescent="0.35">
      <c r="C65" s="44" t="s">
        <v>24</v>
      </c>
      <c r="D65" s="45"/>
      <c r="E65" s="18">
        <f t="shared" ref="E65:O65" si="11">E64/$Q$64</f>
        <v>0.12512750765045902</v>
      </c>
      <c r="F65" s="19">
        <f t="shared" si="11"/>
        <v>0.59911594695681736</v>
      </c>
      <c r="G65" s="19">
        <f t="shared" si="11"/>
        <v>0.22985379122747365</v>
      </c>
      <c r="H65" s="19">
        <f t="shared" si="11"/>
        <v>4.4882692961577694E-2</v>
      </c>
      <c r="I65" s="19">
        <f t="shared" si="11"/>
        <v>0</v>
      </c>
      <c r="J65" s="19">
        <f t="shared" si="11"/>
        <v>1.0200612036722204E-3</v>
      </c>
      <c r="K65" s="19">
        <f t="shared" si="11"/>
        <v>0</v>
      </c>
      <c r="L65" s="19">
        <f t="shared" si="11"/>
        <v>0</v>
      </c>
      <c r="M65" s="19">
        <f t="shared" si="11"/>
        <v>0</v>
      </c>
      <c r="N65" s="19">
        <f t="shared" si="11"/>
        <v>0</v>
      </c>
      <c r="O65" s="20">
        <f t="shared" si="11"/>
        <v>0</v>
      </c>
      <c r="P65" s="21">
        <f t="shared" si="0"/>
        <v>0.99999999999999989</v>
      </c>
      <c r="Q65" s="22">
        <f>Q64/$Q$64</f>
        <v>1</v>
      </c>
    </row>
    <row r="66" spans="3:17" ht="15" thickBot="1" x14ac:dyDescent="0.35">
      <c r="C66" s="23"/>
      <c r="D66" s="23"/>
      <c r="N66" s="38" t="s">
        <v>25</v>
      </c>
      <c r="O66" s="39"/>
      <c r="P66" s="40"/>
      <c r="Q66" s="17">
        <f>AVERAGE(Q32:Q43)</f>
        <v>468</v>
      </c>
    </row>
    <row r="67" spans="3:17" ht="15" thickBot="1" x14ac:dyDescent="0.35">
      <c r="C67" s="23"/>
      <c r="D67" s="23"/>
      <c r="N67" s="38" t="s">
        <v>26</v>
      </c>
      <c r="O67" s="39"/>
      <c r="P67" s="40"/>
      <c r="Q67" s="24">
        <f>Q66*12</f>
        <v>5616</v>
      </c>
    </row>
  </sheetData>
  <mergeCells count="36">
    <mergeCell ref="U32:U43"/>
    <mergeCell ref="U44:U51"/>
    <mergeCell ref="U52:U63"/>
    <mergeCell ref="S52:S55"/>
    <mergeCell ref="S56:S59"/>
    <mergeCell ref="S60:S63"/>
    <mergeCell ref="T32:T43"/>
    <mergeCell ref="T44:T51"/>
    <mergeCell ref="T52:T63"/>
    <mergeCell ref="S32:S35"/>
    <mergeCell ref="S36:S39"/>
    <mergeCell ref="S40:S43"/>
    <mergeCell ref="S44:S47"/>
    <mergeCell ref="S48:S51"/>
    <mergeCell ref="C30:R30"/>
    <mergeCell ref="B40:B43"/>
    <mergeCell ref="Q40:Q43"/>
    <mergeCell ref="B44:B47"/>
    <mergeCell ref="Q44:Q47"/>
    <mergeCell ref="C31:D31"/>
    <mergeCell ref="B32:B35"/>
    <mergeCell ref="Q32:Q35"/>
    <mergeCell ref="B36:B39"/>
    <mergeCell ref="Q36:Q39"/>
    <mergeCell ref="B48:B51"/>
    <mergeCell ref="Q48:Q51"/>
    <mergeCell ref="Q52:Q55"/>
    <mergeCell ref="B56:B59"/>
    <mergeCell ref="Q56:Q59"/>
    <mergeCell ref="N67:P67"/>
    <mergeCell ref="B52:B55"/>
    <mergeCell ref="B60:B63"/>
    <mergeCell ref="Q60:Q63"/>
    <mergeCell ref="C64:D64"/>
    <mergeCell ref="C65:D65"/>
    <mergeCell ref="N66:P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C42D-7050-48EE-AC16-8FA7BEE93D8A}">
  <dimension ref="A1:J32"/>
  <sheetViews>
    <sheetView workbookViewId="0">
      <selection activeCell="H12" sqref="H12:I12"/>
    </sheetView>
  </sheetViews>
  <sheetFormatPr baseColWidth="10" defaultRowHeight="14.4" x14ac:dyDescent="0.3"/>
  <cols>
    <col min="3" max="3" width="5.6640625" customWidth="1"/>
    <col min="7" max="7" width="7.5546875" customWidth="1"/>
  </cols>
  <sheetData>
    <row r="1" spans="1:10" x14ac:dyDescent="0.3">
      <c r="A1" s="52" t="s">
        <v>42</v>
      </c>
      <c r="B1" s="52"/>
      <c r="C1" s="52"/>
      <c r="D1" s="52"/>
      <c r="E1" s="52"/>
      <c r="F1" s="52"/>
    </row>
    <row r="2" spans="1:10" x14ac:dyDescent="0.3">
      <c r="A2" t="s">
        <v>28</v>
      </c>
      <c r="H2" s="34" t="s">
        <v>29</v>
      </c>
      <c r="I2" s="31">
        <v>861</v>
      </c>
    </row>
    <row r="3" spans="1:10" x14ac:dyDescent="0.3">
      <c r="H3" s="34" t="s">
        <v>37</v>
      </c>
      <c r="I3" s="31">
        <v>237</v>
      </c>
    </row>
    <row r="4" spans="1:10" x14ac:dyDescent="0.3">
      <c r="A4" s="27" t="s">
        <v>29</v>
      </c>
      <c r="B4" s="28" t="s">
        <v>45</v>
      </c>
      <c r="D4" s="30">
        <f>SUM(B7:B10)</f>
        <v>861</v>
      </c>
      <c r="E4" s="30" t="s">
        <v>34</v>
      </c>
      <c r="F4" s="30"/>
      <c r="H4" s="34" t="s">
        <v>38</v>
      </c>
      <c r="I4" s="31">
        <v>12</v>
      </c>
    </row>
    <row r="5" spans="1:10" x14ac:dyDescent="0.3">
      <c r="A5" s="27"/>
      <c r="H5" s="34" t="s">
        <v>39</v>
      </c>
      <c r="I5" s="31">
        <v>0.3</v>
      </c>
    </row>
    <row r="6" spans="1:10" x14ac:dyDescent="0.3">
      <c r="A6" s="27"/>
      <c r="I6" s="27"/>
      <c r="J6" s="28"/>
    </row>
    <row r="7" spans="1:10" x14ac:dyDescent="0.3">
      <c r="A7" s="27" t="s">
        <v>30</v>
      </c>
      <c r="B7" s="29">
        <f>196</f>
        <v>196</v>
      </c>
      <c r="I7" s="27"/>
      <c r="J7" s="28"/>
    </row>
    <row r="8" spans="1:10" x14ac:dyDescent="0.3">
      <c r="A8" s="27" t="s">
        <v>31</v>
      </c>
      <c r="B8" s="29">
        <f>201</f>
        <v>201</v>
      </c>
    </row>
    <row r="9" spans="1:10" x14ac:dyDescent="0.3">
      <c r="A9" s="27" t="s">
        <v>32</v>
      </c>
      <c r="B9" s="29">
        <v>237</v>
      </c>
    </row>
    <row r="10" spans="1:10" x14ac:dyDescent="0.3">
      <c r="A10" s="27" t="s">
        <v>33</v>
      </c>
      <c r="B10" s="29">
        <v>227</v>
      </c>
    </row>
    <row r="12" spans="1:10" x14ac:dyDescent="0.3">
      <c r="A12" t="s">
        <v>35</v>
      </c>
      <c r="G12" s="29"/>
      <c r="H12" s="51" t="s">
        <v>46</v>
      </c>
      <c r="I12" s="51"/>
    </row>
    <row r="14" spans="1:10" x14ac:dyDescent="0.3">
      <c r="A14" t="s">
        <v>36</v>
      </c>
    </row>
    <row r="17" spans="1:9" x14ac:dyDescent="0.3">
      <c r="E17" s="27" t="s">
        <v>39</v>
      </c>
      <c r="F17">
        <f>I2/(I4*I3)</f>
        <v>0.3027426160337553</v>
      </c>
    </row>
    <row r="22" spans="1:9" x14ac:dyDescent="0.3">
      <c r="A22" s="53" t="s">
        <v>43</v>
      </c>
      <c r="B22" s="53"/>
      <c r="C22" s="53"/>
      <c r="D22" s="53"/>
      <c r="E22" s="53"/>
      <c r="F22" s="53"/>
    </row>
    <row r="25" spans="1:9" x14ac:dyDescent="0.3">
      <c r="A25" s="27" t="s">
        <v>29</v>
      </c>
      <c r="B25" t="s">
        <v>47</v>
      </c>
      <c r="D25" s="30">
        <f>SUM(210+200+194+189)</f>
        <v>793</v>
      </c>
      <c r="E25" s="51" t="s">
        <v>40</v>
      </c>
      <c r="F25" s="51"/>
    </row>
    <row r="27" spans="1:9" x14ac:dyDescent="0.3">
      <c r="A27" t="s">
        <v>41</v>
      </c>
      <c r="H27" t="s">
        <v>44</v>
      </c>
    </row>
    <row r="29" spans="1:9" x14ac:dyDescent="0.3">
      <c r="A29" t="s">
        <v>36</v>
      </c>
      <c r="H29" s="37" t="s">
        <v>29</v>
      </c>
      <c r="I29" s="31">
        <v>793</v>
      </c>
    </row>
    <row r="30" spans="1:9" x14ac:dyDescent="0.3">
      <c r="H30" s="37" t="s">
        <v>37</v>
      </c>
      <c r="I30" s="31">
        <v>210</v>
      </c>
    </row>
    <row r="31" spans="1:9" x14ac:dyDescent="0.3">
      <c r="E31" s="35" t="s">
        <v>39</v>
      </c>
      <c r="F31" s="36">
        <f>I29/(I31*I30)</f>
        <v>0.31468253968253967</v>
      </c>
      <c r="H31" s="37" t="s">
        <v>38</v>
      </c>
      <c r="I31" s="31">
        <v>12</v>
      </c>
    </row>
    <row r="32" spans="1:9" x14ac:dyDescent="0.3">
      <c r="H32" s="37" t="s">
        <v>39</v>
      </c>
      <c r="I32" s="31">
        <v>0.31</v>
      </c>
    </row>
  </sheetData>
  <mergeCells count="4">
    <mergeCell ref="H12:I12"/>
    <mergeCell ref="A1:F1"/>
    <mergeCell ref="A22:F22"/>
    <mergeCell ref="E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Cuchilla Monumento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2023-11-07T01:51:09Z</dcterms:created>
  <dcterms:modified xsi:type="dcterms:W3CDTF">2024-01-18T03:30:04Z</dcterms:modified>
</cp:coreProperties>
</file>