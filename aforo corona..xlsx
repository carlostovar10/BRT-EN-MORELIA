
<file path=[Content_Types].xml><?xml version="1.0" encoding="utf-8"?>
<Types xmlns="http://schemas.openxmlformats.org/package/2006/content-types">
  <Default Extension="rels" ContentType="application/vnd.openxmlformats-package.relationships+xml"/>
  <Default Extension="tmp" ContentType="image/p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lo\Desktop\VIDEOS AFOROS\CORONA\"/>
    </mc:Choice>
  </mc:AlternateContent>
  <xr:revisionPtr revIDLastSave="0" documentId="13_ncr:1_{B9AA909C-A296-4561-8368-F1A3F2E13F9D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Hoja1" sheetId="1" r:id="rId1"/>
    <sheet name="Hoja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42" i="1" l="1"/>
  <c r="Z43" i="1"/>
  <c r="Z44" i="1"/>
  <c r="Z41" i="1"/>
  <c r="B1" i="1"/>
  <c r="F1" i="2"/>
  <c r="F2" i="2"/>
  <c r="F3" i="2"/>
  <c r="F4" i="2"/>
  <c r="Z34" i="1"/>
  <c r="P33" i="1"/>
  <c r="P34" i="1"/>
  <c r="P35" i="1"/>
  <c r="P36" i="1"/>
  <c r="P37" i="1"/>
  <c r="P38" i="1"/>
  <c r="P39" i="1"/>
  <c r="P40" i="1"/>
  <c r="P41" i="1"/>
  <c r="P42" i="1"/>
  <c r="P43" i="1"/>
  <c r="Z35" i="1" s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32" i="1"/>
  <c r="Z36" i="1" s="1"/>
  <c r="P31" i="1"/>
  <c r="P30" i="1"/>
  <c r="P29" i="1"/>
  <c r="Z33" i="1" s="1"/>
  <c r="S73" i="1"/>
  <c r="R73" i="1"/>
  <c r="P73" i="1"/>
  <c r="G73" i="1"/>
  <c r="H73" i="1"/>
  <c r="I73" i="1"/>
  <c r="J73" i="1"/>
  <c r="K73" i="1"/>
  <c r="L73" i="1"/>
  <c r="M73" i="1"/>
  <c r="N73" i="1"/>
  <c r="O73" i="1"/>
  <c r="F73" i="1"/>
  <c r="E73" i="1"/>
  <c r="Q69" i="1"/>
  <c r="Q65" i="1"/>
  <c r="Q61" i="1"/>
  <c r="Q57" i="1"/>
  <c r="Q53" i="1"/>
  <c r="Q49" i="1"/>
  <c r="Q45" i="1"/>
  <c r="Q41" i="1"/>
  <c r="Q37" i="1"/>
  <c r="Q33" i="1"/>
  <c r="Q29" i="1"/>
  <c r="V41" i="1" l="1"/>
  <c r="V43" i="1" s="1"/>
  <c r="R74" i="1"/>
  <c r="Q73" i="1"/>
  <c r="V33" i="1"/>
  <c r="V35" i="1" s="1"/>
  <c r="Q74" i="1" l="1"/>
  <c r="B1" i="2"/>
  <c r="B3" i="2" s="1"/>
  <c r="S74" i="1"/>
  <c r="G74" i="1"/>
  <c r="H74" i="1"/>
  <c r="I74" i="1"/>
  <c r="J74" i="1"/>
  <c r="K74" i="1"/>
  <c r="L74" i="1"/>
  <c r="M74" i="1"/>
  <c r="N74" i="1"/>
  <c r="O74" i="1"/>
  <c r="F74" i="1"/>
  <c r="E74" i="1"/>
  <c r="P74" i="1"/>
</calcChain>
</file>

<file path=xl/sharedStrings.xml><?xml version="1.0" encoding="utf-8"?>
<sst xmlns="http://schemas.openxmlformats.org/spreadsheetml/2006/main" count="41" uniqueCount="35">
  <si>
    <t>Corona Hacia Monumento</t>
  </si>
  <si>
    <t>Hora</t>
  </si>
  <si>
    <t>Motocicleta</t>
  </si>
  <si>
    <t>Ap</t>
  </si>
  <si>
    <t>Ac</t>
  </si>
  <si>
    <t>B2</t>
  </si>
  <si>
    <t>B3</t>
  </si>
  <si>
    <t>C2</t>
  </si>
  <si>
    <t>C3</t>
  </si>
  <si>
    <t>T2-S1</t>
  </si>
  <si>
    <t>T3-S2</t>
  </si>
  <si>
    <t>T3-S3</t>
  </si>
  <si>
    <t>T2-S1-R2</t>
  </si>
  <si>
    <t>SUMA</t>
  </si>
  <si>
    <t>TOTAL HORA</t>
  </si>
  <si>
    <t>PEATONES</t>
  </si>
  <si>
    <t>BICICLETAS</t>
  </si>
  <si>
    <t>NBS</t>
  </si>
  <si>
    <t>NBL</t>
  </si>
  <si>
    <t>VHMD=</t>
  </si>
  <si>
    <t>FHMD=</t>
  </si>
  <si>
    <t>qt MAX=</t>
  </si>
  <si>
    <t>SBS</t>
  </si>
  <si>
    <t>SBL</t>
  </si>
  <si>
    <t>SBR</t>
  </si>
  <si>
    <t>EBS</t>
  </si>
  <si>
    <t>EBL</t>
  </si>
  <si>
    <t>EBR</t>
  </si>
  <si>
    <t>WBS</t>
  </si>
  <si>
    <t>WBL</t>
  </si>
  <si>
    <t>WBR</t>
  </si>
  <si>
    <t>Suma</t>
  </si>
  <si>
    <t>Porcentaje</t>
  </si>
  <si>
    <t>Tránsito por hora</t>
  </si>
  <si>
    <t>Tránsito por 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</si>
</sst>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4B083"/>
        <bgColor indexed="64"/>
      </patternFill>
    </fill>
    <fill>
      <patternFill patternType="solid">
        <fgColor rgb="FFF3F3F3"/>
        <bgColor indexed="64"/>
      </patternFill>
    </fill>
  </fills>
  <borders count="4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0" xfId="0" applyFont="1" applyAlignment="1">
      <alignment readingOrder="1"/>
    </xf>
    <xf numFmtId="21" fontId="1" fillId="0" borderId="3" xfId="0" applyNumberFormat="1" applyFont="1" applyBorder="1" applyAlignment="1">
      <alignment readingOrder="1"/>
    </xf>
    <xf numFmtId="21" fontId="1" fillId="0" borderId="15" xfId="0" applyNumberFormat="1" applyFont="1" applyBorder="1" applyAlignment="1">
      <alignment readingOrder="1"/>
    </xf>
    <xf numFmtId="21" fontId="1" fillId="0" borderId="17" xfId="0" applyNumberFormat="1" applyFont="1" applyBorder="1" applyAlignment="1">
      <alignment readingOrder="1"/>
    </xf>
    <xf numFmtId="21" fontId="1" fillId="0" borderId="18" xfId="0" applyNumberFormat="1" applyFont="1" applyBorder="1" applyAlignment="1">
      <alignment readingOrder="1"/>
    </xf>
    <xf numFmtId="21" fontId="1" fillId="0" borderId="24" xfId="0" applyNumberFormat="1" applyFont="1" applyBorder="1" applyAlignment="1">
      <alignment readingOrder="1"/>
    </xf>
    <xf numFmtId="21" fontId="1" fillId="0" borderId="27" xfId="0" applyNumberFormat="1" applyFont="1" applyBorder="1" applyAlignment="1">
      <alignment readingOrder="1"/>
    </xf>
    <xf numFmtId="21" fontId="1" fillId="0" borderId="4" xfId="0" applyNumberFormat="1" applyFont="1" applyBorder="1" applyAlignment="1">
      <alignment readingOrder="1"/>
    </xf>
    <xf numFmtId="0" fontId="2" fillId="0" borderId="8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readingOrder="1"/>
    </xf>
    <xf numFmtId="0" fontId="1" fillId="0" borderId="9" xfId="0" applyFont="1" applyBorder="1" applyAlignment="1">
      <alignment horizontal="center" vertical="center" readingOrder="1"/>
    </xf>
    <xf numFmtId="0" fontId="1" fillId="0" borderId="10" xfId="0" applyFont="1" applyBorder="1" applyAlignment="1">
      <alignment horizontal="center" vertical="center" readingOrder="1"/>
    </xf>
    <xf numFmtId="0" fontId="1" fillId="0" borderId="11" xfId="0" applyFont="1" applyBorder="1" applyAlignment="1">
      <alignment horizontal="center" vertical="center" readingOrder="1"/>
    </xf>
    <xf numFmtId="21" fontId="1" fillId="0" borderId="29" xfId="0" applyNumberFormat="1" applyFont="1" applyBorder="1" applyAlignment="1">
      <alignment readingOrder="1"/>
    </xf>
    <xf numFmtId="21" fontId="1" fillId="0" borderId="1" xfId="0" applyNumberFormat="1" applyFont="1" applyBorder="1" applyAlignment="1">
      <alignment readingOrder="1"/>
    </xf>
    <xf numFmtId="21" fontId="1" fillId="0" borderId="30" xfId="0" applyNumberFormat="1" applyFont="1" applyBorder="1" applyAlignment="1">
      <alignment readingOrder="1"/>
    </xf>
    <xf numFmtId="0" fontId="1" fillId="0" borderId="20" xfId="0" applyFont="1" applyBorder="1" applyAlignment="1">
      <alignment horizontal="center" vertical="center" readingOrder="1"/>
    </xf>
    <xf numFmtId="0" fontId="1" fillId="0" borderId="21" xfId="0" applyFont="1" applyBorder="1" applyAlignment="1">
      <alignment horizontal="center" vertical="center" readingOrder="1"/>
    </xf>
    <xf numFmtId="0" fontId="1" fillId="0" borderId="25" xfId="0" applyFont="1" applyBorder="1" applyAlignment="1">
      <alignment horizontal="center" vertical="center" readingOrder="1"/>
    </xf>
    <xf numFmtId="0" fontId="1" fillId="0" borderId="31" xfId="0" applyFont="1" applyBorder="1" applyAlignment="1">
      <alignment horizontal="center" vertical="center" readingOrder="1"/>
    </xf>
    <xf numFmtId="0" fontId="1" fillId="0" borderId="16" xfId="0" applyFont="1" applyBorder="1" applyAlignment="1">
      <alignment horizontal="center" vertical="center" readingOrder="1"/>
    </xf>
    <xf numFmtId="0" fontId="1" fillId="0" borderId="19" xfId="0" applyFont="1" applyBorder="1" applyAlignment="1">
      <alignment horizontal="center" vertical="center" readingOrder="1"/>
    </xf>
    <xf numFmtId="21" fontId="1" fillId="0" borderId="2" xfId="0" applyNumberFormat="1" applyFont="1" applyBorder="1" applyAlignment="1">
      <alignment readingOrder="1"/>
    </xf>
    <xf numFmtId="0" fontId="1" fillId="0" borderId="26" xfId="0" applyFont="1" applyBorder="1" applyAlignment="1">
      <alignment horizontal="center" vertical="center" readingOrder="1"/>
    </xf>
    <xf numFmtId="0" fontId="1" fillId="0" borderId="13" xfId="0" applyFont="1" applyBorder="1" applyAlignment="1">
      <alignment horizontal="center" vertical="center" readingOrder="1"/>
    </xf>
    <xf numFmtId="0" fontId="2" fillId="0" borderId="33" xfId="0" applyFont="1" applyBorder="1" applyAlignment="1">
      <alignment horizontal="center" vertical="center" wrapText="1" readingOrder="1"/>
    </xf>
    <xf numFmtId="0" fontId="2" fillId="0" borderId="14" xfId="0" applyFont="1" applyBorder="1" applyAlignment="1">
      <alignment horizontal="center" vertical="center" wrapText="1" readingOrder="1"/>
    </xf>
    <xf numFmtId="0" fontId="2" fillId="0" borderId="34" xfId="0" applyFont="1" applyBorder="1" applyAlignment="1">
      <alignment horizontal="center" vertical="center" wrapText="1" readingOrder="1"/>
    </xf>
    <xf numFmtId="0" fontId="1" fillId="0" borderId="12" xfId="0" applyFont="1" applyBorder="1" applyAlignment="1">
      <alignment horizontal="center" vertical="center" readingOrder="1"/>
    </xf>
    <xf numFmtId="0" fontId="1" fillId="0" borderId="35" xfId="0" applyFont="1" applyBorder="1" applyAlignment="1">
      <alignment horizontal="center" vertical="center" readingOrder="1"/>
    </xf>
    <xf numFmtId="0" fontId="1" fillId="0" borderId="36" xfId="0" applyFont="1" applyBorder="1" applyAlignment="1">
      <alignment horizontal="center" vertical="center" readingOrder="1"/>
    </xf>
    <xf numFmtId="0" fontId="1" fillId="0" borderId="37" xfId="0" applyFont="1" applyBorder="1" applyAlignment="1">
      <alignment horizontal="center" vertical="center" readingOrder="1"/>
    </xf>
    <xf numFmtId="0" fontId="1" fillId="0" borderId="38" xfId="0" applyFont="1" applyBorder="1" applyAlignment="1">
      <alignment horizontal="center" vertical="center" readingOrder="1"/>
    </xf>
    <xf numFmtId="0" fontId="1" fillId="0" borderId="39" xfId="0" applyFont="1" applyBorder="1" applyAlignment="1">
      <alignment horizontal="center" vertical="center" readingOrder="1"/>
    </xf>
    <xf numFmtId="0" fontId="2" fillId="0" borderId="14" xfId="0" applyFont="1" applyBorder="1" applyAlignment="1">
      <alignment horizontal="center" vertical="center" readingOrder="1"/>
    </xf>
    <xf numFmtId="0" fontId="1" fillId="0" borderId="22" xfId="0" applyFont="1" applyBorder="1" applyAlignment="1">
      <alignment horizontal="center" vertical="center" readingOrder="1"/>
    </xf>
    <xf numFmtId="9" fontId="1" fillId="0" borderId="32" xfId="0" applyNumberFormat="1" applyFont="1" applyBorder="1" applyAlignment="1">
      <alignment horizontal="center" vertical="center" readingOrder="1"/>
    </xf>
    <xf numFmtId="9" fontId="1" fillId="0" borderId="28" xfId="0" applyNumberFormat="1" applyFont="1" applyBorder="1" applyAlignment="1">
      <alignment horizontal="center" vertical="center" readingOrder="1"/>
    </xf>
    <xf numFmtId="9" fontId="1" fillId="0" borderId="19" xfId="0" applyNumberFormat="1" applyFont="1" applyBorder="1" applyAlignment="1">
      <alignment horizontal="center" vertical="center" readingOrder="1"/>
    </xf>
    <xf numFmtId="164" fontId="1" fillId="0" borderId="0" xfId="0" applyNumberFormat="1" applyFont="1" applyAlignment="1">
      <alignment readingOrder="1"/>
    </xf>
    <xf numFmtId="0" fontId="2" fillId="2" borderId="5" xfId="0" applyFont="1" applyFill="1" applyBorder="1" applyAlignment="1">
      <alignment readingOrder="1"/>
    </xf>
    <xf numFmtId="0" fontId="2" fillId="2" borderId="6" xfId="0" applyFont="1" applyFill="1" applyBorder="1" applyAlignment="1">
      <alignment readingOrder="1"/>
    </xf>
    <xf numFmtId="0" fontId="2" fillId="2" borderId="7" xfId="0" applyFont="1" applyFill="1" applyBorder="1" applyAlignment="1">
      <alignment readingOrder="1"/>
    </xf>
    <xf numFmtId="0" fontId="2" fillId="0" borderId="5" xfId="0" applyFont="1" applyBorder="1" applyAlignment="1">
      <alignment horizontal="center" vertical="center" wrapText="1" readingOrder="1"/>
    </xf>
    <xf numFmtId="0" fontId="2" fillId="0" borderId="23" xfId="0" applyFont="1" applyBorder="1" applyAlignment="1">
      <alignment horizontal="center" vertical="center" wrapText="1" readingOrder="1"/>
    </xf>
    <xf numFmtId="0" fontId="1" fillId="3" borderId="20" xfId="0" applyFont="1" applyFill="1" applyBorder="1" applyAlignment="1">
      <alignment readingOrder="1"/>
    </xf>
    <xf numFmtId="0" fontId="1" fillId="3" borderId="21" xfId="0" applyFont="1" applyFill="1" applyBorder="1" applyAlignment="1">
      <alignment readingOrder="1"/>
    </xf>
    <xf numFmtId="0" fontId="1" fillId="3" borderId="22" xfId="0" applyFont="1" applyFill="1" applyBorder="1" applyAlignment="1">
      <alignment readingOrder="1"/>
    </xf>
    <xf numFmtId="0" fontId="1" fillId="0" borderId="35" xfId="0" applyFont="1" applyBorder="1" applyAlignment="1">
      <alignment horizontal="center" vertical="center" readingOrder="1"/>
    </xf>
    <xf numFmtId="0" fontId="1" fillId="0" borderId="36" xfId="0" applyFont="1" applyBorder="1" applyAlignment="1">
      <alignment horizontal="center" vertical="center" readingOrder="1"/>
    </xf>
    <xf numFmtId="0" fontId="1" fillId="0" borderId="37" xfId="0" applyFont="1" applyBorder="1" applyAlignment="1">
      <alignment horizontal="center" vertical="center" readingOrder="1"/>
    </xf>
    <xf numFmtId="0" fontId="1" fillId="0" borderId="26" xfId="0" applyFont="1" applyBorder="1" applyAlignment="1">
      <alignment horizontal="center" vertical="center" readingOrder="1"/>
    </xf>
    <xf numFmtId="0" fontId="1" fillId="0" borderId="21" xfId="0" applyFont="1" applyBorder="1" applyAlignment="1">
      <alignment horizontal="center" vertical="center" readingOrder="1"/>
    </xf>
    <xf numFmtId="0" fontId="1" fillId="0" borderId="25" xfId="0" applyFont="1" applyBorder="1" applyAlignment="1">
      <alignment horizontal="center" vertical="center" readingOrder="1"/>
    </xf>
    <xf numFmtId="0" fontId="1" fillId="3" borderId="25" xfId="0" applyFont="1" applyFill="1" applyBorder="1" applyAlignment="1">
      <alignment readingOrder="1"/>
    </xf>
    <xf numFmtId="0" fontId="1" fillId="3" borderId="26" xfId="0" applyFont="1" applyFill="1" applyBorder="1" applyAlignment="1">
      <alignment readingOrder="1"/>
    </xf>
    <xf numFmtId="0" fontId="1" fillId="3" borderId="9" xfId="0" applyFont="1" applyFill="1" applyBorder="1" applyAlignment="1">
      <alignment readingOrder="1"/>
    </xf>
    <xf numFmtId="0" fontId="1" fillId="3" borderId="10" xfId="0" applyFont="1" applyFill="1" applyBorder="1" applyAlignment="1">
      <alignment readingOrder="1"/>
    </xf>
    <xf numFmtId="0" fontId="1" fillId="3" borderId="11" xfId="0" applyFont="1" applyFill="1" applyBorder="1" applyAlignment="1">
      <alignment readingOrder="1"/>
    </xf>
    <xf numFmtId="0" fontId="1" fillId="0" borderId="15" xfId="0" applyFont="1" applyBorder="1" applyAlignment="1">
      <alignment readingOrder="1"/>
    </xf>
    <xf numFmtId="0" fontId="1" fillId="0" borderId="31" xfId="0" applyFont="1" applyBorder="1" applyAlignment="1">
      <alignment readingOrder="1"/>
    </xf>
    <xf numFmtId="0" fontId="1" fillId="0" borderId="18" xfId="0" applyFont="1" applyBorder="1" applyAlignment="1">
      <alignment readingOrder="1"/>
    </xf>
    <xf numFmtId="0" fontId="1" fillId="0" borderId="32" xfId="0" applyFont="1" applyBorder="1" applyAlignment="1">
      <alignment readingOrder="1"/>
    </xf>
    <xf numFmtId="0" fontId="1" fillId="0" borderId="15" xfId="0" applyFont="1" applyBorder="1" applyAlignment="1">
      <alignment horizontal="center" vertical="center" readingOrder="1"/>
    </xf>
    <xf numFmtId="0" fontId="1" fillId="0" borderId="31" xfId="0" applyFont="1" applyBorder="1" applyAlignment="1">
      <alignment horizontal="center" vertical="center" readingOrder="1"/>
    </xf>
    <xf numFmtId="0" fontId="1" fillId="0" borderId="18" xfId="0" applyFont="1" applyBorder="1" applyAlignment="1">
      <alignment horizontal="center" vertical="center" readingOrder="1"/>
    </xf>
    <xf numFmtId="0" fontId="1" fillId="0" borderId="32" xfId="0" applyFont="1" applyBorder="1" applyAlignment="1">
      <alignment horizontal="center" vertical="center" readingOrder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43204</xdr:colOff>
      <xdr:row>1</xdr:row>
      <xdr:rowOff>152400</xdr:rowOff>
    </xdr:from>
    <xdr:to>
      <xdr:col>17</xdr:col>
      <xdr:colOff>475128</xdr:colOff>
      <xdr:row>23</xdr:row>
      <xdr:rowOff>148060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0B3D165-7E07-DA71-29C0-D152129DC3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15322" y="331694"/>
          <a:ext cx="7765053" cy="3940131"/>
        </a:xfrm>
        <a:prstGeom prst="rect">
          <a:avLst/>
        </a:prstGeom>
      </xdr:spPr>
    </xdr:pic>
    <xdr:clientData/>
  </xdr:twoCellAnchor>
  <xdr:twoCellAnchor>
    <xdr:from>
      <xdr:col>5</xdr:col>
      <xdr:colOff>604581</xdr:colOff>
      <xdr:row>12</xdr:row>
      <xdr:rowOff>102180</xdr:rowOff>
    </xdr:from>
    <xdr:to>
      <xdr:col>7</xdr:col>
      <xdr:colOff>375741</xdr:colOff>
      <xdr:row>12</xdr:row>
      <xdr:rowOff>141641</xdr:rowOff>
    </xdr:to>
    <xdr:cxnSp macro="">
      <xdr:nvCxnSpPr>
        <xdr:cNvPr id="3" name="Conector recto de flecha 2">
          <a:extLst>
            <a:ext uri="{FF2B5EF4-FFF2-40B4-BE49-F238E27FC236}">
              <a16:creationId xmlns:a16="http://schemas.microsoft.com/office/drawing/2014/main" id="{20E42227-4792-4BB9-98DA-FCBF3F25DA14}"/>
            </a:ext>
          </a:extLst>
        </xdr:cNvPr>
        <xdr:cNvCxnSpPr/>
      </xdr:nvCxnSpPr>
      <xdr:spPr>
        <a:xfrm>
          <a:off x="3876699" y="2253709"/>
          <a:ext cx="1008289" cy="39461"/>
        </a:xfrm>
        <a:prstGeom prst="straightConnector1">
          <a:avLst/>
        </a:prstGeom>
        <a:ln w="57150">
          <a:solidFill>
            <a:schemeClr val="bg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504266</xdr:colOff>
      <xdr:row>0</xdr:row>
      <xdr:rowOff>134471</xdr:rowOff>
    </xdr:from>
    <xdr:ext cx="1491932" cy="593304"/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8F7985-1043-4E73-9B46-2F4A6D71EE2C}"/>
            </a:ext>
          </a:extLst>
        </xdr:cNvPr>
        <xdr:cNvSpPr/>
      </xdr:nvSpPr>
      <xdr:spPr>
        <a:xfrm>
          <a:off x="5623113" y="134471"/>
          <a:ext cx="1491932" cy="593304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s-ES" sz="3200" b="0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SBS</a:t>
          </a:r>
          <a:endParaRPr lang="es-ES" sz="5400" b="0" cap="none" spc="0">
            <a:ln w="0">
              <a:solidFill>
                <a:schemeClr val="bg1"/>
              </a:solidFill>
            </a:ln>
            <a:solidFill>
              <a:schemeClr val="bg1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oneCellAnchor>
  <xdr:twoCellAnchor>
    <xdr:from>
      <xdr:col>14</xdr:col>
      <xdr:colOff>601620</xdr:colOff>
      <xdr:row>7</xdr:row>
      <xdr:rowOff>133235</xdr:rowOff>
    </xdr:from>
    <xdr:to>
      <xdr:col>16</xdr:col>
      <xdr:colOff>521338</xdr:colOff>
      <xdr:row>7</xdr:row>
      <xdr:rowOff>144121</xdr:rowOff>
    </xdr:to>
    <xdr:cxnSp macro="">
      <xdr:nvCxnSpPr>
        <xdr:cNvPr id="5" name="Conector recto de flecha 4">
          <a:extLst>
            <a:ext uri="{FF2B5EF4-FFF2-40B4-BE49-F238E27FC236}">
              <a16:creationId xmlns:a16="http://schemas.microsoft.com/office/drawing/2014/main" id="{4E640A90-4F58-449E-A3F7-3C8FAB6D6A27}"/>
            </a:ext>
          </a:extLst>
        </xdr:cNvPr>
        <xdr:cNvCxnSpPr/>
      </xdr:nvCxnSpPr>
      <xdr:spPr>
        <a:xfrm flipH="1" flipV="1">
          <a:off x="9378067" y="1388294"/>
          <a:ext cx="1138918" cy="10886"/>
        </a:xfrm>
        <a:prstGeom prst="straightConnector1">
          <a:avLst/>
        </a:prstGeom>
        <a:ln w="57150">
          <a:solidFill>
            <a:schemeClr val="bg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378463</xdr:colOff>
      <xdr:row>3</xdr:row>
      <xdr:rowOff>115627</xdr:rowOff>
    </xdr:from>
    <xdr:to>
      <xdr:col>9</xdr:col>
      <xdr:colOff>498206</xdr:colOff>
      <xdr:row>7</xdr:row>
      <xdr:rowOff>72004</xdr:rowOff>
    </xdr:to>
    <xdr:cxnSp macro="">
      <xdr:nvCxnSpPr>
        <xdr:cNvPr id="6" name="Conector recto de flecha 5">
          <a:extLst>
            <a:ext uri="{FF2B5EF4-FFF2-40B4-BE49-F238E27FC236}">
              <a16:creationId xmlns:a16="http://schemas.microsoft.com/office/drawing/2014/main" id="{6B627286-60CC-45B0-A526-3B28E9090F65}"/>
            </a:ext>
          </a:extLst>
        </xdr:cNvPr>
        <xdr:cNvCxnSpPr/>
      </xdr:nvCxnSpPr>
      <xdr:spPr>
        <a:xfrm flipH="1">
          <a:off x="6106910" y="653509"/>
          <a:ext cx="119743" cy="673554"/>
        </a:xfrm>
        <a:prstGeom prst="straightConnector1">
          <a:avLst/>
        </a:prstGeom>
        <a:ln w="57150">
          <a:solidFill>
            <a:schemeClr val="bg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86184</xdr:colOff>
      <xdr:row>1</xdr:row>
      <xdr:rowOff>171234</xdr:rowOff>
    </xdr:from>
    <xdr:to>
      <xdr:col>9</xdr:col>
      <xdr:colOff>16445</xdr:colOff>
      <xdr:row>6</xdr:row>
      <xdr:rowOff>30663</xdr:rowOff>
    </xdr:to>
    <xdr:grpSp>
      <xdr:nvGrpSpPr>
        <xdr:cNvPr id="7" name="Grupo 6">
          <a:extLst>
            <a:ext uri="{FF2B5EF4-FFF2-40B4-BE49-F238E27FC236}">
              <a16:creationId xmlns:a16="http://schemas.microsoft.com/office/drawing/2014/main" id="{F04D157A-6BD3-4035-BAD4-5753C8D25196}"/>
            </a:ext>
          </a:extLst>
        </xdr:cNvPr>
        <xdr:cNvGrpSpPr/>
      </xdr:nvGrpSpPr>
      <xdr:grpSpPr>
        <a:xfrm rot="6278679" flipV="1">
          <a:off x="5088454" y="461400"/>
          <a:ext cx="759975" cy="539861"/>
          <a:chOff x="6143625" y="409575"/>
          <a:chExt cx="1266825" cy="466725"/>
        </a:xfrm>
      </xdr:grpSpPr>
      <xdr:cxnSp macro="">
        <xdr:nvCxnSpPr>
          <xdr:cNvPr id="8" name="Conector recto de flecha 7">
            <a:extLst>
              <a:ext uri="{FF2B5EF4-FFF2-40B4-BE49-F238E27FC236}">
                <a16:creationId xmlns:a16="http://schemas.microsoft.com/office/drawing/2014/main" id="{73D51192-86A8-3829-BB0F-2B1CB052526F}"/>
              </a:ext>
            </a:extLst>
          </xdr:cNvPr>
          <xdr:cNvCxnSpPr/>
        </xdr:nvCxnSpPr>
        <xdr:spPr>
          <a:xfrm flipH="1" flipV="1">
            <a:off x="7391400" y="409575"/>
            <a:ext cx="19050" cy="457200"/>
          </a:xfrm>
          <a:prstGeom prst="straightConnector1">
            <a:avLst/>
          </a:prstGeom>
          <a:ln w="57150">
            <a:solidFill>
              <a:schemeClr val="bg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" name="Conector recto 8">
            <a:extLst>
              <a:ext uri="{FF2B5EF4-FFF2-40B4-BE49-F238E27FC236}">
                <a16:creationId xmlns:a16="http://schemas.microsoft.com/office/drawing/2014/main" id="{D2D502EB-7DA5-1E6A-3B88-263EB8B751E1}"/>
              </a:ext>
            </a:extLst>
          </xdr:cNvPr>
          <xdr:cNvCxnSpPr/>
        </xdr:nvCxnSpPr>
        <xdr:spPr>
          <a:xfrm flipH="1">
            <a:off x="6143625" y="838200"/>
            <a:ext cx="1266825" cy="38100"/>
          </a:xfrm>
          <a:prstGeom prst="line">
            <a:avLst/>
          </a:prstGeom>
          <a:ln w="76200">
            <a:solidFill>
              <a:schemeClr val="bg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473677</xdr:colOff>
      <xdr:row>3</xdr:row>
      <xdr:rowOff>50780</xdr:rowOff>
    </xdr:from>
    <xdr:to>
      <xdr:col>11</xdr:col>
      <xdr:colOff>401637</xdr:colOff>
      <xdr:row>7</xdr:row>
      <xdr:rowOff>89503</xdr:rowOff>
    </xdr:to>
    <xdr:grpSp>
      <xdr:nvGrpSpPr>
        <xdr:cNvPr id="10" name="Grupo 9">
          <a:extLst>
            <a:ext uri="{FF2B5EF4-FFF2-40B4-BE49-F238E27FC236}">
              <a16:creationId xmlns:a16="http://schemas.microsoft.com/office/drawing/2014/main" id="{221A5C3A-3BF0-428A-820A-BFCE2AD3DCA2}"/>
            </a:ext>
          </a:extLst>
        </xdr:cNvPr>
        <xdr:cNvGrpSpPr/>
      </xdr:nvGrpSpPr>
      <xdr:grpSpPr>
        <a:xfrm rot="5677121">
          <a:off x="6694404" y="701907"/>
          <a:ext cx="759160" cy="537560"/>
          <a:chOff x="6143625" y="409575"/>
          <a:chExt cx="1266825" cy="466725"/>
        </a:xfrm>
      </xdr:grpSpPr>
      <xdr:cxnSp macro="">
        <xdr:nvCxnSpPr>
          <xdr:cNvPr id="11" name="Conector recto de flecha 10">
            <a:extLst>
              <a:ext uri="{FF2B5EF4-FFF2-40B4-BE49-F238E27FC236}">
                <a16:creationId xmlns:a16="http://schemas.microsoft.com/office/drawing/2014/main" id="{67DC24D8-FDFE-3E24-BD10-97AC814835B0}"/>
              </a:ext>
            </a:extLst>
          </xdr:cNvPr>
          <xdr:cNvCxnSpPr/>
        </xdr:nvCxnSpPr>
        <xdr:spPr>
          <a:xfrm flipH="1" flipV="1">
            <a:off x="7391400" y="409575"/>
            <a:ext cx="19050" cy="457200"/>
          </a:xfrm>
          <a:prstGeom prst="straightConnector1">
            <a:avLst/>
          </a:prstGeom>
          <a:ln w="57150">
            <a:solidFill>
              <a:schemeClr val="bg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2" name="Conector recto 11">
            <a:extLst>
              <a:ext uri="{FF2B5EF4-FFF2-40B4-BE49-F238E27FC236}">
                <a16:creationId xmlns:a16="http://schemas.microsoft.com/office/drawing/2014/main" id="{91974596-2F3A-6E22-0148-7F4C5E438863}"/>
              </a:ext>
            </a:extLst>
          </xdr:cNvPr>
          <xdr:cNvCxnSpPr/>
        </xdr:nvCxnSpPr>
        <xdr:spPr>
          <a:xfrm flipH="1">
            <a:off x="6143625" y="838200"/>
            <a:ext cx="1266825" cy="38100"/>
          </a:xfrm>
          <a:prstGeom prst="line">
            <a:avLst/>
          </a:prstGeom>
          <a:ln w="76200">
            <a:solidFill>
              <a:schemeClr val="bg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15</xdr:col>
      <xdr:colOff>166191</xdr:colOff>
      <xdr:row>14</xdr:row>
      <xdr:rowOff>105541</xdr:rowOff>
    </xdr:from>
    <xdr:to>
      <xdr:col>15</xdr:col>
      <xdr:colOff>489794</xdr:colOff>
      <xdr:row>19</xdr:row>
      <xdr:rowOff>74744</xdr:rowOff>
    </xdr:to>
    <xdr:cxnSp macro="">
      <xdr:nvCxnSpPr>
        <xdr:cNvPr id="13" name="Conector recto de flecha 12">
          <a:extLst>
            <a:ext uri="{FF2B5EF4-FFF2-40B4-BE49-F238E27FC236}">
              <a16:creationId xmlns:a16="http://schemas.microsoft.com/office/drawing/2014/main" id="{E7C75854-B342-4217-A3CA-B3777CCB32B3}"/>
            </a:ext>
          </a:extLst>
        </xdr:cNvPr>
        <xdr:cNvCxnSpPr/>
      </xdr:nvCxnSpPr>
      <xdr:spPr>
        <a:xfrm flipH="1" flipV="1">
          <a:off x="9552238" y="2615659"/>
          <a:ext cx="323603" cy="865673"/>
        </a:xfrm>
        <a:prstGeom prst="straightConnector1">
          <a:avLst/>
        </a:prstGeom>
        <a:ln w="57150">
          <a:solidFill>
            <a:schemeClr val="bg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559401</xdr:colOff>
      <xdr:row>15</xdr:row>
      <xdr:rowOff>136263</xdr:rowOff>
    </xdr:from>
    <xdr:to>
      <xdr:col>14</xdr:col>
      <xdr:colOff>491443</xdr:colOff>
      <xdr:row>19</xdr:row>
      <xdr:rowOff>170905</xdr:rowOff>
    </xdr:to>
    <xdr:grpSp>
      <xdr:nvGrpSpPr>
        <xdr:cNvPr id="14" name="Grupo 13">
          <a:extLst>
            <a:ext uri="{FF2B5EF4-FFF2-40B4-BE49-F238E27FC236}">
              <a16:creationId xmlns:a16="http://schemas.microsoft.com/office/drawing/2014/main" id="{2EA5AAFC-D138-4834-823E-7DFB3A659462}"/>
            </a:ext>
          </a:extLst>
        </xdr:cNvPr>
        <xdr:cNvGrpSpPr/>
      </xdr:nvGrpSpPr>
      <xdr:grpSpPr>
        <a:xfrm rot="15643208">
          <a:off x="8613009" y="2944618"/>
          <a:ext cx="755079" cy="541642"/>
          <a:chOff x="6143625" y="409575"/>
          <a:chExt cx="1266825" cy="466725"/>
        </a:xfrm>
      </xdr:grpSpPr>
      <xdr:cxnSp macro="">
        <xdr:nvCxnSpPr>
          <xdr:cNvPr id="15" name="Conector recto de flecha 14">
            <a:extLst>
              <a:ext uri="{FF2B5EF4-FFF2-40B4-BE49-F238E27FC236}">
                <a16:creationId xmlns:a16="http://schemas.microsoft.com/office/drawing/2014/main" id="{B8AABA61-94CE-B0E7-01BA-548FA5C69952}"/>
              </a:ext>
            </a:extLst>
          </xdr:cNvPr>
          <xdr:cNvCxnSpPr/>
        </xdr:nvCxnSpPr>
        <xdr:spPr>
          <a:xfrm flipH="1" flipV="1">
            <a:off x="7391400" y="409575"/>
            <a:ext cx="19050" cy="457200"/>
          </a:xfrm>
          <a:prstGeom prst="straightConnector1">
            <a:avLst/>
          </a:prstGeom>
          <a:ln w="57150">
            <a:solidFill>
              <a:schemeClr val="bg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6" name="Conector recto 15">
            <a:extLst>
              <a:ext uri="{FF2B5EF4-FFF2-40B4-BE49-F238E27FC236}">
                <a16:creationId xmlns:a16="http://schemas.microsoft.com/office/drawing/2014/main" id="{9CED7936-B8F5-2020-9F22-3AADB2F9A1E1}"/>
              </a:ext>
            </a:extLst>
          </xdr:cNvPr>
          <xdr:cNvCxnSpPr/>
        </xdr:nvCxnSpPr>
        <xdr:spPr>
          <a:xfrm flipH="1">
            <a:off x="6143625" y="838200"/>
            <a:ext cx="1266825" cy="38100"/>
          </a:xfrm>
          <a:prstGeom prst="line">
            <a:avLst/>
          </a:prstGeom>
          <a:ln w="76200">
            <a:solidFill>
              <a:schemeClr val="bg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572927</xdr:colOff>
      <xdr:row>14</xdr:row>
      <xdr:rowOff>158689</xdr:rowOff>
    </xdr:from>
    <xdr:to>
      <xdr:col>7</xdr:col>
      <xdr:colOff>103945</xdr:colOff>
      <xdr:row>17</xdr:row>
      <xdr:rowOff>168537</xdr:rowOff>
    </xdr:to>
    <xdr:grpSp>
      <xdr:nvGrpSpPr>
        <xdr:cNvPr id="17" name="Grupo 16">
          <a:extLst>
            <a:ext uri="{FF2B5EF4-FFF2-40B4-BE49-F238E27FC236}">
              <a16:creationId xmlns:a16="http://schemas.microsoft.com/office/drawing/2014/main" id="{B403B4AF-BCB0-4532-83B4-DAEEC2F9FA51}"/>
            </a:ext>
          </a:extLst>
        </xdr:cNvPr>
        <xdr:cNvGrpSpPr/>
      </xdr:nvGrpSpPr>
      <xdr:grpSpPr>
        <a:xfrm rot="367890" flipV="1">
          <a:off x="3842600" y="2680216"/>
          <a:ext cx="764072" cy="550176"/>
          <a:chOff x="6143625" y="409575"/>
          <a:chExt cx="1266825" cy="466725"/>
        </a:xfrm>
      </xdr:grpSpPr>
      <xdr:cxnSp macro="">
        <xdr:nvCxnSpPr>
          <xdr:cNvPr id="18" name="Conector recto de flecha 17">
            <a:extLst>
              <a:ext uri="{FF2B5EF4-FFF2-40B4-BE49-F238E27FC236}">
                <a16:creationId xmlns:a16="http://schemas.microsoft.com/office/drawing/2014/main" id="{1E6CBE2A-5187-AAAA-9B97-28335C294E7C}"/>
              </a:ext>
            </a:extLst>
          </xdr:cNvPr>
          <xdr:cNvCxnSpPr/>
        </xdr:nvCxnSpPr>
        <xdr:spPr>
          <a:xfrm flipH="1" flipV="1">
            <a:off x="7391400" y="409575"/>
            <a:ext cx="19050" cy="457200"/>
          </a:xfrm>
          <a:prstGeom prst="straightConnector1">
            <a:avLst/>
          </a:prstGeom>
          <a:ln w="57150">
            <a:solidFill>
              <a:schemeClr val="bg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9" name="Conector recto 18">
            <a:extLst>
              <a:ext uri="{FF2B5EF4-FFF2-40B4-BE49-F238E27FC236}">
                <a16:creationId xmlns:a16="http://schemas.microsoft.com/office/drawing/2014/main" id="{C87A3FCF-1E01-FD58-D35F-5B482F22E904}"/>
              </a:ext>
            </a:extLst>
          </xdr:cNvPr>
          <xdr:cNvCxnSpPr/>
        </xdr:nvCxnSpPr>
        <xdr:spPr>
          <a:xfrm flipH="1">
            <a:off x="6143625" y="838200"/>
            <a:ext cx="1266825" cy="38100"/>
          </a:xfrm>
          <a:prstGeom prst="line">
            <a:avLst/>
          </a:prstGeom>
          <a:ln w="76200">
            <a:solidFill>
              <a:schemeClr val="bg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202003</xdr:colOff>
      <xdr:row>2</xdr:row>
      <xdr:rowOff>167315</xdr:rowOff>
    </xdr:from>
    <xdr:to>
      <xdr:col>15</xdr:col>
      <xdr:colOff>360549</xdr:colOff>
      <xdr:row>5</xdr:row>
      <xdr:rowOff>161128</xdr:rowOff>
    </xdr:to>
    <xdr:grpSp>
      <xdr:nvGrpSpPr>
        <xdr:cNvPr id="20" name="Grupo 19">
          <a:extLst>
            <a:ext uri="{FF2B5EF4-FFF2-40B4-BE49-F238E27FC236}">
              <a16:creationId xmlns:a16="http://schemas.microsoft.com/office/drawing/2014/main" id="{A37A4C05-34ED-4EDE-9D6E-4BC215891347}"/>
            </a:ext>
          </a:extLst>
        </xdr:cNvPr>
        <xdr:cNvGrpSpPr/>
      </xdr:nvGrpSpPr>
      <xdr:grpSpPr>
        <a:xfrm rot="10032337" flipV="1">
          <a:off x="8971930" y="527533"/>
          <a:ext cx="768146" cy="534140"/>
          <a:chOff x="6143625" y="409575"/>
          <a:chExt cx="1266825" cy="466725"/>
        </a:xfrm>
      </xdr:grpSpPr>
      <xdr:cxnSp macro="">
        <xdr:nvCxnSpPr>
          <xdr:cNvPr id="21" name="Conector recto de flecha 20">
            <a:extLst>
              <a:ext uri="{FF2B5EF4-FFF2-40B4-BE49-F238E27FC236}">
                <a16:creationId xmlns:a16="http://schemas.microsoft.com/office/drawing/2014/main" id="{F8EB4094-C322-F6D2-8192-84E227EDC4D7}"/>
              </a:ext>
            </a:extLst>
          </xdr:cNvPr>
          <xdr:cNvCxnSpPr/>
        </xdr:nvCxnSpPr>
        <xdr:spPr>
          <a:xfrm flipH="1" flipV="1">
            <a:off x="7391400" y="409575"/>
            <a:ext cx="19050" cy="457200"/>
          </a:xfrm>
          <a:prstGeom prst="straightConnector1">
            <a:avLst/>
          </a:prstGeom>
          <a:ln w="57150">
            <a:solidFill>
              <a:schemeClr val="bg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2" name="Conector recto 21">
            <a:extLst>
              <a:ext uri="{FF2B5EF4-FFF2-40B4-BE49-F238E27FC236}">
                <a16:creationId xmlns:a16="http://schemas.microsoft.com/office/drawing/2014/main" id="{376A44FC-0AB3-71A3-CB79-E908F73FAAF7}"/>
              </a:ext>
            </a:extLst>
          </xdr:cNvPr>
          <xdr:cNvCxnSpPr/>
        </xdr:nvCxnSpPr>
        <xdr:spPr>
          <a:xfrm flipH="1">
            <a:off x="6143625" y="838200"/>
            <a:ext cx="1266825" cy="38100"/>
          </a:xfrm>
          <a:prstGeom prst="line">
            <a:avLst/>
          </a:prstGeom>
          <a:ln w="76200">
            <a:solidFill>
              <a:schemeClr val="bg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15</xdr:col>
      <xdr:colOff>352940</xdr:colOff>
      <xdr:row>9</xdr:row>
      <xdr:rowOff>78187</xdr:rowOff>
    </xdr:from>
    <xdr:to>
      <xdr:col>16</xdr:col>
      <xdr:colOff>511487</xdr:colOff>
      <xdr:row>12</xdr:row>
      <xdr:rowOff>69700</xdr:rowOff>
    </xdr:to>
    <xdr:grpSp>
      <xdr:nvGrpSpPr>
        <xdr:cNvPr id="23" name="Grupo 22">
          <a:extLst>
            <a:ext uri="{FF2B5EF4-FFF2-40B4-BE49-F238E27FC236}">
              <a16:creationId xmlns:a16="http://schemas.microsoft.com/office/drawing/2014/main" id="{24BC9789-583A-4CE2-86B2-D2168C69E0DE}"/>
            </a:ext>
          </a:extLst>
        </xdr:cNvPr>
        <xdr:cNvGrpSpPr/>
      </xdr:nvGrpSpPr>
      <xdr:grpSpPr>
        <a:xfrm rot="10427031">
          <a:off x="9732467" y="1699169"/>
          <a:ext cx="768147" cy="531840"/>
          <a:chOff x="6143625" y="409575"/>
          <a:chExt cx="1266825" cy="466725"/>
        </a:xfrm>
      </xdr:grpSpPr>
      <xdr:cxnSp macro="">
        <xdr:nvCxnSpPr>
          <xdr:cNvPr id="24" name="Conector recto de flecha 23">
            <a:extLst>
              <a:ext uri="{FF2B5EF4-FFF2-40B4-BE49-F238E27FC236}">
                <a16:creationId xmlns:a16="http://schemas.microsoft.com/office/drawing/2014/main" id="{85561B47-CD15-8C9A-A4CD-C33623379EB6}"/>
              </a:ext>
            </a:extLst>
          </xdr:cNvPr>
          <xdr:cNvCxnSpPr/>
        </xdr:nvCxnSpPr>
        <xdr:spPr>
          <a:xfrm flipH="1" flipV="1">
            <a:off x="7391400" y="409575"/>
            <a:ext cx="19050" cy="457200"/>
          </a:xfrm>
          <a:prstGeom prst="straightConnector1">
            <a:avLst/>
          </a:prstGeom>
          <a:ln w="57150">
            <a:solidFill>
              <a:schemeClr val="bg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5" name="Conector recto 24">
            <a:extLst>
              <a:ext uri="{FF2B5EF4-FFF2-40B4-BE49-F238E27FC236}">
                <a16:creationId xmlns:a16="http://schemas.microsoft.com/office/drawing/2014/main" id="{3641B29E-FC08-5D9B-51DF-1F2867B675F4}"/>
              </a:ext>
            </a:extLst>
          </xdr:cNvPr>
          <xdr:cNvCxnSpPr/>
        </xdr:nvCxnSpPr>
        <xdr:spPr>
          <a:xfrm flipH="1">
            <a:off x="6143625" y="838200"/>
            <a:ext cx="1266825" cy="38100"/>
          </a:xfrm>
          <a:prstGeom prst="line">
            <a:avLst/>
          </a:prstGeom>
          <a:ln w="76200">
            <a:solidFill>
              <a:schemeClr val="bg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oneCellAnchor>
    <xdr:from>
      <xdr:col>13</xdr:col>
      <xdr:colOff>263420</xdr:colOff>
      <xdr:row>19</xdr:row>
      <xdr:rowOff>116061</xdr:rowOff>
    </xdr:from>
    <xdr:ext cx="1491932" cy="593304"/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3DEC255F-6087-4C5D-AFDC-99ACF9E217BF}"/>
            </a:ext>
          </a:extLst>
        </xdr:cNvPr>
        <xdr:cNvSpPr/>
      </xdr:nvSpPr>
      <xdr:spPr>
        <a:xfrm>
          <a:off x="8430267" y="3522649"/>
          <a:ext cx="1491932" cy="593304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s-ES" sz="3200" b="0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NBL</a:t>
          </a:r>
          <a:endParaRPr lang="es-ES" sz="5400" b="0" cap="none" spc="0">
            <a:ln w="0">
              <a:solidFill>
                <a:schemeClr val="bg1"/>
              </a:solidFill>
            </a:ln>
            <a:solidFill>
              <a:schemeClr val="bg1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oneCellAnchor>
  <xdr:oneCellAnchor>
    <xdr:from>
      <xdr:col>14</xdr:col>
      <xdr:colOff>538283</xdr:colOff>
      <xdr:row>19</xdr:row>
      <xdr:rowOff>126947</xdr:rowOff>
    </xdr:from>
    <xdr:ext cx="1491932" cy="593304"/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C34FAD4A-9F70-4A19-99C8-2B2CC99324EE}"/>
            </a:ext>
          </a:extLst>
        </xdr:cNvPr>
        <xdr:cNvSpPr/>
      </xdr:nvSpPr>
      <xdr:spPr>
        <a:xfrm>
          <a:off x="9314730" y="3533535"/>
          <a:ext cx="1491932" cy="593304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s-ES" sz="3200" b="0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NBS</a:t>
          </a:r>
          <a:endParaRPr lang="es-ES" sz="5400" b="0" cap="none" spc="0">
            <a:ln w="0">
              <a:solidFill>
                <a:schemeClr val="bg1"/>
              </a:solidFill>
            </a:ln>
            <a:solidFill>
              <a:schemeClr val="bg1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oneCellAnchor>
  <xdr:oneCellAnchor>
    <xdr:from>
      <xdr:col>10</xdr:col>
      <xdr:colOff>217155</xdr:colOff>
      <xdr:row>1</xdr:row>
      <xdr:rowOff>157923</xdr:rowOff>
    </xdr:from>
    <xdr:ext cx="1491932" cy="593304"/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AD1D4934-7F89-41B0-94C2-94090679C2CB}"/>
            </a:ext>
          </a:extLst>
        </xdr:cNvPr>
        <xdr:cNvSpPr/>
      </xdr:nvSpPr>
      <xdr:spPr>
        <a:xfrm>
          <a:off x="6555202" y="337217"/>
          <a:ext cx="1491932" cy="593304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s-ES" sz="3200" b="0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SBL</a:t>
          </a:r>
          <a:endParaRPr lang="es-ES" sz="5400" b="0" cap="none" spc="0">
            <a:ln w="0">
              <a:solidFill>
                <a:schemeClr val="bg1"/>
              </a:solidFill>
            </a:ln>
            <a:solidFill>
              <a:schemeClr val="bg1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oneCellAnchor>
  <xdr:oneCellAnchor>
    <xdr:from>
      <xdr:col>7</xdr:col>
      <xdr:colOff>94691</xdr:colOff>
      <xdr:row>2</xdr:row>
      <xdr:rowOff>87486</xdr:rowOff>
    </xdr:from>
    <xdr:ext cx="1491932" cy="593304"/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99B41DDB-E05D-4DD9-8B17-1F2B9088F98E}"/>
            </a:ext>
          </a:extLst>
        </xdr:cNvPr>
        <xdr:cNvSpPr/>
      </xdr:nvSpPr>
      <xdr:spPr>
        <a:xfrm>
          <a:off x="4603938" y="446074"/>
          <a:ext cx="1491932" cy="593304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s-ES" sz="3200" b="0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SBR</a:t>
          </a:r>
          <a:endParaRPr lang="es-ES" sz="5400" b="0" cap="none" spc="0">
            <a:ln w="0">
              <a:solidFill>
                <a:schemeClr val="bg1"/>
              </a:solidFill>
            </a:ln>
            <a:solidFill>
              <a:schemeClr val="bg1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oneCellAnchor>
  <xdr:oneCellAnchor>
    <xdr:from>
      <xdr:col>4</xdr:col>
      <xdr:colOff>261899</xdr:colOff>
      <xdr:row>10</xdr:row>
      <xdr:rowOff>140393</xdr:rowOff>
    </xdr:from>
    <xdr:ext cx="1491932" cy="593304"/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E17FC51E-B49B-4E9F-9707-C2C9B457A677}"/>
            </a:ext>
          </a:extLst>
        </xdr:cNvPr>
        <xdr:cNvSpPr/>
      </xdr:nvSpPr>
      <xdr:spPr>
        <a:xfrm>
          <a:off x="2700299" y="1933334"/>
          <a:ext cx="1491932" cy="593304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s-ES" sz="3200" b="0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EBS</a:t>
          </a:r>
          <a:endParaRPr lang="es-ES" sz="5400" b="0" cap="none" spc="0">
            <a:ln w="0">
              <a:solidFill>
                <a:schemeClr val="bg1"/>
              </a:solidFill>
            </a:ln>
            <a:solidFill>
              <a:schemeClr val="bg1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oneCellAnchor>
  <xdr:oneCellAnchor>
    <xdr:from>
      <xdr:col>4</xdr:col>
      <xdr:colOff>251012</xdr:colOff>
      <xdr:row>13</xdr:row>
      <xdr:rowOff>40660</xdr:rowOff>
    </xdr:from>
    <xdr:ext cx="1491932" cy="593304"/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AE4B2C86-D7DD-4665-B05E-DA3E54C1AD37}"/>
            </a:ext>
          </a:extLst>
        </xdr:cNvPr>
        <xdr:cNvSpPr/>
      </xdr:nvSpPr>
      <xdr:spPr>
        <a:xfrm>
          <a:off x="2689412" y="2371484"/>
          <a:ext cx="1491932" cy="593304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s-ES" sz="3200" b="0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EBR</a:t>
          </a:r>
          <a:endParaRPr lang="es-ES" sz="5400" b="0" cap="none" spc="0">
            <a:ln w="0">
              <a:solidFill>
                <a:schemeClr val="bg1"/>
              </a:solidFill>
            </a:ln>
            <a:solidFill>
              <a:schemeClr val="bg1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oneCellAnchor>
  <xdr:oneCellAnchor>
    <xdr:from>
      <xdr:col>4</xdr:col>
      <xdr:colOff>294555</xdr:colOff>
      <xdr:row>8</xdr:row>
      <xdr:rowOff>75799</xdr:rowOff>
    </xdr:from>
    <xdr:ext cx="1491932" cy="593304"/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32FF794E-525E-4876-9B3D-78958603CFDF}"/>
            </a:ext>
          </a:extLst>
        </xdr:cNvPr>
        <xdr:cNvSpPr/>
      </xdr:nvSpPr>
      <xdr:spPr>
        <a:xfrm>
          <a:off x="2732955" y="1510152"/>
          <a:ext cx="1491932" cy="593304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s-ES" sz="3200" b="0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EBL</a:t>
          </a:r>
          <a:endParaRPr lang="es-ES" sz="5400" b="0" cap="none" spc="0">
            <a:ln w="0">
              <a:solidFill>
                <a:schemeClr val="bg1"/>
              </a:solidFill>
            </a:ln>
            <a:solidFill>
              <a:schemeClr val="bg1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oneCellAnchor>
  <xdr:twoCellAnchor>
    <xdr:from>
      <xdr:col>6</xdr:col>
      <xdr:colOff>164094</xdr:colOff>
      <xdr:row>8</xdr:row>
      <xdr:rowOff>113517</xdr:rowOff>
    </xdr:from>
    <xdr:to>
      <xdr:col>7</xdr:col>
      <xdr:colOff>322641</xdr:colOff>
      <xdr:row>11</xdr:row>
      <xdr:rowOff>40953</xdr:rowOff>
    </xdr:to>
    <xdr:grpSp>
      <xdr:nvGrpSpPr>
        <xdr:cNvPr id="33" name="Grupo 32">
          <a:extLst>
            <a:ext uri="{FF2B5EF4-FFF2-40B4-BE49-F238E27FC236}">
              <a16:creationId xmlns:a16="http://schemas.microsoft.com/office/drawing/2014/main" id="{A7F133A1-B454-41FA-99C6-2B08465C82E5}"/>
            </a:ext>
          </a:extLst>
        </xdr:cNvPr>
        <xdr:cNvGrpSpPr/>
      </xdr:nvGrpSpPr>
      <xdr:grpSpPr>
        <a:xfrm rot="367890">
          <a:off x="4057221" y="1554390"/>
          <a:ext cx="768147" cy="467763"/>
          <a:chOff x="6143625" y="409575"/>
          <a:chExt cx="1266825" cy="466725"/>
        </a:xfrm>
      </xdr:grpSpPr>
      <xdr:cxnSp macro="">
        <xdr:nvCxnSpPr>
          <xdr:cNvPr id="34" name="Conector recto de flecha 33">
            <a:extLst>
              <a:ext uri="{FF2B5EF4-FFF2-40B4-BE49-F238E27FC236}">
                <a16:creationId xmlns:a16="http://schemas.microsoft.com/office/drawing/2014/main" id="{C87A30CD-82DB-50E1-91FB-A965B71C7B34}"/>
              </a:ext>
            </a:extLst>
          </xdr:cNvPr>
          <xdr:cNvCxnSpPr/>
        </xdr:nvCxnSpPr>
        <xdr:spPr>
          <a:xfrm flipH="1" flipV="1">
            <a:off x="7391400" y="409575"/>
            <a:ext cx="19050" cy="457200"/>
          </a:xfrm>
          <a:prstGeom prst="straightConnector1">
            <a:avLst/>
          </a:prstGeom>
          <a:ln w="57150">
            <a:solidFill>
              <a:schemeClr val="bg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5" name="Conector recto 34">
            <a:extLst>
              <a:ext uri="{FF2B5EF4-FFF2-40B4-BE49-F238E27FC236}">
                <a16:creationId xmlns:a16="http://schemas.microsoft.com/office/drawing/2014/main" id="{C218A188-D705-5F65-0FC2-5638678A7E5D}"/>
              </a:ext>
            </a:extLst>
          </xdr:cNvPr>
          <xdr:cNvCxnSpPr/>
        </xdr:nvCxnSpPr>
        <xdr:spPr>
          <a:xfrm flipH="1">
            <a:off x="6143625" y="838200"/>
            <a:ext cx="1266825" cy="38100"/>
          </a:xfrm>
          <a:prstGeom prst="line">
            <a:avLst/>
          </a:prstGeom>
          <a:ln w="76200">
            <a:solidFill>
              <a:schemeClr val="bg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oneCellAnchor>
    <xdr:from>
      <xdr:col>16</xdr:col>
      <xdr:colOff>59312</xdr:colOff>
      <xdr:row>4</xdr:row>
      <xdr:rowOff>173852</xdr:rowOff>
    </xdr:from>
    <xdr:ext cx="1491932" cy="593304"/>
    <xdr:sp macro="" textlink="">
      <xdr:nvSpPr>
        <xdr:cNvPr id="36" name="Rectángulo 35">
          <a:extLst>
            <a:ext uri="{FF2B5EF4-FFF2-40B4-BE49-F238E27FC236}">
              <a16:creationId xmlns:a16="http://schemas.microsoft.com/office/drawing/2014/main" id="{85660931-D20F-453C-B35B-06460810C892}"/>
            </a:ext>
          </a:extLst>
        </xdr:cNvPr>
        <xdr:cNvSpPr/>
      </xdr:nvSpPr>
      <xdr:spPr>
        <a:xfrm>
          <a:off x="10054959" y="891028"/>
          <a:ext cx="1491932" cy="593304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s-ES" sz="3200" b="0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WBS</a:t>
          </a:r>
          <a:endParaRPr lang="es-ES" sz="5400" b="0" cap="none" spc="0">
            <a:ln w="0">
              <a:solidFill>
                <a:schemeClr val="bg1"/>
              </a:solidFill>
            </a:ln>
            <a:solidFill>
              <a:schemeClr val="bg1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oneCellAnchor>
  <xdr:oneCellAnchor>
    <xdr:from>
      <xdr:col>16</xdr:col>
      <xdr:colOff>109658</xdr:colOff>
      <xdr:row>7</xdr:row>
      <xdr:rowOff>178895</xdr:rowOff>
    </xdr:from>
    <xdr:ext cx="1491932" cy="593304"/>
    <xdr:sp macro="" textlink="">
      <xdr:nvSpPr>
        <xdr:cNvPr id="37" name="Rectángulo 36">
          <a:extLst>
            <a:ext uri="{FF2B5EF4-FFF2-40B4-BE49-F238E27FC236}">
              <a16:creationId xmlns:a16="http://schemas.microsoft.com/office/drawing/2014/main" id="{DAFFA69D-382F-4BDF-B206-CFC7ED013E09}"/>
            </a:ext>
          </a:extLst>
        </xdr:cNvPr>
        <xdr:cNvSpPr/>
      </xdr:nvSpPr>
      <xdr:spPr>
        <a:xfrm>
          <a:off x="10105305" y="1433954"/>
          <a:ext cx="1491932" cy="593304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s-ES" sz="3200" b="0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WBL</a:t>
          </a:r>
          <a:endParaRPr lang="es-ES" sz="5400" b="0" cap="none" spc="0">
            <a:ln w="0">
              <a:solidFill>
                <a:schemeClr val="bg1"/>
              </a:solidFill>
            </a:ln>
            <a:solidFill>
              <a:schemeClr val="bg1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oneCellAnchor>
  <xdr:oneCellAnchor>
    <xdr:from>
      <xdr:col>14</xdr:col>
      <xdr:colOff>603597</xdr:colOff>
      <xdr:row>2</xdr:row>
      <xdr:rowOff>65716</xdr:rowOff>
    </xdr:from>
    <xdr:ext cx="1491932" cy="593304"/>
    <xdr:sp macro="" textlink="">
      <xdr:nvSpPr>
        <xdr:cNvPr id="38" name="Rectángulo 37">
          <a:extLst>
            <a:ext uri="{FF2B5EF4-FFF2-40B4-BE49-F238E27FC236}">
              <a16:creationId xmlns:a16="http://schemas.microsoft.com/office/drawing/2014/main" id="{15490D28-954A-417C-8EF5-CB478F059D27}"/>
            </a:ext>
          </a:extLst>
        </xdr:cNvPr>
        <xdr:cNvSpPr/>
      </xdr:nvSpPr>
      <xdr:spPr>
        <a:xfrm>
          <a:off x="9380044" y="424304"/>
          <a:ext cx="1491932" cy="593304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s-ES" sz="3200" b="0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WBR</a:t>
          </a:r>
          <a:endParaRPr lang="es-ES" sz="5400" b="0" cap="none" spc="0">
            <a:ln w="0">
              <a:solidFill>
                <a:schemeClr val="bg1"/>
              </a:solidFill>
            </a:ln>
            <a:solidFill>
              <a:schemeClr val="bg1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Z80"/>
  <sheetViews>
    <sheetView tabSelected="1" topLeftCell="A7" zoomScale="55" zoomScaleNormal="55" workbookViewId="0">
      <selection activeCell="L25" sqref="L25"/>
    </sheetView>
  </sheetViews>
  <sheetFormatPr baseColWidth="10" defaultColWidth="8.88671875" defaultRowHeight="14.4" x14ac:dyDescent="0.3"/>
  <cols>
    <col min="5" max="5" width="12.109375" customWidth="1"/>
    <col min="6" max="6" width="9.109375" bestFit="1" customWidth="1"/>
    <col min="18" max="18" width="11.88671875" customWidth="1"/>
    <col min="19" max="19" width="12.33203125" customWidth="1"/>
    <col min="22" max="22" width="10.44140625" bestFit="1" customWidth="1"/>
    <col min="26" max="26" width="9.33203125" bestFit="1" customWidth="1"/>
  </cols>
  <sheetData>
    <row r="1" spans="2:2" x14ac:dyDescent="0.3">
      <c r="B1">
        <f>1009+125+1205+395+49+127+45+56+130+284+357</f>
        <v>3782</v>
      </c>
    </row>
    <row r="27" spans="2:22" x14ac:dyDescent="0.3">
      <c r="B27" s="1"/>
      <c r="C27" s="41" t="s">
        <v>0</v>
      </c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3"/>
      <c r="T27" s="1"/>
      <c r="U27" s="1"/>
      <c r="V27" s="1"/>
    </row>
    <row r="28" spans="2:22" ht="28.8" x14ac:dyDescent="0.3">
      <c r="B28" s="1"/>
      <c r="C28" s="44" t="s">
        <v>1</v>
      </c>
      <c r="D28" s="45"/>
      <c r="E28" s="26" t="s">
        <v>2</v>
      </c>
      <c r="F28" s="26" t="s">
        <v>3</v>
      </c>
      <c r="G28" s="26" t="s">
        <v>4</v>
      </c>
      <c r="H28" s="26" t="s">
        <v>5</v>
      </c>
      <c r="I28" s="26" t="s">
        <v>6</v>
      </c>
      <c r="J28" s="26" t="s">
        <v>7</v>
      </c>
      <c r="K28" s="26" t="s">
        <v>8</v>
      </c>
      <c r="L28" s="26" t="s">
        <v>9</v>
      </c>
      <c r="M28" s="26" t="s">
        <v>10</v>
      </c>
      <c r="N28" s="26" t="s">
        <v>11</v>
      </c>
      <c r="O28" s="27" t="s">
        <v>12</v>
      </c>
      <c r="P28" s="28" t="s">
        <v>13</v>
      </c>
      <c r="Q28" s="9" t="s">
        <v>14</v>
      </c>
      <c r="R28" s="28" t="s">
        <v>15</v>
      </c>
      <c r="S28" s="35" t="s">
        <v>16</v>
      </c>
      <c r="T28" s="1"/>
      <c r="U28" s="1"/>
      <c r="V28" s="1"/>
    </row>
    <row r="29" spans="2:22" x14ac:dyDescent="0.3">
      <c r="B29" s="46" t="s">
        <v>17</v>
      </c>
      <c r="C29" s="3">
        <v>0.58333333333333337</v>
      </c>
      <c r="D29" s="14">
        <v>0.59375</v>
      </c>
      <c r="E29" s="11">
        <v>34</v>
      </c>
      <c r="F29" s="33">
        <v>227</v>
      </c>
      <c r="G29" s="11">
        <v>26</v>
      </c>
      <c r="H29" s="33">
        <v>22</v>
      </c>
      <c r="I29" s="11"/>
      <c r="J29" s="33">
        <v>6</v>
      </c>
      <c r="K29" s="11">
        <v>1</v>
      </c>
      <c r="L29" s="33"/>
      <c r="M29" s="11"/>
      <c r="N29" s="33"/>
      <c r="O29" s="17"/>
      <c r="P29" s="11">
        <f t="shared" ref="P29:P72" si="0">SUM(E29:O29)+S29</f>
        <v>318</v>
      </c>
      <c r="Q29" s="49">
        <f>SUM(P29:P32)</f>
        <v>1017</v>
      </c>
      <c r="R29" s="17">
        <v>6</v>
      </c>
      <c r="S29" s="11">
        <v>2</v>
      </c>
      <c r="T29" s="1"/>
      <c r="U29" s="1"/>
      <c r="V29" s="1"/>
    </row>
    <row r="30" spans="2:22" x14ac:dyDescent="0.3">
      <c r="B30" s="47"/>
      <c r="C30" s="4">
        <v>0.59375</v>
      </c>
      <c r="D30" s="15">
        <v>0.60416666666666663</v>
      </c>
      <c r="E30" s="12">
        <v>27</v>
      </c>
      <c r="F30" s="31">
        <v>156</v>
      </c>
      <c r="G30" s="12">
        <v>33</v>
      </c>
      <c r="H30" s="31">
        <v>16</v>
      </c>
      <c r="I30" s="12"/>
      <c r="J30" s="31">
        <v>5</v>
      </c>
      <c r="K30" s="12"/>
      <c r="L30" s="31"/>
      <c r="M30" s="12"/>
      <c r="N30" s="31"/>
      <c r="O30" s="18"/>
      <c r="P30" s="12">
        <f t="shared" si="0"/>
        <v>238</v>
      </c>
      <c r="Q30" s="50"/>
      <c r="R30" s="18">
        <v>7</v>
      </c>
      <c r="S30" s="12">
        <v>1</v>
      </c>
      <c r="T30" s="1"/>
      <c r="U30" s="1"/>
      <c r="V30" s="1"/>
    </row>
    <row r="31" spans="2:22" x14ac:dyDescent="0.3">
      <c r="B31" s="47"/>
      <c r="C31" s="4">
        <v>0.60416666666666663</v>
      </c>
      <c r="D31" s="15">
        <v>0.61458333333333337</v>
      </c>
      <c r="E31" s="12">
        <v>27</v>
      </c>
      <c r="F31" s="31">
        <v>210</v>
      </c>
      <c r="G31" s="12">
        <v>28</v>
      </c>
      <c r="H31" s="31">
        <v>17</v>
      </c>
      <c r="I31" s="12"/>
      <c r="J31" s="31">
        <v>4</v>
      </c>
      <c r="K31" s="12"/>
      <c r="L31" s="31"/>
      <c r="M31" s="12"/>
      <c r="N31" s="31"/>
      <c r="O31" s="18"/>
      <c r="P31" s="12">
        <f t="shared" si="0"/>
        <v>286</v>
      </c>
      <c r="Q31" s="50"/>
      <c r="R31" s="18">
        <v>6</v>
      </c>
      <c r="S31" s="12">
        <v>0</v>
      </c>
      <c r="T31" s="1"/>
      <c r="U31" s="1"/>
      <c r="V31" s="1"/>
    </row>
    <row r="32" spans="2:22" x14ac:dyDescent="0.3">
      <c r="B32" s="48"/>
      <c r="C32" s="6">
        <v>0.61458333333333337</v>
      </c>
      <c r="D32" s="23">
        <v>0.625</v>
      </c>
      <c r="E32" s="13">
        <v>15</v>
      </c>
      <c r="F32" s="32">
        <v>128</v>
      </c>
      <c r="G32" s="13">
        <v>16</v>
      </c>
      <c r="H32" s="32">
        <v>13</v>
      </c>
      <c r="I32" s="13"/>
      <c r="J32" s="32">
        <v>1</v>
      </c>
      <c r="K32" s="13"/>
      <c r="L32" s="32"/>
      <c r="M32" s="13"/>
      <c r="N32" s="32"/>
      <c r="O32" s="19"/>
      <c r="P32" s="13">
        <f t="shared" si="0"/>
        <v>175</v>
      </c>
      <c r="Q32" s="51"/>
      <c r="R32" s="19">
        <v>8</v>
      </c>
      <c r="S32" s="13">
        <v>2</v>
      </c>
      <c r="T32" s="1"/>
      <c r="U32" s="1"/>
      <c r="V32" s="1"/>
    </row>
    <row r="33" spans="2:26" x14ac:dyDescent="0.3">
      <c r="B33" s="46" t="s">
        <v>18</v>
      </c>
      <c r="C33" s="3">
        <v>0.58333333333333337</v>
      </c>
      <c r="D33" s="14">
        <v>0.59375</v>
      </c>
      <c r="E33" s="25">
        <v>5</v>
      </c>
      <c r="F33" s="30">
        <v>25</v>
      </c>
      <c r="G33" s="25">
        <v>4</v>
      </c>
      <c r="H33" s="30"/>
      <c r="I33" s="25"/>
      <c r="J33" s="30"/>
      <c r="K33" s="25"/>
      <c r="L33" s="30">
        <v>1</v>
      </c>
      <c r="M33" s="25"/>
      <c r="N33" s="30"/>
      <c r="O33" s="25"/>
      <c r="P33" s="11">
        <f t="shared" si="0"/>
        <v>37</v>
      </c>
      <c r="Q33" s="52">
        <f>SUM(P33:P36)</f>
        <v>125</v>
      </c>
      <c r="R33" s="24">
        <v>1</v>
      </c>
      <c r="S33" s="25">
        <v>2</v>
      </c>
      <c r="T33" s="1"/>
      <c r="U33" s="1" t="s">
        <v>19</v>
      </c>
      <c r="V33" s="1">
        <f>SUM(Q29:Q69)</f>
        <v>3792</v>
      </c>
      <c r="X33" s="3">
        <v>0.58333333333333337</v>
      </c>
      <c r="Y33" s="14">
        <v>0.59375</v>
      </c>
      <c r="Z33" s="11">
        <f>P29+P33+P37+P41+P45+P49+P53+P57+P61+P65+P69</f>
        <v>1039</v>
      </c>
    </row>
    <row r="34" spans="2:26" x14ac:dyDescent="0.3">
      <c r="B34" s="47"/>
      <c r="C34" s="4">
        <v>0.59375</v>
      </c>
      <c r="D34" s="15">
        <v>0.60416666666666663</v>
      </c>
      <c r="E34" s="12">
        <v>5</v>
      </c>
      <c r="F34" s="31">
        <v>20</v>
      </c>
      <c r="G34" s="12">
        <v>2</v>
      </c>
      <c r="H34" s="31"/>
      <c r="I34" s="12"/>
      <c r="J34" s="31">
        <v>1</v>
      </c>
      <c r="K34" s="12"/>
      <c r="L34" s="31"/>
      <c r="M34" s="12"/>
      <c r="N34" s="31"/>
      <c r="O34" s="12"/>
      <c r="P34" s="12">
        <f t="shared" si="0"/>
        <v>29</v>
      </c>
      <c r="Q34" s="53"/>
      <c r="R34" s="18">
        <v>4</v>
      </c>
      <c r="S34" s="12">
        <v>1</v>
      </c>
      <c r="T34" s="1"/>
      <c r="U34" s="1" t="s">
        <v>20</v>
      </c>
      <c r="V34" s="40">
        <v>0.91529499999999997</v>
      </c>
      <c r="X34" s="4">
        <v>0.59375</v>
      </c>
      <c r="Y34" s="15">
        <v>0.60416666666666663</v>
      </c>
      <c r="Z34" s="12">
        <f>P30+P34+P38+P42+P46+P50+P54+P58+P62+P66+P70</f>
        <v>877</v>
      </c>
    </row>
    <row r="35" spans="2:26" x14ac:dyDescent="0.3">
      <c r="B35" s="47"/>
      <c r="C35" s="4">
        <v>0.60416666666666663</v>
      </c>
      <c r="D35" s="15">
        <v>0.61458333333333337</v>
      </c>
      <c r="E35" s="12">
        <v>6</v>
      </c>
      <c r="F35" s="31">
        <v>28</v>
      </c>
      <c r="G35" s="12">
        <v>1</v>
      </c>
      <c r="H35" s="31"/>
      <c r="I35" s="12"/>
      <c r="J35" s="31">
        <v>1</v>
      </c>
      <c r="K35" s="12"/>
      <c r="L35" s="31"/>
      <c r="M35" s="12"/>
      <c r="N35" s="31"/>
      <c r="O35" s="12"/>
      <c r="P35" s="12">
        <f t="shared" si="0"/>
        <v>39</v>
      </c>
      <c r="Q35" s="53"/>
      <c r="R35" s="18">
        <v>5</v>
      </c>
      <c r="S35" s="12">
        <v>3</v>
      </c>
      <c r="T35" s="1"/>
      <c r="U35" s="1" t="s">
        <v>21</v>
      </c>
      <c r="V35" s="1">
        <f>V33/V34</f>
        <v>4142.9265974357995</v>
      </c>
      <c r="X35" s="4">
        <v>0.60416666666666663</v>
      </c>
      <c r="Y35" s="15">
        <v>0.61458333333333337</v>
      </c>
      <c r="Z35" s="12">
        <f>P31+P35+P39+P43+P47+P51+P55+P59+P63+P67+P71</f>
        <v>966</v>
      </c>
    </row>
    <row r="36" spans="2:26" x14ac:dyDescent="0.3">
      <c r="B36" s="48"/>
      <c r="C36" s="6">
        <v>0.61458333333333337</v>
      </c>
      <c r="D36" s="23">
        <v>0.625</v>
      </c>
      <c r="E36" s="29">
        <v>1</v>
      </c>
      <c r="F36" s="34">
        <v>13</v>
      </c>
      <c r="G36" s="29">
        <v>2</v>
      </c>
      <c r="H36" s="34"/>
      <c r="I36" s="29"/>
      <c r="J36" s="34"/>
      <c r="K36" s="29"/>
      <c r="L36" s="34"/>
      <c r="M36" s="29"/>
      <c r="N36" s="34"/>
      <c r="O36" s="29"/>
      <c r="P36" s="13">
        <f t="shared" si="0"/>
        <v>20</v>
      </c>
      <c r="Q36" s="54"/>
      <c r="R36" s="36">
        <v>4</v>
      </c>
      <c r="S36" s="29">
        <v>4</v>
      </c>
      <c r="T36" s="1"/>
      <c r="U36" s="1"/>
      <c r="V36" s="1"/>
      <c r="X36" s="5">
        <v>0.61458333333333337</v>
      </c>
      <c r="Y36" s="16">
        <v>0.625</v>
      </c>
      <c r="Z36" s="13">
        <f>P32+P36+P40+P44+P48+P52+P56+P60+P64+P68+P72</f>
        <v>910</v>
      </c>
    </row>
    <row r="37" spans="2:26" x14ac:dyDescent="0.3">
      <c r="B37" s="46" t="s">
        <v>22</v>
      </c>
      <c r="C37" s="3">
        <v>0.58333333333333337</v>
      </c>
      <c r="D37" s="14">
        <v>0.59375</v>
      </c>
      <c r="E37" s="11">
        <v>37</v>
      </c>
      <c r="F37" s="33">
        <v>229</v>
      </c>
      <c r="G37" s="11">
        <v>20</v>
      </c>
      <c r="H37" s="33">
        <v>17</v>
      </c>
      <c r="I37" s="11"/>
      <c r="J37" s="33">
        <v>5</v>
      </c>
      <c r="K37" s="11"/>
      <c r="L37" s="33"/>
      <c r="M37" s="11"/>
      <c r="N37" s="33"/>
      <c r="O37" s="11"/>
      <c r="P37" s="11">
        <f t="shared" si="0"/>
        <v>313</v>
      </c>
      <c r="Q37" s="49">
        <f>SUM(P37:P40)</f>
        <v>1205</v>
      </c>
      <c r="R37" s="17">
        <v>6</v>
      </c>
      <c r="S37" s="11">
        <v>5</v>
      </c>
      <c r="T37" s="1"/>
      <c r="U37" s="1"/>
      <c r="V37" s="1"/>
    </row>
    <row r="38" spans="2:26" x14ac:dyDescent="0.3">
      <c r="B38" s="47"/>
      <c r="C38" s="4">
        <v>0.59375</v>
      </c>
      <c r="D38" s="15">
        <v>0.60416666666666663</v>
      </c>
      <c r="E38" s="12">
        <v>28</v>
      </c>
      <c r="F38" s="31">
        <v>180</v>
      </c>
      <c r="G38" s="12">
        <v>30</v>
      </c>
      <c r="H38" s="31">
        <v>14</v>
      </c>
      <c r="I38" s="12"/>
      <c r="J38" s="31">
        <v>4</v>
      </c>
      <c r="K38" s="12"/>
      <c r="L38" s="31"/>
      <c r="M38" s="12"/>
      <c r="N38" s="31"/>
      <c r="O38" s="12"/>
      <c r="P38" s="12">
        <f t="shared" si="0"/>
        <v>260</v>
      </c>
      <c r="Q38" s="50"/>
      <c r="R38" s="18">
        <v>7</v>
      </c>
      <c r="S38" s="12">
        <v>4</v>
      </c>
      <c r="T38" s="1"/>
      <c r="U38" s="1"/>
      <c r="V38" s="1"/>
    </row>
    <row r="39" spans="2:26" x14ac:dyDescent="0.3">
      <c r="B39" s="47"/>
      <c r="C39" s="4">
        <v>0.60416666666666663</v>
      </c>
      <c r="D39" s="15">
        <v>0.61458333333333337</v>
      </c>
      <c r="E39" s="12">
        <v>33</v>
      </c>
      <c r="F39" s="31">
        <v>233</v>
      </c>
      <c r="G39" s="12">
        <v>28</v>
      </c>
      <c r="H39" s="31">
        <v>16</v>
      </c>
      <c r="I39" s="12"/>
      <c r="J39" s="31">
        <v>10</v>
      </c>
      <c r="K39" s="12"/>
      <c r="L39" s="31"/>
      <c r="M39" s="12"/>
      <c r="N39" s="31"/>
      <c r="O39" s="12"/>
      <c r="P39" s="12">
        <f t="shared" si="0"/>
        <v>326</v>
      </c>
      <c r="Q39" s="50"/>
      <c r="R39" s="18">
        <v>9</v>
      </c>
      <c r="S39" s="12">
        <v>6</v>
      </c>
      <c r="T39" s="1"/>
      <c r="U39" s="1"/>
      <c r="V39" s="1"/>
    </row>
    <row r="40" spans="2:26" x14ac:dyDescent="0.3">
      <c r="B40" s="48"/>
      <c r="C40" s="6">
        <v>0.61458333333333337</v>
      </c>
      <c r="D40" s="23">
        <v>0.625</v>
      </c>
      <c r="E40" s="13">
        <v>36</v>
      </c>
      <c r="F40" s="32">
        <v>219</v>
      </c>
      <c r="G40" s="13">
        <v>28</v>
      </c>
      <c r="H40" s="32">
        <v>15</v>
      </c>
      <c r="I40" s="13"/>
      <c r="J40" s="32">
        <v>5</v>
      </c>
      <c r="K40" s="13"/>
      <c r="L40" s="32"/>
      <c r="M40" s="13"/>
      <c r="N40" s="32"/>
      <c r="O40" s="13"/>
      <c r="P40" s="13">
        <f t="shared" si="0"/>
        <v>306</v>
      </c>
      <c r="Q40" s="51"/>
      <c r="R40" s="19">
        <v>5</v>
      </c>
      <c r="S40" s="13">
        <v>3</v>
      </c>
      <c r="T40" s="1"/>
      <c r="U40" s="1"/>
      <c r="V40" s="1"/>
    </row>
    <row r="41" spans="2:26" x14ac:dyDescent="0.3">
      <c r="B41" s="46" t="s">
        <v>23</v>
      </c>
      <c r="C41" s="3">
        <v>0.58333333333333337</v>
      </c>
      <c r="D41" s="14">
        <v>0.59375</v>
      </c>
      <c r="E41" s="25">
        <v>12</v>
      </c>
      <c r="F41" s="30">
        <v>77</v>
      </c>
      <c r="G41" s="25">
        <v>11</v>
      </c>
      <c r="H41" s="30">
        <v>2</v>
      </c>
      <c r="I41" s="25"/>
      <c r="J41" s="30">
        <v>3</v>
      </c>
      <c r="K41" s="25"/>
      <c r="L41" s="30"/>
      <c r="M41" s="25"/>
      <c r="N41" s="30"/>
      <c r="O41" s="25"/>
      <c r="P41" s="11">
        <f t="shared" si="0"/>
        <v>106</v>
      </c>
      <c r="Q41" s="52">
        <f>SUM(P41:P44)</f>
        <v>394</v>
      </c>
      <c r="R41" s="24">
        <v>21</v>
      </c>
      <c r="S41" s="25">
        <v>1</v>
      </c>
      <c r="T41" s="1"/>
      <c r="U41" s="1" t="s">
        <v>19</v>
      </c>
      <c r="V41" s="1">
        <f>R73</f>
        <v>347</v>
      </c>
      <c r="X41" s="3">
        <v>0.58333333333333337</v>
      </c>
      <c r="Y41" s="14">
        <v>0.59375</v>
      </c>
      <c r="Z41" s="11">
        <f>R37+R41+R45+R49+R53+R57+R61+R65+R69+R77+R33+R29</f>
        <v>70</v>
      </c>
    </row>
    <row r="42" spans="2:26" x14ac:dyDescent="0.3">
      <c r="B42" s="47"/>
      <c r="C42" s="4">
        <v>0.59375</v>
      </c>
      <c r="D42" s="15">
        <v>0.60416666666666663</v>
      </c>
      <c r="E42" s="12">
        <v>13</v>
      </c>
      <c r="F42" s="31">
        <v>73</v>
      </c>
      <c r="G42" s="12">
        <v>16</v>
      </c>
      <c r="H42" s="31"/>
      <c r="I42" s="12"/>
      <c r="J42" s="31">
        <v>2</v>
      </c>
      <c r="K42" s="12"/>
      <c r="L42" s="31"/>
      <c r="M42" s="12"/>
      <c r="N42" s="31"/>
      <c r="O42" s="12"/>
      <c r="P42" s="12">
        <f t="shared" si="0"/>
        <v>105</v>
      </c>
      <c r="Q42" s="53"/>
      <c r="R42" s="18">
        <v>15</v>
      </c>
      <c r="S42" s="12">
        <v>1</v>
      </c>
      <c r="T42" s="1"/>
      <c r="U42" s="1" t="s">
        <v>20</v>
      </c>
      <c r="V42" s="1">
        <v>0.83167999999999997</v>
      </c>
      <c r="X42" s="4">
        <v>0.59375</v>
      </c>
      <c r="Y42" s="15">
        <v>0.60416666666666663</v>
      </c>
      <c r="Z42" s="11">
        <f>R38+R42+R46+R50+R54+R58+R62+R66+R70+R78+R34+R30</f>
        <v>78</v>
      </c>
    </row>
    <row r="43" spans="2:26" x14ac:dyDescent="0.3">
      <c r="B43" s="47"/>
      <c r="C43" s="4">
        <v>0.60416666666666663</v>
      </c>
      <c r="D43" s="15">
        <v>0.61458333333333337</v>
      </c>
      <c r="E43" s="12">
        <v>8</v>
      </c>
      <c r="F43" s="31">
        <v>41</v>
      </c>
      <c r="G43" s="12">
        <v>8</v>
      </c>
      <c r="H43" s="31">
        <v>2</v>
      </c>
      <c r="I43" s="12"/>
      <c r="J43" s="31">
        <v>1</v>
      </c>
      <c r="K43" s="12"/>
      <c r="L43" s="31"/>
      <c r="M43" s="12">
        <v>1</v>
      </c>
      <c r="N43" s="31"/>
      <c r="O43" s="12"/>
      <c r="P43" s="12">
        <f t="shared" si="0"/>
        <v>61</v>
      </c>
      <c r="Q43" s="53"/>
      <c r="R43" s="18">
        <v>25</v>
      </c>
      <c r="S43" s="12">
        <v>0</v>
      </c>
      <c r="T43" s="1"/>
      <c r="U43" s="1" t="s">
        <v>21</v>
      </c>
      <c r="V43" s="1">
        <f>V41/V42</f>
        <v>417.22777991535207</v>
      </c>
      <c r="X43" s="4">
        <v>0.60416666666666663</v>
      </c>
      <c r="Y43" s="15">
        <v>0.61458333333333337</v>
      </c>
      <c r="Z43" s="11">
        <f>R39+R43+R47+R51+R55+R59+R63+R67+R71+R79+R35+R31</f>
        <v>108</v>
      </c>
    </row>
    <row r="44" spans="2:26" x14ac:dyDescent="0.3">
      <c r="B44" s="55"/>
      <c r="C44" s="6">
        <v>0.61458333333333337</v>
      </c>
      <c r="D44" s="23">
        <v>0.625</v>
      </c>
      <c r="E44" s="29">
        <v>16</v>
      </c>
      <c r="F44" s="34">
        <v>78</v>
      </c>
      <c r="G44" s="29">
        <v>22</v>
      </c>
      <c r="H44" s="34"/>
      <c r="I44" s="29"/>
      <c r="J44" s="34">
        <v>4</v>
      </c>
      <c r="K44" s="29"/>
      <c r="L44" s="34"/>
      <c r="M44" s="29"/>
      <c r="N44" s="34"/>
      <c r="O44" s="29"/>
      <c r="P44" s="13">
        <f t="shared" si="0"/>
        <v>122</v>
      </c>
      <c r="Q44" s="54"/>
      <c r="R44" s="36">
        <v>18</v>
      </c>
      <c r="S44" s="29">
        <v>2</v>
      </c>
      <c r="T44" s="1"/>
      <c r="U44" s="1"/>
      <c r="V44" s="1"/>
      <c r="X44" s="5">
        <v>0.61458333333333337</v>
      </c>
      <c r="Y44" s="16">
        <v>0.625</v>
      </c>
      <c r="Z44" s="11">
        <f>R40+R44+R48+R52+R56+R60+R64+R68+R72+R80+R36+R32</f>
        <v>91</v>
      </c>
    </row>
    <row r="45" spans="2:26" x14ac:dyDescent="0.3">
      <c r="B45" s="56" t="s">
        <v>24</v>
      </c>
      <c r="C45" s="3">
        <v>0.58333333333333337</v>
      </c>
      <c r="D45" s="14">
        <v>0.59375</v>
      </c>
      <c r="E45" s="11">
        <v>1</v>
      </c>
      <c r="F45" s="33">
        <v>7</v>
      </c>
      <c r="G45" s="11">
        <v>2</v>
      </c>
      <c r="H45" s="33"/>
      <c r="I45" s="11"/>
      <c r="J45" s="33"/>
      <c r="K45" s="11"/>
      <c r="L45" s="33"/>
      <c r="M45" s="11"/>
      <c r="N45" s="33"/>
      <c r="O45" s="11"/>
      <c r="P45" s="11">
        <f t="shared" si="0"/>
        <v>10</v>
      </c>
      <c r="Q45" s="49">
        <f>SUM(P45:P48)</f>
        <v>49</v>
      </c>
      <c r="R45" s="17">
        <v>4</v>
      </c>
      <c r="S45" s="11">
        <v>0</v>
      </c>
      <c r="T45" s="1"/>
      <c r="U45" s="1"/>
      <c r="V45" s="1"/>
    </row>
    <row r="46" spans="2:26" x14ac:dyDescent="0.3">
      <c r="B46" s="47"/>
      <c r="C46" s="4">
        <v>0.59375</v>
      </c>
      <c r="D46" s="15">
        <v>0.60416666666666663</v>
      </c>
      <c r="E46" s="12">
        <v>1</v>
      </c>
      <c r="F46" s="31">
        <v>7</v>
      </c>
      <c r="G46" s="12"/>
      <c r="H46" s="31"/>
      <c r="I46" s="12"/>
      <c r="J46" s="31"/>
      <c r="K46" s="12"/>
      <c r="L46" s="31"/>
      <c r="M46" s="12"/>
      <c r="N46" s="31"/>
      <c r="O46" s="12"/>
      <c r="P46" s="12">
        <f t="shared" si="0"/>
        <v>10</v>
      </c>
      <c r="Q46" s="50"/>
      <c r="R46" s="18">
        <v>8</v>
      </c>
      <c r="S46" s="12">
        <v>2</v>
      </c>
      <c r="T46" s="1"/>
      <c r="U46" s="1"/>
      <c r="V46" s="1"/>
    </row>
    <row r="47" spans="2:26" x14ac:dyDescent="0.3">
      <c r="B47" s="47"/>
      <c r="C47" s="4">
        <v>0.60416666666666663</v>
      </c>
      <c r="D47" s="15">
        <v>0.61458333333333337</v>
      </c>
      <c r="E47" s="12">
        <v>1</v>
      </c>
      <c r="F47" s="31">
        <v>6</v>
      </c>
      <c r="G47" s="12"/>
      <c r="H47" s="31"/>
      <c r="I47" s="12"/>
      <c r="J47" s="31">
        <v>1</v>
      </c>
      <c r="K47" s="12"/>
      <c r="L47" s="31"/>
      <c r="M47" s="12"/>
      <c r="N47" s="31"/>
      <c r="O47" s="12"/>
      <c r="P47" s="12">
        <f t="shared" si="0"/>
        <v>10</v>
      </c>
      <c r="Q47" s="50"/>
      <c r="R47" s="18">
        <v>10</v>
      </c>
      <c r="S47" s="12">
        <v>2</v>
      </c>
      <c r="T47" s="1"/>
      <c r="U47" s="1"/>
      <c r="V47" s="1"/>
    </row>
    <row r="48" spans="2:26" x14ac:dyDescent="0.3">
      <c r="B48" s="48"/>
      <c r="C48" s="6">
        <v>0.61458333333333337</v>
      </c>
      <c r="D48" s="23">
        <v>0.625</v>
      </c>
      <c r="E48" s="13">
        <v>4</v>
      </c>
      <c r="F48" s="32">
        <v>8</v>
      </c>
      <c r="G48" s="13">
        <v>2</v>
      </c>
      <c r="H48" s="32"/>
      <c r="I48" s="13"/>
      <c r="J48" s="32">
        <v>1</v>
      </c>
      <c r="K48" s="13"/>
      <c r="L48" s="32"/>
      <c r="M48" s="13"/>
      <c r="N48" s="32"/>
      <c r="O48" s="13"/>
      <c r="P48" s="13">
        <f t="shared" si="0"/>
        <v>19</v>
      </c>
      <c r="Q48" s="51"/>
      <c r="R48" s="19">
        <v>7</v>
      </c>
      <c r="S48" s="13">
        <v>4</v>
      </c>
      <c r="T48" s="1"/>
      <c r="U48" s="1"/>
      <c r="V48" s="1"/>
    </row>
    <row r="49" spans="2:22" x14ac:dyDescent="0.3">
      <c r="B49" s="46" t="s">
        <v>25</v>
      </c>
      <c r="C49" s="3">
        <v>0.58333333333333337</v>
      </c>
      <c r="D49" s="14">
        <v>0.59375</v>
      </c>
      <c r="E49" s="25">
        <v>2</v>
      </c>
      <c r="F49" s="30">
        <v>11</v>
      </c>
      <c r="G49" s="25">
        <v>6</v>
      </c>
      <c r="H49" s="30"/>
      <c r="I49" s="25"/>
      <c r="J49" s="30"/>
      <c r="K49" s="25"/>
      <c r="L49" s="30"/>
      <c r="M49" s="25"/>
      <c r="N49" s="30"/>
      <c r="O49" s="25"/>
      <c r="P49" s="11">
        <f t="shared" si="0"/>
        <v>21</v>
      </c>
      <c r="Q49" s="52">
        <f>SUM(P49:P52)</f>
        <v>127</v>
      </c>
      <c r="R49" s="24">
        <v>12</v>
      </c>
      <c r="S49" s="25">
        <v>2</v>
      </c>
      <c r="T49" s="1"/>
      <c r="U49" s="1"/>
      <c r="V49" s="1"/>
    </row>
    <row r="50" spans="2:22" x14ac:dyDescent="0.3">
      <c r="B50" s="47"/>
      <c r="C50" s="4">
        <v>0.59375</v>
      </c>
      <c r="D50" s="15">
        <v>0.60416666666666663</v>
      </c>
      <c r="E50" s="12">
        <v>7</v>
      </c>
      <c r="F50" s="31">
        <v>26</v>
      </c>
      <c r="G50" s="12">
        <v>3</v>
      </c>
      <c r="H50" s="31"/>
      <c r="I50" s="12"/>
      <c r="J50" s="31"/>
      <c r="K50" s="12"/>
      <c r="L50" s="31"/>
      <c r="M50" s="12"/>
      <c r="N50" s="31"/>
      <c r="O50" s="12"/>
      <c r="P50" s="12">
        <f t="shared" si="0"/>
        <v>36</v>
      </c>
      <c r="Q50" s="53"/>
      <c r="R50" s="18">
        <v>8</v>
      </c>
      <c r="S50" s="12">
        <v>0</v>
      </c>
      <c r="T50" s="1"/>
      <c r="U50" s="1"/>
      <c r="V50" s="1"/>
    </row>
    <row r="51" spans="2:22" x14ac:dyDescent="0.3">
      <c r="B51" s="47"/>
      <c r="C51" s="4">
        <v>0.60416666666666663</v>
      </c>
      <c r="D51" s="15">
        <v>0.61458333333333337</v>
      </c>
      <c r="E51" s="12">
        <v>10</v>
      </c>
      <c r="F51" s="31">
        <v>20</v>
      </c>
      <c r="G51" s="12">
        <v>2</v>
      </c>
      <c r="H51" s="31"/>
      <c r="I51" s="12"/>
      <c r="J51" s="31"/>
      <c r="K51" s="12"/>
      <c r="L51" s="31"/>
      <c r="M51" s="12"/>
      <c r="N51" s="31"/>
      <c r="O51" s="12"/>
      <c r="P51" s="12">
        <f t="shared" si="0"/>
        <v>33</v>
      </c>
      <c r="Q51" s="53"/>
      <c r="R51" s="18">
        <v>10</v>
      </c>
      <c r="S51" s="12">
        <v>1</v>
      </c>
      <c r="T51" s="1"/>
      <c r="U51" s="1"/>
      <c r="V51" s="1"/>
    </row>
    <row r="52" spans="2:22" x14ac:dyDescent="0.3">
      <c r="B52" s="48"/>
      <c r="C52" s="6">
        <v>0.61458333333333337</v>
      </c>
      <c r="D52" s="23">
        <v>0.625</v>
      </c>
      <c r="E52" s="29">
        <v>7</v>
      </c>
      <c r="F52" s="34">
        <v>26</v>
      </c>
      <c r="G52" s="29">
        <v>2</v>
      </c>
      <c r="H52" s="34"/>
      <c r="I52" s="29"/>
      <c r="J52" s="34"/>
      <c r="K52" s="29"/>
      <c r="L52" s="34"/>
      <c r="M52" s="29"/>
      <c r="N52" s="34"/>
      <c r="O52" s="29"/>
      <c r="P52" s="13">
        <f t="shared" si="0"/>
        <v>37</v>
      </c>
      <c r="Q52" s="54"/>
      <c r="R52" s="36">
        <v>15</v>
      </c>
      <c r="S52" s="29">
        <v>2</v>
      </c>
      <c r="T52" s="1"/>
      <c r="U52" s="1"/>
      <c r="V52" s="1"/>
    </row>
    <row r="53" spans="2:22" x14ac:dyDescent="0.3">
      <c r="B53" s="57" t="s">
        <v>26</v>
      </c>
      <c r="C53" s="7">
        <v>0.58333333333333337</v>
      </c>
      <c r="D53" s="14">
        <v>0.59375</v>
      </c>
      <c r="E53" s="11">
        <v>1</v>
      </c>
      <c r="F53" s="33">
        <v>4</v>
      </c>
      <c r="G53" s="11">
        <v>3</v>
      </c>
      <c r="H53" s="33"/>
      <c r="I53" s="11"/>
      <c r="J53" s="33">
        <v>1</v>
      </c>
      <c r="K53" s="11"/>
      <c r="L53" s="33"/>
      <c r="M53" s="11"/>
      <c r="N53" s="33"/>
      <c r="O53" s="11"/>
      <c r="P53" s="11">
        <f t="shared" si="0"/>
        <v>10</v>
      </c>
      <c r="Q53" s="49">
        <f>SUM(P53:P56)</f>
        <v>45</v>
      </c>
      <c r="R53" s="17">
        <v>2</v>
      </c>
      <c r="S53" s="11">
        <v>1</v>
      </c>
      <c r="T53" s="1"/>
      <c r="U53" s="1"/>
      <c r="V53" s="1"/>
    </row>
    <row r="54" spans="2:22" x14ac:dyDescent="0.3">
      <c r="B54" s="58"/>
      <c r="C54" s="2">
        <v>0.59375</v>
      </c>
      <c r="D54" s="15">
        <v>0.60416666666666663</v>
      </c>
      <c r="E54" s="12">
        <v>1</v>
      </c>
      <c r="F54" s="31">
        <v>6</v>
      </c>
      <c r="G54" s="12">
        <v>1</v>
      </c>
      <c r="H54" s="31"/>
      <c r="I54" s="12"/>
      <c r="J54" s="31"/>
      <c r="K54" s="12"/>
      <c r="L54" s="31"/>
      <c r="M54" s="12"/>
      <c r="N54" s="31"/>
      <c r="O54" s="12"/>
      <c r="P54" s="12">
        <f t="shared" si="0"/>
        <v>8</v>
      </c>
      <c r="Q54" s="50"/>
      <c r="R54" s="18">
        <v>4</v>
      </c>
      <c r="S54" s="12">
        <v>0</v>
      </c>
      <c r="T54" s="1"/>
      <c r="U54" s="1"/>
      <c r="V54" s="1"/>
    </row>
    <row r="55" spans="2:22" x14ac:dyDescent="0.3">
      <c r="B55" s="58"/>
      <c r="C55" s="2">
        <v>0.60416666666666663</v>
      </c>
      <c r="D55" s="15">
        <v>0.61458333333333337</v>
      </c>
      <c r="E55" s="12"/>
      <c r="F55" s="31">
        <v>10</v>
      </c>
      <c r="G55" s="12">
        <v>2</v>
      </c>
      <c r="H55" s="31"/>
      <c r="I55" s="12"/>
      <c r="J55" s="31"/>
      <c r="K55" s="12"/>
      <c r="L55" s="31"/>
      <c r="M55" s="12"/>
      <c r="N55" s="31"/>
      <c r="O55" s="12"/>
      <c r="P55" s="12">
        <f t="shared" si="0"/>
        <v>15</v>
      </c>
      <c r="Q55" s="50"/>
      <c r="R55" s="18">
        <v>5</v>
      </c>
      <c r="S55" s="12">
        <v>3</v>
      </c>
      <c r="T55" s="1"/>
      <c r="U55" s="1"/>
      <c r="V55" s="1"/>
    </row>
    <row r="56" spans="2:22" x14ac:dyDescent="0.3">
      <c r="B56" s="59"/>
      <c r="C56" s="8">
        <v>0.61458333333333337</v>
      </c>
      <c r="D56" s="23">
        <v>0.625</v>
      </c>
      <c r="E56" s="13">
        <v>1</v>
      </c>
      <c r="F56" s="32">
        <v>9</v>
      </c>
      <c r="G56" s="13">
        <v>1</v>
      </c>
      <c r="H56" s="32"/>
      <c r="I56" s="13"/>
      <c r="J56" s="32"/>
      <c r="K56" s="13"/>
      <c r="L56" s="32"/>
      <c r="M56" s="13"/>
      <c r="N56" s="32"/>
      <c r="O56" s="13"/>
      <c r="P56" s="13">
        <f t="shared" si="0"/>
        <v>12</v>
      </c>
      <c r="Q56" s="51"/>
      <c r="R56" s="19">
        <v>6</v>
      </c>
      <c r="S56" s="13">
        <v>1</v>
      </c>
      <c r="T56" s="1"/>
      <c r="U56" s="1"/>
      <c r="V56" s="1"/>
    </row>
    <row r="57" spans="2:22" x14ac:dyDescent="0.3">
      <c r="B57" s="56" t="s">
        <v>27</v>
      </c>
      <c r="C57" s="3">
        <v>0.58333333333333337</v>
      </c>
      <c r="D57" s="14">
        <v>0.59375</v>
      </c>
      <c r="E57" s="25"/>
      <c r="F57" s="30">
        <v>17</v>
      </c>
      <c r="G57" s="25">
        <v>1</v>
      </c>
      <c r="H57" s="30"/>
      <c r="I57" s="25"/>
      <c r="J57" s="30"/>
      <c r="K57" s="25"/>
      <c r="L57" s="30"/>
      <c r="M57" s="25"/>
      <c r="N57" s="30"/>
      <c r="O57" s="25"/>
      <c r="P57" s="11">
        <f t="shared" si="0"/>
        <v>18</v>
      </c>
      <c r="Q57" s="49">
        <f>SUM(P57:P60)</f>
        <v>56</v>
      </c>
      <c r="R57" s="24">
        <v>1</v>
      </c>
      <c r="S57" s="25">
        <v>0</v>
      </c>
      <c r="T57" s="1"/>
      <c r="U57" s="1"/>
      <c r="V57" s="1"/>
    </row>
    <row r="58" spans="2:22" x14ac:dyDescent="0.3">
      <c r="B58" s="47"/>
      <c r="C58" s="4">
        <v>0.59375</v>
      </c>
      <c r="D58" s="15">
        <v>0.60416666666666663</v>
      </c>
      <c r="E58" s="12"/>
      <c r="F58" s="31">
        <v>15</v>
      </c>
      <c r="G58" s="12"/>
      <c r="H58" s="31"/>
      <c r="I58" s="12"/>
      <c r="J58" s="31"/>
      <c r="K58" s="12"/>
      <c r="L58" s="31"/>
      <c r="M58" s="12"/>
      <c r="N58" s="31"/>
      <c r="O58" s="12"/>
      <c r="P58" s="12">
        <f t="shared" si="0"/>
        <v>16</v>
      </c>
      <c r="Q58" s="50"/>
      <c r="R58" s="18">
        <v>2</v>
      </c>
      <c r="S58" s="12">
        <v>1</v>
      </c>
      <c r="T58" s="1"/>
      <c r="U58" s="1"/>
      <c r="V58" s="1"/>
    </row>
    <row r="59" spans="2:22" x14ac:dyDescent="0.3">
      <c r="B59" s="47"/>
      <c r="C59" s="4">
        <v>0.60416666666666663</v>
      </c>
      <c r="D59" s="15">
        <v>0.61458333333333337</v>
      </c>
      <c r="E59" s="12"/>
      <c r="F59" s="31">
        <v>7</v>
      </c>
      <c r="G59" s="12"/>
      <c r="H59" s="31"/>
      <c r="I59" s="12"/>
      <c r="J59" s="31"/>
      <c r="K59" s="12"/>
      <c r="L59" s="31"/>
      <c r="M59" s="12"/>
      <c r="N59" s="31"/>
      <c r="O59" s="12"/>
      <c r="P59" s="12">
        <f t="shared" si="0"/>
        <v>7</v>
      </c>
      <c r="Q59" s="50"/>
      <c r="R59" s="18">
        <v>4</v>
      </c>
      <c r="S59" s="12">
        <v>0</v>
      </c>
      <c r="T59" s="1"/>
      <c r="U59" s="1"/>
      <c r="V59" s="1"/>
    </row>
    <row r="60" spans="2:22" x14ac:dyDescent="0.3">
      <c r="B60" s="48"/>
      <c r="C60" s="6">
        <v>0.61458333333333337</v>
      </c>
      <c r="D60" s="23">
        <v>0.625</v>
      </c>
      <c r="E60" s="29">
        <v>1</v>
      </c>
      <c r="F60" s="34">
        <v>12</v>
      </c>
      <c r="G60" s="29"/>
      <c r="H60" s="34"/>
      <c r="I60" s="29"/>
      <c r="J60" s="34"/>
      <c r="K60" s="29"/>
      <c r="L60" s="34"/>
      <c r="M60" s="29"/>
      <c r="N60" s="34"/>
      <c r="O60" s="29"/>
      <c r="P60" s="13">
        <f t="shared" si="0"/>
        <v>15</v>
      </c>
      <c r="Q60" s="51"/>
      <c r="R60" s="36">
        <v>2</v>
      </c>
      <c r="S60" s="29">
        <v>2</v>
      </c>
      <c r="T60" s="1"/>
      <c r="U60" s="1"/>
      <c r="V60" s="1"/>
    </row>
    <row r="61" spans="2:22" x14ac:dyDescent="0.3">
      <c r="B61" s="46" t="s">
        <v>28</v>
      </c>
      <c r="C61" s="3">
        <v>0.58333333333333337</v>
      </c>
      <c r="D61" s="14">
        <v>0.59375</v>
      </c>
      <c r="E61" s="11">
        <v>5</v>
      </c>
      <c r="F61" s="33">
        <v>22</v>
      </c>
      <c r="G61" s="11">
        <v>3</v>
      </c>
      <c r="H61" s="33"/>
      <c r="I61" s="11"/>
      <c r="J61" s="33"/>
      <c r="K61" s="11"/>
      <c r="L61" s="33"/>
      <c r="M61" s="11"/>
      <c r="N61" s="33"/>
      <c r="O61" s="11"/>
      <c r="P61" s="11">
        <f t="shared" si="0"/>
        <v>34</v>
      </c>
      <c r="Q61" s="52">
        <f>SUM(P61:P64)</f>
        <v>130</v>
      </c>
      <c r="R61" s="17">
        <v>11</v>
      </c>
      <c r="S61" s="11">
        <v>4</v>
      </c>
      <c r="T61" s="1"/>
      <c r="U61" s="1"/>
      <c r="V61" s="1"/>
    </row>
    <row r="62" spans="2:22" x14ac:dyDescent="0.3">
      <c r="B62" s="47"/>
      <c r="C62" s="4">
        <v>0.59375</v>
      </c>
      <c r="D62" s="15">
        <v>0.60416666666666663</v>
      </c>
      <c r="E62" s="12">
        <v>4</v>
      </c>
      <c r="F62" s="31">
        <v>22</v>
      </c>
      <c r="G62" s="12">
        <v>2</v>
      </c>
      <c r="H62" s="31"/>
      <c r="I62" s="12"/>
      <c r="J62" s="31">
        <v>1</v>
      </c>
      <c r="K62" s="12"/>
      <c r="L62" s="31"/>
      <c r="M62" s="12"/>
      <c r="N62" s="31"/>
      <c r="O62" s="12"/>
      <c r="P62" s="12">
        <f t="shared" si="0"/>
        <v>31</v>
      </c>
      <c r="Q62" s="53"/>
      <c r="R62" s="18">
        <v>12</v>
      </c>
      <c r="S62" s="12">
        <v>2</v>
      </c>
      <c r="T62" s="1"/>
      <c r="U62" s="1"/>
      <c r="V62" s="1"/>
    </row>
    <row r="63" spans="2:22" x14ac:dyDescent="0.3">
      <c r="B63" s="47"/>
      <c r="C63" s="4">
        <v>0.60416666666666663</v>
      </c>
      <c r="D63" s="15">
        <v>0.61458333333333337</v>
      </c>
      <c r="E63" s="12">
        <v>5</v>
      </c>
      <c r="F63" s="31">
        <v>19</v>
      </c>
      <c r="G63" s="12">
        <v>4</v>
      </c>
      <c r="H63" s="31"/>
      <c r="I63" s="12"/>
      <c r="J63" s="31">
        <v>2</v>
      </c>
      <c r="K63" s="12"/>
      <c r="L63" s="31"/>
      <c r="M63" s="12"/>
      <c r="N63" s="31"/>
      <c r="O63" s="12"/>
      <c r="P63" s="12">
        <f t="shared" si="0"/>
        <v>31</v>
      </c>
      <c r="Q63" s="53"/>
      <c r="R63" s="18">
        <v>15</v>
      </c>
      <c r="S63" s="12">
        <v>1</v>
      </c>
      <c r="T63" s="1"/>
      <c r="U63" s="1"/>
      <c r="V63" s="1"/>
    </row>
    <row r="64" spans="2:22" x14ac:dyDescent="0.3">
      <c r="B64" s="48"/>
      <c r="C64" s="6">
        <v>0.61458333333333337</v>
      </c>
      <c r="D64" s="23">
        <v>0.625</v>
      </c>
      <c r="E64" s="13">
        <v>5</v>
      </c>
      <c r="F64" s="32">
        <v>22</v>
      </c>
      <c r="G64" s="13">
        <v>2</v>
      </c>
      <c r="H64" s="32"/>
      <c r="I64" s="13"/>
      <c r="J64" s="32"/>
      <c r="K64" s="13"/>
      <c r="L64" s="32"/>
      <c r="M64" s="13"/>
      <c r="N64" s="32"/>
      <c r="O64" s="13"/>
      <c r="P64" s="13">
        <f t="shared" si="0"/>
        <v>34</v>
      </c>
      <c r="Q64" s="54"/>
      <c r="R64" s="19">
        <v>11</v>
      </c>
      <c r="S64" s="13">
        <v>5</v>
      </c>
      <c r="T64" s="1"/>
      <c r="U64" s="1"/>
      <c r="V64" s="1"/>
    </row>
    <row r="65" spans="2:22" x14ac:dyDescent="0.3">
      <c r="B65" s="46" t="s">
        <v>29</v>
      </c>
      <c r="C65" s="3">
        <v>0.58333333333333337</v>
      </c>
      <c r="D65" s="14">
        <v>0.59375</v>
      </c>
      <c r="E65" s="25">
        <v>11</v>
      </c>
      <c r="F65" s="30">
        <v>47</v>
      </c>
      <c r="G65" s="25">
        <v>8</v>
      </c>
      <c r="H65" s="30">
        <v>1</v>
      </c>
      <c r="I65" s="25"/>
      <c r="J65" s="30">
        <v>1</v>
      </c>
      <c r="K65" s="25"/>
      <c r="L65" s="30"/>
      <c r="M65" s="25"/>
      <c r="N65" s="30"/>
      <c r="O65" s="25"/>
      <c r="P65" s="11">
        <f t="shared" si="0"/>
        <v>70</v>
      </c>
      <c r="Q65" s="49">
        <f>SUM(P65:P68)</f>
        <v>285</v>
      </c>
      <c r="R65" s="24">
        <v>0</v>
      </c>
      <c r="S65" s="25">
        <v>2</v>
      </c>
      <c r="T65" s="1"/>
      <c r="U65" s="1"/>
      <c r="V65" s="1"/>
    </row>
    <row r="66" spans="2:22" x14ac:dyDescent="0.3">
      <c r="B66" s="47"/>
      <c r="C66" s="4">
        <v>0.59375</v>
      </c>
      <c r="D66" s="15">
        <v>0.60416666666666663</v>
      </c>
      <c r="E66" s="12">
        <v>4</v>
      </c>
      <c r="F66" s="31">
        <v>50</v>
      </c>
      <c r="G66" s="12">
        <v>7</v>
      </c>
      <c r="H66" s="31">
        <v>1</v>
      </c>
      <c r="I66" s="12"/>
      <c r="J66" s="31">
        <v>3</v>
      </c>
      <c r="K66" s="12"/>
      <c r="L66" s="31"/>
      <c r="M66" s="12"/>
      <c r="N66" s="31"/>
      <c r="O66" s="12"/>
      <c r="P66" s="12">
        <f t="shared" si="0"/>
        <v>65</v>
      </c>
      <c r="Q66" s="50"/>
      <c r="R66" s="18">
        <v>2</v>
      </c>
      <c r="S66" s="12">
        <v>0</v>
      </c>
      <c r="T66" s="1"/>
      <c r="U66" s="1"/>
      <c r="V66" s="1"/>
    </row>
    <row r="67" spans="2:22" x14ac:dyDescent="0.3">
      <c r="B67" s="47"/>
      <c r="C67" s="4">
        <v>0.60416666666666663</v>
      </c>
      <c r="D67" s="15">
        <v>0.61458333333333337</v>
      </c>
      <c r="E67" s="12">
        <v>3</v>
      </c>
      <c r="F67" s="31">
        <v>59</v>
      </c>
      <c r="G67" s="12">
        <v>12</v>
      </c>
      <c r="H67" s="31">
        <v>1</v>
      </c>
      <c r="I67" s="12"/>
      <c r="J67" s="31"/>
      <c r="K67" s="12"/>
      <c r="L67" s="31"/>
      <c r="M67" s="12"/>
      <c r="N67" s="31"/>
      <c r="O67" s="12"/>
      <c r="P67" s="12">
        <f t="shared" si="0"/>
        <v>76</v>
      </c>
      <c r="Q67" s="50"/>
      <c r="R67" s="18">
        <v>4</v>
      </c>
      <c r="S67" s="12">
        <v>1</v>
      </c>
      <c r="T67" s="1"/>
      <c r="U67" s="1"/>
      <c r="V67" s="1"/>
    </row>
    <row r="68" spans="2:22" x14ac:dyDescent="0.3">
      <c r="B68" s="48"/>
      <c r="C68" s="6">
        <v>0.61458333333333337</v>
      </c>
      <c r="D68" s="23">
        <v>0.625</v>
      </c>
      <c r="E68" s="13">
        <v>8</v>
      </c>
      <c r="F68" s="32">
        <v>54</v>
      </c>
      <c r="G68" s="13">
        <v>9</v>
      </c>
      <c r="H68" s="32">
        <v>1</v>
      </c>
      <c r="I68" s="29"/>
      <c r="J68" s="34">
        <v>2</v>
      </c>
      <c r="K68" s="29"/>
      <c r="L68" s="34"/>
      <c r="M68" s="29"/>
      <c r="N68" s="34"/>
      <c r="O68" s="29"/>
      <c r="P68" s="13">
        <f t="shared" si="0"/>
        <v>74</v>
      </c>
      <c r="Q68" s="51"/>
      <c r="R68" s="36">
        <v>3</v>
      </c>
      <c r="S68" s="29">
        <v>0</v>
      </c>
      <c r="T68" s="1"/>
      <c r="U68" s="1"/>
      <c r="V68" s="1"/>
    </row>
    <row r="69" spans="2:22" x14ac:dyDescent="0.3">
      <c r="B69" s="46" t="s">
        <v>30</v>
      </c>
      <c r="C69" s="3">
        <v>0.58333333333333337</v>
      </c>
      <c r="D69" s="14">
        <v>0.59375</v>
      </c>
      <c r="E69" s="25">
        <v>7</v>
      </c>
      <c r="F69" s="30">
        <v>67</v>
      </c>
      <c r="G69" s="25">
        <v>19</v>
      </c>
      <c r="H69" s="30">
        <v>5</v>
      </c>
      <c r="I69" s="11"/>
      <c r="J69" s="33">
        <v>1</v>
      </c>
      <c r="K69" s="11"/>
      <c r="L69" s="33"/>
      <c r="M69" s="11"/>
      <c r="N69" s="33"/>
      <c r="O69" s="11"/>
      <c r="P69" s="11">
        <f t="shared" si="0"/>
        <v>102</v>
      </c>
      <c r="Q69" s="52">
        <f>SUM(P69:P72)</f>
        <v>359</v>
      </c>
      <c r="R69" s="17">
        <v>6</v>
      </c>
      <c r="S69" s="11">
        <v>3</v>
      </c>
      <c r="T69" s="1"/>
      <c r="U69" s="1"/>
      <c r="V69" s="1"/>
    </row>
    <row r="70" spans="2:22" x14ac:dyDescent="0.3">
      <c r="B70" s="47"/>
      <c r="C70" s="4">
        <v>0.59375</v>
      </c>
      <c r="D70" s="15">
        <v>0.60416666666666663</v>
      </c>
      <c r="E70" s="12">
        <v>5</v>
      </c>
      <c r="F70" s="31">
        <v>57</v>
      </c>
      <c r="G70" s="12">
        <v>12</v>
      </c>
      <c r="H70" s="31">
        <v>2</v>
      </c>
      <c r="I70" s="12"/>
      <c r="J70" s="31">
        <v>1</v>
      </c>
      <c r="K70" s="12"/>
      <c r="L70" s="31"/>
      <c r="M70" s="12">
        <v>1</v>
      </c>
      <c r="N70" s="31"/>
      <c r="O70" s="12"/>
      <c r="P70" s="12">
        <f t="shared" si="0"/>
        <v>79</v>
      </c>
      <c r="Q70" s="53"/>
      <c r="R70" s="18">
        <v>9</v>
      </c>
      <c r="S70" s="12">
        <v>1</v>
      </c>
      <c r="T70" s="1"/>
      <c r="U70" s="1"/>
      <c r="V70" s="1"/>
    </row>
    <row r="71" spans="2:22" x14ac:dyDescent="0.3">
      <c r="B71" s="47"/>
      <c r="C71" s="4">
        <v>0.60416666666666663</v>
      </c>
      <c r="D71" s="15">
        <v>0.61458333333333337</v>
      </c>
      <c r="E71" s="12">
        <v>6</v>
      </c>
      <c r="F71" s="31">
        <v>59</v>
      </c>
      <c r="G71" s="12">
        <v>10</v>
      </c>
      <c r="H71" s="31">
        <v>1</v>
      </c>
      <c r="I71" s="12"/>
      <c r="J71" s="31">
        <v>1</v>
      </c>
      <c r="K71" s="12">
        <v>2</v>
      </c>
      <c r="L71" s="31"/>
      <c r="M71" s="12">
        <v>1</v>
      </c>
      <c r="N71" s="31"/>
      <c r="O71" s="12"/>
      <c r="P71" s="12">
        <f t="shared" si="0"/>
        <v>82</v>
      </c>
      <c r="Q71" s="53"/>
      <c r="R71" s="18">
        <v>15</v>
      </c>
      <c r="S71" s="12">
        <v>2</v>
      </c>
      <c r="T71" s="1"/>
      <c r="U71" s="1"/>
      <c r="V71" s="1"/>
    </row>
    <row r="72" spans="2:22" x14ac:dyDescent="0.3">
      <c r="B72" s="55"/>
      <c r="C72" s="6">
        <v>0.61458333333333337</v>
      </c>
      <c r="D72" s="23">
        <v>0.625</v>
      </c>
      <c r="E72" s="29">
        <v>10</v>
      </c>
      <c r="F72" s="34">
        <v>69</v>
      </c>
      <c r="G72" s="29">
        <v>11</v>
      </c>
      <c r="H72" s="34">
        <v>2</v>
      </c>
      <c r="I72" s="29"/>
      <c r="J72" s="34">
        <v>1</v>
      </c>
      <c r="K72" s="29">
        <v>1</v>
      </c>
      <c r="L72" s="34"/>
      <c r="M72" s="29"/>
      <c r="N72" s="34"/>
      <c r="O72" s="29"/>
      <c r="P72" s="13">
        <f t="shared" si="0"/>
        <v>96</v>
      </c>
      <c r="Q72" s="54"/>
      <c r="R72" s="36">
        <v>12</v>
      </c>
      <c r="S72" s="29">
        <v>2</v>
      </c>
      <c r="T72" s="1"/>
      <c r="U72" s="1"/>
      <c r="V72" s="1"/>
    </row>
    <row r="73" spans="2:22" x14ac:dyDescent="0.3">
      <c r="B73" s="1"/>
      <c r="C73" s="60" t="s">
        <v>31</v>
      </c>
      <c r="D73" s="61"/>
      <c r="E73" s="20">
        <f t="shared" ref="E73:P73" si="1">SUM(E29:E72)</f>
        <v>413</v>
      </c>
      <c r="F73" s="20">
        <f t="shared" si="1"/>
        <v>2675</v>
      </c>
      <c r="G73" s="20">
        <f t="shared" si="1"/>
        <v>399</v>
      </c>
      <c r="H73" s="20">
        <f t="shared" si="1"/>
        <v>148</v>
      </c>
      <c r="I73" s="20">
        <f t="shared" si="1"/>
        <v>0</v>
      </c>
      <c r="J73" s="20">
        <f t="shared" si="1"/>
        <v>68</v>
      </c>
      <c r="K73" s="20">
        <f t="shared" si="1"/>
        <v>4</v>
      </c>
      <c r="L73" s="20">
        <f t="shared" si="1"/>
        <v>1</v>
      </c>
      <c r="M73" s="20">
        <f t="shared" si="1"/>
        <v>3</v>
      </c>
      <c r="N73" s="20">
        <f t="shared" si="1"/>
        <v>0</v>
      </c>
      <c r="O73" s="20">
        <f t="shared" si="1"/>
        <v>0</v>
      </c>
      <c r="P73" s="20">
        <f t="shared" si="1"/>
        <v>3792</v>
      </c>
      <c r="Q73" s="20">
        <f>Q69+Q65+Q61+Q57+Q53+Q49+Q45+Q41+Q37+Q33+Q29</f>
        <v>3792</v>
      </c>
      <c r="R73" s="20">
        <f>SUM(R29:R72)</f>
        <v>347</v>
      </c>
      <c r="S73" s="21">
        <f>SUM(S29:S72)</f>
        <v>81</v>
      </c>
      <c r="T73" s="1"/>
      <c r="U73" s="1"/>
      <c r="V73" s="1"/>
    </row>
    <row r="74" spans="2:22" x14ac:dyDescent="0.3">
      <c r="B74" s="1"/>
      <c r="C74" s="62" t="s">
        <v>32</v>
      </c>
      <c r="D74" s="63"/>
      <c r="E74" s="37">
        <f t="shared" ref="E74:Q74" si="2">E73/$Q$73</f>
        <v>0.10891350210970464</v>
      </c>
      <c r="F74" s="37">
        <f t="shared" si="2"/>
        <v>0.70543248945147674</v>
      </c>
      <c r="G74" s="37">
        <f t="shared" si="2"/>
        <v>0.10522151898734178</v>
      </c>
      <c r="H74" s="37">
        <f t="shared" si="2"/>
        <v>3.9029535864978905E-2</v>
      </c>
      <c r="I74" s="37">
        <f t="shared" si="2"/>
        <v>0</v>
      </c>
      <c r="J74" s="37">
        <f t="shared" si="2"/>
        <v>1.7932489451476793E-2</v>
      </c>
      <c r="K74" s="37">
        <f t="shared" si="2"/>
        <v>1.0548523206751054E-3</v>
      </c>
      <c r="L74" s="37">
        <f t="shared" si="2"/>
        <v>2.6371308016877635E-4</v>
      </c>
      <c r="M74" s="37">
        <f t="shared" si="2"/>
        <v>7.911392405063291E-4</v>
      </c>
      <c r="N74" s="37">
        <f t="shared" si="2"/>
        <v>0</v>
      </c>
      <c r="O74" s="37">
        <f t="shared" si="2"/>
        <v>0</v>
      </c>
      <c r="P74" s="37">
        <f t="shared" si="2"/>
        <v>1</v>
      </c>
      <c r="Q74" s="37">
        <f t="shared" si="2"/>
        <v>1</v>
      </c>
      <c r="R74" s="38">
        <f>R73/$R$73</f>
        <v>1</v>
      </c>
      <c r="S74" s="39">
        <f>S73/$Q$73</f>
        <v>2.1360759493670885E-2</v>
      </c>
      <c r="T74" s="1"/>
      <c r="U74" s="1"/>
      <c r="V74" s="1"/>
    </row>
    <row r="75" spans="2:22" x14ac:dyDescent="0.3">
      <c r="B75" s="1"/>
      <c r="C75" s="1"/>
      <c r="D75" s="1"/>
      <c r="E75" s="10"/>
      <c r="F75" s="10"/>
      <c r="G75" s="10"/>
      <c r="H75" s="10"/>
      <c r="I75" s="10"/>
      <c r="J75" s="10"/>
      <c r="K75" s="10"/>
      <c r="L75" s="10"/>
      <c r="M75" s="10"/>
      <c r="N75" s="64" t="s">
        <v>33</v>
      </c>
      <c r="O75" s="65"/>
      <c r="P75" s="65"/>
      <c r="Q75" s="21">
        <v>769</v>
      </c>
      <c r="R75" s="10"/>
      <c r="S75" s="10"/>
      <c r="T75" s="1"/>
      <c r="U75" s="1"/>
      <c r="V75" s="1"/>
    </row>
    <row r="76" spans="2:22" x14ac:dyDescent="0.3">
      <c r="B76" s="1"/>
      <c r="C76" s="1"/>
      <c r="D76" s="1"/>
      <c r="E76" s="10"/>
      <c r="F76" s="10"/>
      <c r="G76" s="10"/>
      <c r="H76" s="10"/>
      <c r="I76" s="10"/>
      <c r="J76" s="10"/>
      <c r="K76" s="10"/>
      <c r="L76" s="10"/>
      <c r="M76" s="10"/>
      <c r="N76" s="66" t="s">
        <v>34</v>
      </c>
      <c r="O76" s="67"/>
      <c r="P76" s="67"/>
      <c r="Q76" s="22">
        <v>9224</v>
      </c>
      <c r="R76" s="10"/>
      <c r="S76" s="10"/>
      <c r="T76" s="1"/>
      <c r="U76" s="1"/>
      <c r="V76" s="1"/>
    </row>
    <row r="77" spans="2:22" x14ac:dyDescent="0.3">
      <c r="B77" s="1"/>
      <c r="C77" s="1"/>
      <c r="D77" s="1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"/>
      <c r="U77" s="1"/>
      <c r="V77" s="1"/>
    </row>
    <row r="78" spans="2:22" x14ac:dyDescent="0.3">
      <c r="B78" s="1"/>
      <c r="C78" s="1"/>
      <c r="D78" s="1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"/>
      <c r="U78" s="1"/>
      <c r="V78" s="1"/>
    </row>
    <row r="79" spans="2:22" x14ac:dyDescent="0.3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 spans="2:22" x14ac:dyDescent="0.3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</sheetData>
  <mergeCells count="28">
    <mergeCell ref="C73:D73"/>
    <mergeCell ref="C74:D74"/>
    <mergeCell ref="N75:P75"/>
    <mergeCell ref="N76:P76"/>
    <mergeCell ref="B61:B64"/>
    <mergeCell ref="Q61:Q64"/>
    <mergeCell ref="B65:B68"/>
    <mergeCell ref="Q65:Q68"/>
    <mergeCell ref="B69:B72"/>
    <mergeCell ref="Q69:Q72"/>
    <mergeCell ref="B49:B52"/>
    <mergeCell ref="Q49:Q52"/>
    <mergeCell ref="B53:B56"/>
    <mergeCell ref="Q53:Q56"/>
    <mergeCell ref="B57:B60"/>
    <mergeCell ref="Q57:Q60"/>
    <mergeCell ref="B37:B40"/>
    <mergeCell ref="Q37:Q40"/>
    <mergeCell ref="B41:B44"/>
    <mergeCell ref="Q41:Q44"/>
    <mergeCell ref="B45:B48"/>
    <mergeCell ref="Q45:Q48"/>
    <mergeCell ref="C27:S27"/>
    <mergeCell ref="C28:D28"/>
    <mergeCell ref="B29:B32"/>
    <mergeCell ref="Q29:Q32"/>
    <mergeCell ref="B33:B36"/>
    <mergeCell ref="Q33:Q3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84A7B-840D-476C-8D38-015D3C3D8DAA}">
  <dimension ref="A1:F4"/>
  <sheetViews>
    <sheetView workbookViewId="0"/>
  </sheetViews>
  <sheetFormatPr baseColWidth="10" defaultColWidth="8.88671875" defaultRowHeight="14.4" x14ac:dyDescent="0.3"/>
  <sheetData>
    <row r="1" spans="1:6" x14ac:dyDescent="0.3">
      <c r="A1" s="1" t="s">
        <v>19</v>
      </c>
      <c r="B1" s="1">
        <f>Hoja1!Q73</f>
        <v>3792</v>
      </c>
      <c r="D1" s="3">
        <v>0.58333333333333337</v>
      </c>
      <c r="E1" s="14">
        <v>0.59375</v>
      </c>
      <c r="F1" s="11" t="e">
        <f>#REF!+#REF!+#REF!+#REF!+#REF!+#REF!+#REF!+#REF!+#REF!+#REF!+#REF!</f>
        <v>#REF!</v>
      </c>
    </row>
    <row r="2" spans="1:6" x14ac:dyDescent="0.3">
      <c r="A2" s="1" t="s">
        <v>20</v>
      </c>
      <c r="B2" s="40">
        <v>0.91529499999999997</v>
      </c>
      <c r="D2" s="4">
        <v>0.59375</v>
      </c>
      <c r="E2" s="15">
        <v>0.60416666666666663</v>
      </c>
      <c r="F2" s="12" t="e">
        <f>#REF!+#REF!+#REF!+#REF!+#REF!+#REF!+#REF!+#REF!+#REF!+#REF!+#REF!</f>
        <v>#REF!</v>
      </c>
    </row>
    <row r="3" spans="1:6" x14ac:dyDescent="0.3">
      <c r="A3" s="1" t="s">
        <v>21</v>
      </c>
      <c r="B3" s="1">
        <f>B1/B2</f>
        <v>4142.9265974357995</v>
      </c>
      <c r="D3" s="4">
        <v>0.60416666666666663</v>
      </c>
      <c r="E3" s="15">
        <v>0.61458333333333337</v>
      </c>
      <c r="F3" s="12" t="e">
        <f>#REF!+#REF!+#REF!+#REF!+#REF!+#REF!+#REF!+#REF!+#REF!+#REF!+#REF!</f>
        <v>#REF!</v>
      </c>
    </row>
    <row r="4" spans="1:6" x14ac:dyDescent="0.3">
      <c r="A4" s="1"/>
      <c r="B4" s="1"/>
      <c r="D4" s="5">
        <v>0.61458333333333337</v>
      </c>
      <c r="E4" s="16">
        <v>0.625</v>
      </c>
      <c r="F4" s="13" t="e">
        <f>#REF!+#REF!+#REF!+#REF!+#REF!+#REF!+#REF!+#REF!+#REF!+#REF!+#REF!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Carlos Tovar</cp:lastModifiedBy>
  <cp:revision/>
  <dcterms:created xsi:type="dcterms:W3CDTF">2023-12-06T04:59:40Z</dcterms:created>
  <dcterms:modified xsi:type="dcterms:W3CDTF">2024-01-21T18:40:52Z</dcterms:modified>
  <cp:category/>
  <cp:contentStatus/>
</cp:coreProperties>
</file>