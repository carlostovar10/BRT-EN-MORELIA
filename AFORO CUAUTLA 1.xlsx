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autla" sheetId="1" r:id="rId4"/>
  </sheets>
  <definedNames/>
  <calcPr/>
  <extLst>
    <ext uri="GoogleSheetsCustomDataVersion2">
      <go:sheetsCustomData xmlns:go="http://customooxmlschemas.google.com/" r:id="rId5" roundtripDataChecksum="zLgSFahg1owXvz/0GeRhljUv9tp/9RN7n8ZzovJpyuw="/>
    </ext>
  </extLst>
</workbook>
</file>

<file path=xl/sharedStrings.xml><?xml version="1.0" encoding="utf-8"?>
<sst xmlns="http://schemas.openxmlformats.org/spreadsheetml/2006/main" count="30" uniqueCount="30">
  <si>
    <t>María Fernanda Zarco Mejía</t>
  </si>
  <si>
    <t>Corregidora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</si>
  <si>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</si>
  <si>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</si>
  <si>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</si>
  <si>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</si>
  <si>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</si>
  <si>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</si>
  <si>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</si>
  <si>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</si>
  <si>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</si>
  <si>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</si>
  <si>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</si>
  <si>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</si>
  <si>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</si>
  <si>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</si>
  <si>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PEATONES</t>
  </si>
  <si>
    <t>NBL</t>
  </si>
  <si>
    <t>NBR</t>
  </si>
  <si>
    <t>SBS</t>
  </si>
  <si>
    <t>SBL</t>
  </si>
  <si>
    <t>SBR</t>
  </si>
  <si>
    <t>EBS</t>
  </si>
  <si>
    <t>EBR</t>
  </si>
  <si>
    <t>WBS</t>
  </si>
  <si>
    <t>WBL</t>
  </si>
  <si>
    <t>Suma</t>
  </si>
  <si>
    <t>Porcentaje</t>
  </si>
  <si>
    <t>Tránsito por hora</t>
  </si>
  <si>
    <t>Tránsito por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</si>
</sst>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7" fillId="0" fontId="4" numFmtId="21" xfId="0" applyAlignment="1" applyBorder="1" applyFont="1" applyNumberFormat="1">
      <alignment horizontal="center"/>
    </xf>
    <xf borderId="8" fillId="0" fontId="4" numFmtId="21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9" fillId="0" fontId="4" numFmtId="0" xfId="0" applyBorder="1" applyFont="1"/>
    <xf borderId="12" fillId="0" fontId="3" numFmtId="0" xfId="0" applyBorder="1" applyFont="1"/>
    <xf borderId="13" fillId="0" fontId="4" numFmtId="21" xfId="0" applyAlignment="1" applyBorder="1" applyFont="1" applyNumberFormat="1">
      <alignment horizontal="center"/>
    </xf>
    <xf borderId="14" fillId="0" fontId="4" numFmtId="21" xfId="0" applyAlignment="1" applyBorder="1" applyFont="1" applyNumberFormat="1">
      <alignment horizontal="center"/>
    </xf>
    <xf borderId="15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5" fillId="0" fontId="4" numFmtId="0" xfId="0" applyBorder="1" applyFont="1"/>
    <xf borderId="18" fillId="0" fontId="4" numFmtId="21" xfId="0" applyAlignment="1" applyBorder="1" applyFont="1" applyNumberFormat="1">
      <alignment horizontal="center"/>
    </xf>
    <xf borderId="19" fillId="0" fontId="4" numFmtId="21" xfId="0" applyAlignment="1" applyBorder="1" applyFont="1" applyNumberFormat="1">
      <alignment horizontal="center"/>
    </xf>
    <xf borderId="20" fillId="0" fontId="3" numFmtId="0" xfId="0" applyBorder="1" applyFont="1"/>
    <xf borderId="21" fillId="0" fontId="4" numFmtId="21" xfId="0" applyAlignment="1" applyBorder="1" applyFont="1" applyNumberFormat="1">
      <alignment horizontal="center"/>
    </xf>
    <xf borderId="22" fillId="0" fontId="4" numFmtId="21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/>
    </xf>
    <xf borderId="23" fillId="0" fontId="4" numFmtId="1" xfId="0" applyAlignment="1" applyBorder="1" applyFont="1" applyNumberFormat="1">
      <alignment horizontal="center" vertical="center"/>
    </xf>
    <xf borderId="5" fillId="0" fontId="4" numFmtId="1" xfId="0" applyAlignment="1" applyBorder="1" applyFont="1" applyNumberFormat="1">
      <alignment horizontal="center" vertical="center"/>
    </xf>
    <xf borderId="24" fillId="0" fontId="4" numFmtId="9" xfId="0" applyAlignment="1" applyBorder="1" applyFont="1" applyNumberFormat="1">
      <alignment horizontal="center" vertical="center"/>
    </xf>
    <xf borderId="25" fillId="0" fontId="4" numFmtId="9" xfId="0" applyAlignment="1" applyBorder="1" applyFont="1" applyNumberFormat="1">
      <alignment horizontal="center" vertical="center"/>
    </xf>
    <xf borderId="26" fillId="0" fontId="4" numFmtId="9" xfId="0" applyAlignment="1" applyBorder="1" applyFont="1" applyNumberFormat="1">
      <alignment horizontal="center" vertical="center"/>
    </xf>
    <xf borderId="27" fillId="0" fontId="4" numFmtId="9" xfId="0" applyAlignment="1" applyBorder="1" applyFont="1" applyNumberFormat="1">
      <alignment horizontal="center" vertical="center"/>
    </xf>
    <xf borderId="5" fillId="0" fontId="4" numFmtId="9" xfId="0" applyAlignment="1" applyBorder="1" applyFont="1" applyNumberFormat="1">
      <alignment horizontal="center" vertical="center"/>
    </xf>
    <xf borderId="0" fillId="0" fontId="4" numFmtId="164" xfId="0" applyFont="1" applyNumberFormat="1"/>
    <xf borderId="1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495300</xdr:colOff>
      <xdr:row>14</xdr:row>
      <xdr:rowOff>-9525</xdr:rowOff>
    </xdr:from>
    <xdr:ext cx="866775" cy="228600"/>
    <xdr:grpSp>
      <xdr:nvGrpSpPr>
        <xdr:cNvPr id="2" name="Shape 2"/>
        <xdr:cNvGrpSpPr/>
      </xdr:nvGrpSpPr>
      <xdr:grpSpPr>
        <a:xfrm>
          <a:off x="4912613" y="3665700"/>
          <a:ext cx="866775" cy="228600"/>
          <a:chOff x="4912613" y="3665700"/>
          <a:chExt cx="866775" cy="228600"/>
        </a:xfrm>
      </xdr:grpSpPr>
      <xdr:grpSp>
        <xdr:nvGrpSpPr>
          <xdr:cNvPr id="3" name="Shape 3"/>
          <xdr:cNvGrpSpPr/>
        </xdr:nvGrpSpPr>
        <xdr:grpSpPr>
          <a:xfrm>
            <a:off x="4912613" y="3665700"/>
            <a:ext cx="866775" cy="228600"/>
            <a:chOff x="4941188" y="3689513"/>
            <a:chExt cx="809625" cy="180975"/>
          </a:xfrm>
        </xdr:grpSpPr>
        <xdr:sp>
          <xdr:nvSpPr>
            <xdr:cNvPr id="4" name="Shape 4"/>
            <xdr:cNvSpPr/>
          </xdr:nvSpPr>
          <xdr:spPr>
            <a:xfrm>
              <a:off x="4941188" y="3689513"/>
              <a:ext cx="809625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flipH="1" rot="10800000">
              <a:off x="4941188" y="3689513"/>
              <a:ext cx="809625" cy="180975"/>
            </a:xfrm>
            <a:prstGeom prst="straightConnector1">
              <a:avLst/>
            </a:prstGeom>
            <a:noFill/>
            <a:ln cap="flat" cmpd="sng" w="57150">
              <a:solidFill>
                <a:schemeClr val="l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6</xdr:col>
      <xdr:colOff>685800</xdr:colOff>
      <xdr:row>16</xdr:row>
      <xdr:rowOff>57150</xdr:rowOff>
    </xdr:from>
    <xdr:ext cx="723900" cy="638175"/>
    <xdr:grpSp>
      <xdr:nvGrpSpPr>
        <xdr:cNvPr id="2" name="Shape 2"/>
        <xdr:cNvGrpSpPr/>
      </xdr:nvGrpSpPr>
      <xdr:grpSpPr>
        <a:xfrm>
          <a:off x="4921811" y="3373288"/>
          <a:ext cx="848378" cy="813425"/>
          <a:chOff x="4921811" y="3373288"/>
          <a:chExt cx="848378" cy="813425"/>
        </a:xfrm>
      </xdr:grpSpPr>
      <xdr:grpSp>
        <xdr:nvGrpSpPr>
          <xdr:cNvPr id="6" name="Shape 6"/>
          <xdr:cNvGrpSpPr/>
        </xdr:nvGrpSpPr>
        <xdr:grpSpPr>
          <a:xfrm>
            <a:off x="4921811" y="3373288"/>
            <a:ext cx="848378" cy="813425"/>
            <a:chOff x="4983207" y="3458273"/>
            <a:chExt cx="725586" cy="643456"/>
          </a:xfrm>
        </xdr:grpSpPr>
        <xdr:sp>
          <xdr:nvSpPr>
            <xdr:cNvPr id="4" name="Shape 4"/>
            <xdr:cNvSpPr/>
          </xdr:nvSpPr>
          <xdr:spPr>
            <a:xfrm>
              <a:off x="5036438" y="3527588"/>
              <a:ext cx="619125" cy="504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" name="Shape 7"/>
            <xdr:cNvGrpSpPr/>
          </xdr:nvGrpSpPr>
          <xdr:grpSpPr>
            <a:xfrm flipH="1" rot="9932224">
              <a:off x="5036438" y="3527588"/>
              <a:ext cx="619125" cy="504825"/>
              <a:chOff x="6143625" y="409575"/>
              <a:chExt cx="1266825" cy="466725"/>
            </a:xfrm>
          </xdr:grpSpPr>
          <xdr:sp>
            <xdr:nvSpPr>
              <xdr:cNvPr id="8" name="Shape 8"/>
              <xdr:cNvSpPr/>
            </xdr:nvSpPr>
            <xdr:spPr>
              <a:xfrm>
                <a:off x="6143625" y="409575"/>
                <a:ext cx="1266825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9" name="Shape 9"/>
              <xdr:cNvCxnSpPr/>
            </xdr:nvCxnSpPr>
            <xdr:spPr>
              <a:xfrm rot="10800000">
                <a:off x="7391400" y="409575"/>
                <a:ext cx="19050" cy="457200"/>
              </a:xfrm>
              <a:prstGeom prst="straightConnector1">
                <a:avLst/>
              </a:prstGeom>
              <a:noFill/>
              <a:ln cap="flat" cmpd="sng" w="57150">
                <a:solidFill>
                  <a:schemeClr val="lt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0" name="Shape 10"/>
              <xdr:cNvCxnSpPr/>
            </xdr:nvCxnSpPr>
            <xdr:spPr>
              <a:xfrm flipH="1">
                <a:off x="6143625" y="838200"/>
                <a:ext cx="1266825" cy="38100"/>
              </a:xfrm>
              <a:prstGeom prst="straightConnector1">
                <a:avLst/>
              </a:prstGeom>
              <a:noFill/>
              <a:ln cap="flat" cmpd="sng" w="76200">
                <a:solidFill>
                  <a:schemeClr val="lt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5</xdr:col>
      <xdr:colOff>19050</xdr:colOff>
      <xdr:row>15</xdr:row>
      <xdr:rowOff>161925</xdr:rowOff>
    </xdr:from>
    <xdr:ext cx="1447800" cy="609600"/>
    <xdr:sp>
      <xdr:nvSpPr>
        <xdr:cNvPr id="11" name="Shape 11"/>
        <xdr:cNvSpPr/>
      </xdr:nvSpPr>
      <xdr:spPr>
        <a:xfrm>
          <a:off x="4626863" y="3479963"/>
          <a:ext cx="1438275" cy="600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Arial"/>
            <a:buNone/>
          </a:pPr>
          <a:r>
            <a:rPr b="0" lang="en-US" sz="3200" cap="none">
              <a:solidFill>
                <a:schemeClr val="lt1"/>
              </a:solidFill>
            </a:rPr>
            <a:t>EBR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0</xdr:colOff>
      <xdr:row>13</xdr:row>
      <xdr:rowOff>47625</xdr:rowOff>
    </xdr:from>
    <xdr:ext cx="1447800" cy="609600"/>
    <xdr:sp>
      <xdr:nvSpPr>
        <xdr:cNvPr id="12" name="Shape 12"/>
        <xdr:cNvSpPr/>
      </xdr:nvSpPr>
      <xdr:spPr>
        <a:xfrm>
          <a:off x="4626863" y="3479963"/>
          <a:ext cx="1438275" cy="600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Arial"/>
            <a:buNone/>
          </a:pPr>
          <a:r>
            <a:rPr b="0" lang="en-US" sz="3200" cap="none">
              <a:solidFill>
                <a:schemeClr val="lt1"/>
              </a:solidFill>
            </a:rPr>
            <a:t>EBS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9</xdr:col>
      <xdr:colOff>-47625</xdr:colOff>
      <xdr:row>5</xdr:row>
      <xdr:rowOff>-19050</xdr:rowOff>
    </xdr:from>
    <xdr:ext cx="733425" cy="866775"/>
    <xdr:grpSp>
      <xdr:nvGrpSpPr>
        <xdr:cNvPr id="2" name="Shape 2"/>
        <xdr:cNvGrpSpPr/>
      </xdr:nvGrpSpPr>
      <xdr:grpSpPr>
        <a:xfrm>
          <a:off x="4878928" y="3287054"/>
          <a:ext cx="934145" cy="985892"/>
          <a:chOff x="4878928" y="3287054"/>
          <a:chExt cx="934145" cy="985892"/>
        </a:xfrm>
      </xdr:grpSpPr>
      <xdr:grpSp>
        <xdr:nvGrpSpPr>
          <xdr:cNvPr id="13" name="Shape 13"/>
          <xdr:cNvGrpSpPr/>
        </xdr:nvGrpSpPr>
        <xdr:grpSpPr>
          <a:xfrm>
            <a:off x="4878928" y="3287054"/>
            <a:ext cx="934145" cy="985892"/>
            <a:chOff x="5006311" y="3368309"/>
            <a:chExt cx="679378" cy="823382"/>
          </a:xfrm>
        </xdr:grpSpPr>
        <xdr:sp>
          <xdr:nvSpPr>
            <xdr:cNvPr id="4" name="Shape 4"/>
            <xdr:cNvSpPr/>
          </xdr:nvSpPr>
          <xdr:spPr>
            <a:xfrm>
              <a:off x="5079300" y="3418050"/>
              <a:ext cx="533400" cy="723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" name="Shape 14"/>
            <xdr:cNvCxnSpPr/>
          </xdr:nvCxnSpPr>
          <xdr:spPr>
            <a:xfrm rot="761306">
              <a:off x="5079300" y="3418050"/>
              <a:ext cx="533400" cy="723900"/>
            </a:xfrm>
            <a:prstGeom prst="straightConnector1">
              <a:avLst/>
            </a:prstGeom>
            <a:noFill/>
            <a:ln cap="flat" cmpd="sng" w="57150">
              <a:solidFill>
                <a:schemeClr val="l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8</xdr:col>
      <xdr:colOff>152400</xdr:colOff>
      <xdr:row>6</xdr:row>
      <xdr:rowOff>0</xdr:rowOff>
    </xdr:from>
    <xdr:ext cx="742950" cy="923925"/>
    <xdr:grpSp>
      <xdr:nvGrpSpPr>
        <xdr:cNvPr id="2" name="Shape 2"/>
        <xdr:cNvGrpSpPr/>
      </xdr:nvGrpSpPr>
      <xdr:grpSpPr>
        <a:xfrm>
          <a:off x="4974525" y="2888527"/>
          <a:ext cx="742950" cy="1782947"/>
          <a:chOff x="4974525" y="2888527"/>
          <a:chExt cx="742950" cy="1782947"/>
        </a:xfrm>
      </xdr:grpSpPr>
      <xdr:grpSp>
        <xdr:nvGrpSpPr>
          <xdr:cNvPr id="15" name="Shape 15"/>
          <xdr:cNvGrpSpPr/>
        </xdr:nvGrpSpPr>
        <xdr:grpSpPr>
          <a:xfrm>
            <a:off x="4974525" y="2888527"/>
            <a:ext cx="742950" cy="1782947"/>
            <a:chOff x="4945950" y="3320478"/>
            <a:chExt cx="800100" cy="919045"/>
          </a:xfrm>
        </xdr:grpSpPr>
        <xdr:sp>
          <xdr:nvSpPr>
            <xdr:cNvPr id="4" name="Shape 4"/>
            <xdr:cNvSpPr/>
          </xdr:nvSpPr>
          <xdr:spPr>
            <a:xfrm>
              <a:off x="4945950" y="3541875"/>
              <a:ext cx="800100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" name="Shape 16"/>
            <xdr:cNvGrpSpPr/>
          </xdr:nvGrpSpPr>
          <xdr:grpSpPr>
            <a:xfrm flipH="1" rot="-6691641">
              <a:off x="4945950" y="3541875"/>
              <a:ext cx="800100" cy="476250"/>
              <a:chOff x="6143625" y="409575"/>
              <a:chExt cx="1266825" cy="466725"/>
            </a:xfrm>
          </xdr:grpSpPr>
          <xdr:sp>
            <xdr:nvSpPr>
              <xdr:cNvPr id="17" name="Shape 17"/>
              <xdr:cNvSpPr/>
            </xdr:nvSpPr>
            <xdr:spPr>
              <a:xfrm>
                <a:off x="6143625" y="409575"/>
                <a:ext cx="1266825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18" name="Shape 18"/>
              <xdr:cNvCxnSpPr/>
            </xdr:nvCxnSpPr>
            <xdr:spPr>
              <a:xfrm rot="10800000">
                <a:off x="7391400" y="409575"/>
                <a:ext cx="19050" cy="457200"/>
              </a:xfrm>
              <a:prstGeom prst="straightConnector1">
                <a:avLst/>
              </a:prstGeom>
              <a:noFill/>
              <a:ln cap="flat" cmpd="sng" w="57150">
                <a:solidFill>
                  <a:schemeClr val="lt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9" name="Shape 19"/>
              <xdr:cNvCxnSpPr/>
            </xdr:nvCxnSpPr>
            <xdr:spPr>
              <a:xfrm flipH="1">
                <a:off x="6143625" y="838200"/>
                <a:ext cx="1266825" cy="38100"/>
              </a:xfrm>
              <a:prstGeom prst="straightConnector1">
                <a:avLst/>
              </a:prstGeom>
              <a:noFill/>
              <a:ln cap="flat" cmpd="sng" w="76200">
                <a:solidFill>
                  <a:schemeClr val="lt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9</xdr:col>
      <xdr:colOff>590550</xdr:colOff>
      <xdr:row>3</xdr:row>
      <xdr:rowOff>28575</xdr:rowOff>
    </xdr:from>
    <xdr:ext cx="704850" cy="904875"/>
    <xdr:grpSp>
      <xdr:nvGrpSpPr>
        <xdr:cNvPr id="2" name="Shape 2"/>
        <xdr:cNvGrpSpPr/>
      </xdr:nvGrpSpPr>
      <xdr:grpSpPr>
        <a:xfrm>
          <a:off x="4993575" y="2828493"/>
          <a:ext cx="704850" cy="1903017"/>
          <a:chOff x="4993575" y="2828493"/>
          <a:chExt cx="704850" cy="1903017"/>
        </a:xfrm>
      </xdr:grpSpPr>
      <xdr:grpSp>
        <xdr:nvGrpSpPr>
          <xdr:cNvPr id="20" name="Shape 20"/>
          <xdr:cNvGrpSpPr/>
        </xdr:nvGrpSpPr>
        <xdr:grpSpPr>
          <a:xfrm>
            <a:off x="4993575" y="2828493"/>
            <a:ext cx="704850" cy="1903017"/>
            <a:chOff x="4945950" y="3329286"/>
            <a:chExt cx="800100" cy="901429"/>
          </a:xfrm>
        </xdr:grpSpPr>
        <xdr:sp>
          <xdr:nvSpPr>
            <xdr:cNvPr id="4" name="Shape 4"/>
            <xdr:cNvSpPr/>
          </xdr:nvSpPr>
          <xdr:spPr>
            <a:xfrm>
              <a:off x="4945950" y="3565688"/>
              <a:ext cx="800100" cy="428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" name="Shape 21"/>
            <xdr:cNvGrpSpPr/>
          </xdr:nvGrpSpPr>
          <xdr:grpSpPr>
            <a:xfrm rot="4112904">
              <a:off x="4945950" y="3565688"/>
              <a:ext cx="800100" cy="428625"/>
              <a:chOff x="6143625" y="409575"/>
              <a:chExt cx="1266825" cy="466725"/>
            </a:xfrm>
          </xdr:grpSpPr>
          <xdr:sp>
            <xdr:nvSpPr>
              <xdr:cNvPr id="22" name="Shape 22"/>
              <xdr:cNvSpPr/>
            </xdr:nvSpPr>
            <xdr:spPr>
              <a:xfrm>
                <a:off x="6143625" y="409575"/>
                <a:ext cx="1266825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23" name="Shape 23"/>
              <xdr:cNvCxnSpPr/>
            </xdr:nvCxnSpPr>
            <xdr:spPr>
              <a:xfrm rot="10800000">
                <a:off x="7391400" y="409575"/>
                <a:ext cx="19050" cy="457200"/>
              </a:xfrm>
              <a:prstGeom prst="straightConnector1">
                <a:avLst/>
              </a:prstGeom>
              <a:noFill/>
              <a:ln cap="flat" cmpd="sng" w="57150">
                <a:solidFill>
                  <a:schemeClr val="lt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24" name="Shape 24"/>
              <xdr:cNvCxnSpPr/>
            </xdr:nvCxnSpPr>
            <xdr:spPr>
              <a:xfrm flipH="1">
                <a:off x="6143625" y="838200"/>
                <a:ext cx="1266825" cy="38100"/>
              </a:xfrm>
              <a:prstGeom prst="straightConnector1">
                <a:avLst/>
              </a:prstGeom>
              <a:noFill/>
              <a:ln cap="flat" cmpd="sng" w="76200">
                <a:solidFill>
                  <a:schemeClr val="lt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7</xdr:col>
      <xdr:colOff>238125</xdr:colOff>
      <xdr:row>3</xdr:row>
      <xdr:rowOff>47625</xdr:rowOff>
    </xdr:from>
    <xdr:ext cx="1504950" cy="838200"/>
    <xdr:sp>
      <xdr:nvSpPr>
        <xdr:cNvPr id="25" name="Shape 25"/>
        <xdr:cNvSpPr/>
      </xdr:nvSpPr>
      <xdr:spPr>
        <a:xfrm flipH="1" rot="-167414">
          <a:off x="4607813" y="3389475"/>
          <a:ext cx="1476375" cy="7810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Arial"/>
            <a:buNone/>
          </a:pPr>
          <a:r>
            <a:rPr b="0" lang="en-US" sz="3200" cap="none">
              <a:solidFill>
                <a:schemeClr val="lt1"/>
              </a:solidFill>
            </a:rPr>
            <a:t>SBR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542925</xdr:colOff>
      <xdr:row>0</xdr:row>
      <xdr:rowOff>66675</xdr:rowOff>
    </xdr:from>
    <xdr:ext cx="1504950" cy="838200"/>
    <xdr:sp>
      <xdr:nvSpPr>
        <xdr:cNvPr id="26" name="Shape 26"/>
        <xdr:cNvSpPr/>
      </xdr:nvSpPr>
      <xdr:spPr>
        <a:xfrm flipH="1" rot="-167414">
          <a:off x="4607813" y="3389475"/>
          <a:ext cx="1476375" cy="7810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Arial"/>
            <a:buNone/>
          </a:pPr>
          <a:r>
            <a:rPr b="0" lang="en-US" sz="3200" cap="none">
              <a:solidFill>
                <a:schemeClr val="lt1"/>
              </a:solidFill>
            </a:rPr>
            <a:t>SBL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76200</xdr:colOff>
      <xdr:row>2</xdr:row>
      <xdr:rowOff>-9525</xdr:rowOff>
    </xdr:from>
    <xdr:ext cx="1504950" cy="838200"/>
    <xdr:sp>
      <xdr:nvSpPr>
        <xdr:cNvPr id="27" name="Shape 27"/>
        <xdr:cNvSpPr/>
      </xdr:nvSpPr>
      <xdr:spPr>
        <a:xfrm flipH="1" rot="-167414">
          <a:off x="4607813" y="3389475"/>
          <a:ext cx="1476375" cy="7810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Arial"/>
            <a:buNone/>
          </a:pPr>
          <a:r>
            <a:rPr b="0" lang="en-US" sz="3200" cap="none">
              <a:solidFill>
                <a:schemeClr val="lt1"/>
              </a:solidFill>
            </a:rPr>
            <a:t>SBS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12</xdr:col>
      <xdr:colOff>57150</xdr:colOff>
      <xdr:row>17</xdr:row>
      <xdr:rowOff>66675</xdr:rowOff>
    </xdr:from>
    <xdr:ext cx="790575" cy="828675"/>
    <xdr:grpSp>
      <xdr:nvGrpSpPr>
        <xdr:cNvPr id="2" name="Shape 2"/>
        <xdr:cNvGrpSpPr/>
      </xdr:nvGrpSpPr>
      <xdr:grpSpPr>
        <a:xfrm>
          <a:off x="4896730" y="3053632"/>
          <a:ext cx="898540" cy="1452737"/>
          <a:chOff x="4896730" y="3053632"/>
          <a:chExt cx="898540" cy="1452737"/>
        </a:xfrm>
      </xdr:grpSpPr>
      <xdr:grpSp>
        <xdr:nvGrpSpPr>
          <xdr:cNvPr id="28" name="Shape 28"/>
          <xdr:cNvGrpSpPr/>
        </xdr:nvGrpSpPr>
        <xdr:grpSpPr>
          <a:xfrm>
            <a:off x="4896730" y="3053632"/>
            <a:ext cx="898540" cy="1452737"/>
            <a:chOff x="4956272" y="3362547"/>
            <a:chExt cx="779456" cy="834906"/>
          </a:xfrm>
        </xdr:grpSpPr>
        <xdr:sp>
          <xdr:nvSpPr>
            <xdr:cNvPr id="4" name="Shape 4"/>
            <xdr:cNvSpPr/>
          </xdr:nvSpPr>
          <xdr:spPr>
            <a:xfrm>
              <a:off x="5003100" y="3541875"/>
              <a:ext cx="685800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9" name="Shape 29"/>
            <xdr:cNvGrpSpPr/>
          </xdr:nvGrpSpPr>
          <xdr:grpSpPr>
            <a:xfrm rot="-7452947">
              <a:off x="5003100" y="3541875"/>
              <a:ext cx="685800" cy="476250"/>
              <a:chOff x="6143625" y="409575"/>
              <a:chExt cx="1266825" cy="466725"/>
            </a:xfrm>
          </xdr:grpSpPr>
          <xdr:sp>
            <xdr:nvSpPr>
              <xdr:cNvPr id="30" name="Shape 30"/>
              <xdr:cNvSpPr/>
            </xdr:nvSpPr>
            <xdr:spPr>
              <a:xfrm>
                <a:off x="6143625" y="409575"/>
                <a:ext cx="1266825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31" name="Shape 31"/>
              <xdr:cNvCxnSpPr/>
            </xdr:nvCxnSpPr>
            <xdr:spPr>
              <a:xfrm rot="10800000">
                <a:off x="7391400" y="409575"/>
                <a:ext cx="19050" cy="457200"/>
              </a:xfrm>
              <a:prstGeom prst="straightConnector1">
                <a:avLst/>
              </a:prstGeom>
              <a:noFill/>
              <a:ln cap="flat" cmpd="sng" w="57150">
                <a:solidFill>
                  <a:schemeClr val="lt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32" name="Shape 32"/>
              <xdr:cNvCxnSpPr/>
            </xdr:nvCxnSpPr>
            <xdr:spPr>
              <a:xfrm flipH="1">
                <a:off x="6143625" y="838200"/>
                <a:ext cx="1266825" cy="38100"/>
              </a:xfrm>
              <a:prstGeom prst="straightConnector1">
                <a:avLst/>
              </a:prstGeom>
              <a:noFill/>
              <a:ln cap="flat" cmpd="sng" w="76200">
                <a:solidFill>
                  <a:schemeClr val="lt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13</xdr:col>
      <xdr:colOff>142875</xdr:colOff>
      <xdr:row>13</xdr:row>
      <xdr:rowOff>-19050</xdr:rowOff>
    </xdr:from>
    <xdr:ext cx="790575" cy="762000"/>
    <xdr:grpSp>
      <xdr:nvGrpSpPr>
        <xdr:cNvPr id="2" name="Shape 2"/>
        <xdr:cNvGrpSpPr/>
      </xdr:nvGrpSpPr>
      <xdr:grpSpPr>
        <a:xfrm>
          <a:off x="4836159" y="3193018"/>
          <a:ext cx="1019682" cy="1173965"/>
          <a:chOff x="4836159" y="3193018"/>
          <a:chExt cx="1019682" cy="1173965"/>
        </a:xfrm>
      </xdr:grpSpPr>
      <xdr:grpSp>
        <xdr:nvGrpSpPr>
          <xdr:cNvPr id="33" name="Shape 33"/>
          <xdr:cNvGrpSpPr/>
        </xdr:nvGrpSpPr>
        <xdr:grpSpPr>
          <a:xfrm>
            <a:off x="4836159" y="3193018"/>
            <a:ext cx="1019682" cy="1173965"/>
            <a:chOff x="4946727" y="3391125"/>
            <a:chExt cx="798546" cy="777752"/>
          </a:xfrm>
        </xdr:grpSpPr>
        <xdr:sp>
          <xdr:nvSpPr>
            <xdr:cNvPr id="4" name="Shape 4"/>
            <xdr:cNvSpPr/>
          </xdr:nvSpPr>
          <xdr:spPr>
            <a:xfrm>
              <a:off x="5036438" y="3527588"/>
              <a:ext cx="619125" cy="504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4" name="Shape 34"/>
            <xdr:cNvGrpSpPr/>
          </xdr:nvGrpSpPr>
          <xdr:grpSpPr>
            <a:xfrm flipH="1" rot="2256527">
              <a:off x="5036438" y="3527588"/>
              <a:ext cx="619125" cy="504825"/>
              <a:chOff x="6143625" y="409575"/>
              <a:chExt cx="1266825" cy="466725"/>
            </a:xfrm>
          </xdr:grpSpPr>
          <xdr:sp>
            <xdr:nvSpPr>
              <xdr:cNvPr id="35" name="Shape 35"/>
              <xdr:cNvSpPr/>
            </xdr:nvSpPr>
            <xdr:spPr>
              <a:xfrm>
                <a:off x="6143625" y="409575"/>
                <a:ext cx="1266825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36" name="Shape 36"/>
              <xdr:cNvCxnSpPr/>
            </xdr:nvCxnSpPr>
            <xdr:spPr>
              <a:xfrm rot="10800000">
                <a:off x="7391400" y="409575"/>
                <a:ext cx="19050" cy="457200"/>
              </a:xfrm>
              <a:prstGeom prst="straightConnector1">
                <a:avLst/>
              </a:prstGeom>
              <a:noFill/>
              <a:ln cap="flat" cmpd="sng" w="57150">
                <a:solidFill>
                  <a:schemeClr val="lt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37" name="Shape 37"/>
              <xdr:cNvCxnSpPr/>
            </xdr:nvCxnSpPr>
            <xdr:spPr>
              <a:xfrm flipH="1">
                <a:off x="6143625" y="838200"/>
                <a:ext cx="1266825" cy="38100"/>
              </a:xfrm>
              <a:prstGeom prst="straightConnector1">
                <a:avLst/>
              </a:prstGeom>
              <a:noFill/>
              <a:ln cap="flat" cmpd="sng" w="76200">
                <a:solidFill>
                  <a:schemeClr val="lt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13</xdr:col>
      <xdr:colOff>523875</xdr:colOff>
      <xdr:row>15</xdr:row>
      <xdr:rowOff>142875</xdr:rowOff>
    </xdr:from>
    <xdr:ext cx="1447800" cy="609600"/>
    <xdr:sp>
      <xdr:nvSpPr>
        <xdr:cNvPr id="38" name="Shape 38"/>
        <xdr:cNvSpPr/>
      </xdr:nvSpPr>
      <xdr:spPr>
        <a:xfrm>
          <a:off x="4626863" y="3479963"/>
          <a:ext cx="1438275" cy="600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Arial"/>
            <a:buNone/>
          </a:pPr>
          <a:r>
            <a:rPr b="0" lang="en-US" sz="3200" cap="none">
              <a:solidFill>
                <a:schemeClr val="lt1"/>
              </a:solidFill>
            </a:rPr>
            <a:t>NBR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12</xdr:col>
      <xdr:colOff>257175</xdr:colOff>
      <xdr:row>20</xdr:row>
      <xdr:rowOff>47625</xdr:rowOff>
    </xdr:from>
    <xdr:ext cx="1447800" cy="609600"/>
    <xdr:sp>
      <xdr:nvSpPr>
        <xdr:cNvPr id="39" name="Shape 39"/>
        <xdr:cNvSpPr/>
      </xdr:nvSpPr>
      <xdr:spPr>
        <a:xfrm>
          <a:off x="4626863" y="3479963"/>
          <a:ext cx="1438275" cy="600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Arial"/>
            <a:buNone/>
          </a:pPr>
          <a:r>
            <a:rPr b="0" lang="en-US" sz="3200" cap="none">
              <a:solidFill>
                <a:schemeClr val="lt1"/>
              </a:solidFill>
            </a:rPr>
            <a:t>NBL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11</xdr:col>
      <xdr:colOff>314325</xdr:colOff>
      <xdr:row>6</xdr:row>
      <xdr:rowOff>-19050</xdr:rowOff>
    </xdr:from>
    <xdr:ext cx="838200" cy="161925"/>
    <xdr:grpSp>
      <xdr:nvGrpSpPr>
        <xdr:cNvPr id="2" name="Shape 2"/>
        <xdr:cNvGrpSpPr/>
      </xdr:nvGrpSpPr>
      <xdr:grpSpPr>
        <a:xfrm>
          <a:off x="4926900" y="3699038"/>
          <a:ext cx="838200" cy="161925"/>
          <a:chOff x="4926900" y="3699038"/>
          <a:chExt cx="838200" cy="161925"/>
        </a:xfrm>
      </xdr:grpSpPr>
      <xdr:grpSp>
        <xdr:nvGrpSpPr>
          <xdr:cNvPr id="40" name="Shape 40"/>
          <xdr:cNvGrpSpPr/>
        </xdr:nvGrpSpPr>
        <xdr:grpSpPr>
          <a:xfrm>
            <a:off x="4926900" y="3699038"/>
            <a:ext cx="838200" cy="161925"/>
            <a:chOff x="4955475" y="3727613"/>
            <a:chExt cx="781050" cy="104775"/>
          </a:xfrm>
        </xdr:grpSpPr>
        <xdr:sp>
          <xdr:nvSpPr>
            <xdr:cNvPr id="4" name="Shape 4"/>
            <xdr:cNvSpPr/>
          </xdr:nvSpPr>
          <xdr:spPr>
            <a:xfrm>
              <a:off x="4955475" y="3727613"/>
              <a:ext cx="781050" cy="104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1" name="Shape 41"/>
            <xdr:cNvCxnSpPr/>
          </xdr:nvCxnSpPr>
          <xdr:spPr>
            <a:xfrm flipH="1">
              <a:off x="4955475" y="3727613"/>
              <a:ext cx="781050" cy="104775"/>
            </a:xfrm>
            <a:prstGeom prst="straightConnector1">
              <a:avLst/>
            </a:prstGeom>
            <a:noFill/>
            <a:ln cap="flat" cmpd="sng" w="57150">
              <a:solidFill>
                <a:schemeClr val="l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11</xdr:col>
      <xdr:colOff>571500</xdr:colOff>
      <xdr:row>7</xdr:row>
      <xdr:rowOff>95250</xdr:rowOff>
    </xdr:from>
    <xdr:ext cx="809625" cy="609600"/>
    <xdr:grpSp>
      <xdr:nvGrpSpPr>
        <xdr:cNvPr id="2" name="Shape 2"/>
        <xdr:cNvGrpSpPr/>
      </xdr:nvGrpSpPr>
      <xdr:grpSpPr>
        <a:xfrm>
          <a:off x="4902264" y="3409092"/>
          <a:ext cx="887473" cy="741817"/>
          <a:chOff x="4902264" y="3409092"/>
          <a:chExt cx="887473" cy="741817"/>
        </a:xfrm>
      </xdr:grpSpPr>
      <xdr:grpSp>
        <xdr:nvGrpSpPr>
          <xdr:cNvPr id="42" name="Shape 42"/>
          <xdr:cNvGrpSpPr/>
        </xdr:nvGrpSpPr>
        <xdr:grpSpPr>
          <a:xfrm>
            <a:off x="4902264" y="3409092"/>
            <a:ext cx="887473" cy="741817"/>
            <a:chOff x="4944027" y="3472842"/>
            <a:chExt cx="803946" cy="614317"/>
          </a:xfrm>
        </xdr:grpSpPr>
        <xdr:sp>
          <xdr:nvSpPr>
            <xdr:cNvPr id="4" name="Shape 4"/>
            <xdr:cNvSpPr/>
          </xdr:nvSpPr>
          <xdr:spPr>
            <a:xfrm>
              <a:off x="4979288" y="3527588"/>
              <a:ext cx="733425" cy="504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3" name="Shape 43"/>
            <xdr:cNvGrpSpPr/>
          </xdr:nvGrpSpPr>
          <xdr:grpSpPr>
            <a:xfrm rot="10254806">
              <a:off x="4979288" y="3527588"/>
              <a:ext cx="733425" cy="504825"/>
              <a:chOff x="6143625" y="409575"/>
              <a:chExt cx="1266825" cy="466725"/>
            </a:xfrm>
          </xdr:grpSpPr>
          <xdr:sp>
            <xdr:nvSpPr>
              <xdr:cNvPr id="44" name="Shape 44"/>
              <xdr:cNvSpPr/>
            </xdr:nvSpPr>
            <xdr:spPr>
              <a:xfrm>
                <a:off x="6143625" y="409575"/>
                <a:ext cx="1266825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45" name="Shape 45"/>
              <xdr:cNvCxnSpPr/>
            </xdr:nvCxnSpPr>
            <xdr:spPr>
              <a:xfrm rot="10800000">
                <a:off x="7391400" y="409575"/>
                <a:ext cx="19050" cy="457200"/>
              </a:xfrm>
              <a:prstGeom prst="straightConnector1">
                <a:avLst/>
              </a:prstGeom>
              <a:noFill/>
              <a:ln cap="flat" cmpd="sng" w="57150">
                <a:solidFill>
                  <a:schemeClr val="lt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46" name="Shape 46"/>
              <xdr:cNvCxnSpPr/>
            </xdr:nvCxnSpPr>
            <xdr:spPr>
              <a:xfrm flipH="1">
                <a:off x="6143625" y="838200"/>
                <a:ext cx="1266825" cy="38100"/>
              </a:xfrm>
              <a:prstGeom prst="straightConnector1">
                <a:avLst/>
              </a:prstGeom>
              <a:noFill/>
              <a:ln cap="flat" cmpd="sng" w="76200">
                <a:solidFill>
                  <a:schemeClr val="lt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12</xdr:col>
      <xdr:colOff>400050</xdr:colOff>
      <xdr:row>6</xdr:row>
      <xdr:rowOff>66675</xdr:rowOff>
    </xdr:from>
    <xdr:ext cx="1447800" cy="609600"/>
    <xdr:sp>
      <xdr:nvSpPr>
        <xdr:cNvPr id="47" name="Shape 47"/>
        <xdr:cNvSpPr/>
      </xdr:nvSpPr>
      <xdr:spPr>
        <a:xfrm>
          <a:off x="4626863" y="3479963"/>
          <a:ext cx="1438275" cy="600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Arial"/>
            <a:buNone/>
          </a:pPr>
          <a:r>
            <a:rPr b="0" lang="en-US" sz="3200" cap="none">
              <a:solidFill>
                <a:schemeClr val="lt1"/>
              </a:solidFill>
            </a:rPr>
            <a:t>WBL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12</xdr:col>
      <xdr:colOff>161925</xdr:colOff>
      <xdr:row>3</xdr:row>
      <xdr:rowOff>95250</xdr:rowOff>
    </xdr:from>
    <xdr:ext cx="1447800" cy="609600"/>
    <xdr:sp>
      <xdr:nvSpPr>
        <xdr:cNvPr id="48" name="Shape 48"/>
        <xdr:cNvSpPr/>
      </xdr:nvSpPr>
      <xdr:spPr>
        <a:xfrm>
          <a:off x="4626863" y="3479963"/>
          <a:ext cx="1438275" cy="600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Arial"/>
            <a:buNone/>
          </a:pPr>
          <a:r>
            <a:rPr b="0" lang="en-US" sz="3200" cap="none">
              <a:solidFill>
                <a:schemeClr val="lt1"/>
              </a:solidFill>
            </a:rPr>
            <a:t>WBS</a:t>
          </a:r>
          <a:endParaRPr b="0" sz="54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228600</xdr:colOff>
      <xdr:row>0</xdr:row>
      <xdr:rowOff>161925</xdr:rowOff>
    </xdr:from>
    <xdr:ext cx="8610600" cy="445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>
      <c r="C28" s="2" t="s">
        <v>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4"/>
    </row>
    <row r="29" ht="14.25" customHeight="1">
      <c r="C29" s="5" t="s">
        <v>2</v>
      </c>
      <c r="D29" s="6"/>
      <c r="E29" s="7" t="s">
        <v>3</v>
      </c>
      <c r="F29" s="7" t="s">
        <v>4</v>
      </c>
      <c r="G29" s="7" t="s">
        <v>5</v>
      </c>
      <c r="H29" s="7" t="s">
        <v>6</v>
      </c>
      <c r="I29" s="7" t="s">
        <v>7</v>
      </c>
      <c r="J29" s="7" t="s">
        <v>8</v>
      </c>
      <c r="K29" s="7" t="s">
        <v>9</v>
      </c>
      <c r="L29" s="7" t="s">
        <v>10</v>
      </c>
      <c r="M29" s="7" t="s">
        <v>11</v>
      </c>
      <c r="N29" s="7" t="s">
        <v>12</v>
      </c>
      <c r="O29" s="7" t="s">
        <v>13</v>
      </c>
      <c r="P29" s="7" t="s">
        <v>14</v>
      </c>
      <c r="Q29" s="7" t="s">
        <v>15</v>
      </c>
      <c r="R29" s="7" t="s">
        <v>16</v>
      </c>
    </row>
    <row r="30" ht="14.25" customHeight="1">
      <c r="B30" s="8" t="s">
        <v>17</v>
      </c>
      <c r="C30" s="9">
        <v>0.5416666666666666</v>
      </c>
      <c r="D30" s="10">
        <v>0.5520833333333334</v>
      </c>
      <c r="E30" s="11">
        <v>2.0</v>
      </c>
      <c r="F30" s="11">
        <v>2.0</v>
      </c>
      <c r="G30" s="11">
        <v>6.0</v>
      </c>
      <c r="H30" s="11"/>
      <c r="I30" s="11"/>
      <c r="J30" s="11"/>
      <c r="K30" s="11"/>
      <c r="L30" s="11"/>
      <c r="M30" s="11"/>
      <c r="N30" s="11"/>
      <c r="O30" s="12"/>
      <c r="P30" s="13">
        <f t="shared" ref="P30:P65" si="1">SUM(E30:O30)</f>
        <v>10</v>
      </c>
      <c r="Q30" s="8">
        <f>SUM(P30:P33)</f>
        <v>33</v>
      </c>
      <c r="R30" s="14">
        <v>6.0</v>
      </c>
    </row>
    <row r="31" ht="14.25" customHeight="1">
      <c r="B31" s="15"/>
      <c r="C31" s="16">
        <v>0.5520833333333334</v>
      </c>
      <c r="D31" s="17">
        <v>0.5625</v>
      </c>
      <c r="E31" s="18">
        <v>1.0</v>
      </c>
      <c r="F31" s="18">
        <v>1.0</v>
      </c>
      <c r="G31" s="18">
        <v>5.0</v>
      </c>
      <c r="H31" s="18"/>
      <c r="I31" s="18"/>
      <c r="J31" s="18">
        <v>1.0</v>
      </c>
      <c r="K31" s="18"/>
      <c r="L31" s="18"/>
      <c r="M31" s="18"/>
      <c r="N31" s="18"/>
      <c r="O31" s="19"/>
      <c r="P31" s="20">
        <f t="shared" si="1"/>
        <v>8</v>
      </c>
      <c r="Q31" s="15"/>
      <c r="R31" s="21"/>
    </row>
    <row r="32" ht="14.25" customHeight="1">
      <c r="B32" s="15"/>
      <c r="C32" s="22">
        <v>0.5625</v>
      </c>
      <c r="D32" s="23">
        <v>0.5729166666666666</v>
      </c>
      <c r="E32" s="18">
        <v>1.0</v>
      </c>
      <c r="F32" s="18"/>
      <c r="G32" s="18">
        <v>3.0</v>
      </c>
      <c r="H32" s="18"/>
      <c r="I32" s="18"/>
      <c r="J32" s="18"/>
      <c r="K32" s="18"/>
      <c r="L32" s="18"/>
      <c r="M32" s="18"/>
      <c r="N32" s="18"/>
      <c r="O32" s="19"/>
      <c r="P32" s="20">
        <f t="shared" si="1"/>
        <v>4</v>
      </c>
      <c r="Q32" s="15"/>
      <c r="R32" s="21"/>
    </row>
    <row r="33" ht="14.25" customHeight="1">
      <c r="B33" s="24"/>
      <c r="C33" s="25">
        <v>0.5729166666666666</v>
      </c>
      <c r="D33" s="26">
        <v>0.5833333333333334</v>
      </c>
      <c r="E33" s="18">
        <v>3.0</v>
      </c>
      <c r="F33" s="18">
        <v>2.0</v>
      </c>
      <c r="G33" s="18">
        <v>6.0</v>
      </c>
      <c r="H33" s="18"/>
      <c r="I33" s="18"/>
      <c r="J33" s="18"/>
      <c r="K33" s="18"/>
      <c r="L33" s="18"/>
      <c r="M33" s="18"/>
      <c r="N33" s="18"/>
      <c r="O33" s="19"/>
      <c r="P33" s="20">
        <f t="shared" si="1"/>
        <v>11</v>
      </c>
      <c r="Q33" s="24"/>
      <c r="R33" s="21"/>
    </row>
    <row r="34" ht="14.25" customHeight="1">
      <c r="B34" s="8" t="s">
        <v>18</v>
      </c>
      <c r="C34" s="9">
        <v>0.5416666666666666</v>
      </c>
      <c r="D34" s="10">
        <v>0.5520833333333334</v>
      </c>
      <c r="E34" s="18">
        <v>2.0</v>
      </c>
      <c r="F34" s="18"/>
      <c r="G34" s="18">
        <v>5.0</v>
      </c>
      <c r="H34" s="18"/>
      <c r="I34" s="18"/>
      <c r="J34" s="18"/>
      <c r="K34" s="18"/>
      <c r="L34" s="18"/>
      <c r="M34" s="18"/>
      <c r="N34" s="18"/>
      <c r="O34" s="19"/>
      <c r="P34" s="20">
        <f t="shared" si="1"/>
        <v>7</v>
      </c>
      <c r="Q34" s="8">
        <f>SUM(P34:P37)</f>
        <v>34</v>
      </c>
      <c r="R34" s="21"/>
    </row>
    <row r="35" ht="14.25" customHeight="1">
      <c r="B35" s="15"/>
      <c r="C35" s="16">
        <v>0.5520833333333334</v>
      </c>
      <c r="D35" s="17">
        <v>0.5625</v>
      </c>
      <c r="E35" s="18">
        <v>1.0</v>
      </c>
      <c r="F35" s="18">
        <v>1.0</v>
      </c>
      <c r="G35" s="18">
        <v>5.0</v>
      </c>
      <c r="H35" s="18"/>
      <c r="I35" s="18"/>
      <c r="J35" s="18"/>
      <c r="K35" s="18"/>
      <c r="L35" s="18"/>
      <c r="M35" s="18"/>
      <c r="N35" s="18"/>
      <c r="O35" s="19"/>
      <c r="P35" s="20">
        <f t="shared" si="1"/>
        <v>7</v>
      </c>
      <c r="Q35" s="15"/>
      <c r="R35" s="21"/>
    </row>
    <row r="36" ht="14.25" customHeight="1">
      <c r="B36" s="15"/>
      <c r="C36" s="22">
        <v>0.5625</v>
      </c>
      <c r="D36" s="23">
        <v>0.5729166666666666</v>
      </c>
      <c r="E36" s="18">
        <v>1.0</v>
      </c>
      <c r="F36" s="18">
        <v>1.0</v>
      </c>
      <c r="G36" s="18">
        <v>8.0</v>
      </c>
      <c r="H36" s="18"/>
      <c r="I36" s="18"/>
      <c r="J36" s="18"/>
      <c r="K36" s="18"/>
      <c r="L36" s="18"/>
      <c r="M36" s="18"/>
      <c r="N36" s="18"/>
      <c r="O36" s="19"/>
      <c r="P36" s="20">
        <f t="shared" si="1"/>
        <v>10</v>
      </c>
      <c r="Q36" s="15"/>
      <c r="R36" s="21"/>
    </row>
    <row r="37" ht="14.25" customHeight="1">
      <c r="B37" s="24"/>
      <c r="C37" s="25">
        <v>0.5729166666666666</v>
      </c>
      <c r="D37" s="26">
        <v>0.5833333333333334</v>
      </c>
      <c r="E37" s="18">
        <v>2.0</v>
      </c>
      <c r="F37" s="18">
        <v>2.0</v>
      </c>
      <c r="G37" s="18">
        <v>6.0</v>
      </c>
      <c r="H37" s="18"/>
      <c r="I37" s="18"/>
      <c r="J37" s="18"/>
      <c r="K37" s="18"/>
      <c r="L37" s="18"/>
      <c r="M37" s="18"/>
      <c r="N37" s="18"/>
      <c r="O37" s="19"/>
      <c r="P37" s="20">
        <f t="shared" si="1"/>
        <v>10</v>
      </c>
      <c r="Q37" s="24"/>
      <c r="R37" s="21"/>
    </row>
    <row r="38" ht="14.25" customHeight="1">
      <c r="B38" s="8" t="s">
        <v>19</v>
      </c>
      <c r="C38" s="9">
        <v>0.5416666666666666</v>
      </c>
      <c r="D38" s="10">
        <v>0.5520833333333334</v>
      </c>
      <c r="E38" s="18">
        <v>10.0</v>
      </c>
      <c r="F38" s="18">
        <v>10.0</v>
      </c>
      <c r="G38" s="18">
        <v>40.0</v>
      </c>
      <c r="H38" s="18">
        <v>3.0</v>
      </c>
      <c r="I38" s="18"/>
      <c r="J38" s="18"/>
      <c r="K38" s="18"/>
      <c r="L38" s="18"/>
      <c r="M38" s="18"/>
      <c r="N38" s="18"/>
      <c r="O38" s="19"/>
      <c r="P38" s="20">
        <f t="shared" si="1"/>
        <v>63</v>
      </c>
      <c r="Q38" s="8">
        <f>SUM(P38:P41)</f>
        <v>290</v>
      </c>
      <c r="R38" s="21"/>
    </row>
    <row r="39" ht="14.25" customHeight="1">
      <c r="B39" s="15"/>
      <c r="C39" s="16">
        <v>0.5520833333333334</v>
      </c>
      <c r="D39" s="17">
        <v>0.5625</v>
      </c>
      <c r="E39" s="18">
        <v>10.0</v>
      </c>
      <c r="F39" s="18">
        <v>9.0</v>
      </c>
      <c r="G39" s="18">
        <v>37.0</v>
      </c>
      <c r="H39" s="18">
        <v>3.0</v>
      </c>
      <c r="I39" s="18"/>
      <c r="J39" s="18">
        <v>1.0</v>
      </c>
      <c r="K39" s="18"/>
      <c r="L39" s="18"/>
      <c r="M39" s="18"/>
      <c r="N39" s="18"/>
      <c r="O39" s="19"/>
      <c r="P39" s="20">
        <f t="shared" si="1"/>
        <v>60</v>
      </c>
      <c r="Q39" s="15"/>
      <c r="R39" s="21"/>
    </row>
    <row r="40" ht="14.25" customHeight="1">
      <c r="B40" s="15"/>
      <c r="C40" s="22">
        <v>0.5625</v>
      </c>
      <c r="D40" s="23">
        <v>0.5729166666666666</v>
      </c>
      <c r="E40" s="18">
        <v>13.0</v>
      </c>
      <c r="F40" s="18">
        <v>11.0</v>
      </c>
      <c r="G40" s="18">
        <v>54.0</v>
      </c>
      <c r="H40" s="18">
        <v>2.0</v>
      </c>
      <c r="I40" s="18"/>
      <c r="J40" s="18"/>
      <c r="K40" s="18"/>
      <c r="L40" s="18"/>
      <c r="M40" s="18"/>
      <c r="N40" s="18"/>
      <c r="O40" s="19"/>
      <c r="P40" s="20">
        <f t="shared" si="1"/>
        <v>80</v>
      </c>
      <c r="Q40" s="15"/>
      <c r="R40" s="21"/>
    </row>
    <row r="41" ht="14.25" customHeight="1">
      <c r="B41" s="24"/>
      <c r="C41" s="25">
        <v>0.5729166666666666</v>
      </c>
      <c r="D41" s="26">
        <v>0.5833333333333334</v>
      </c>
      <c r="E41" s="18">
        <v>12.0</v>
      </c>
      <c r="F41" s="18">
        <v>13.0</v>
      </c>
      <c r="G41" s="18">
        <v>59.0</v>
      </c>
      <c r="H41" s="18">
        <v>3.0</v>
      </c>
      <c r="I41" s="18"/>
      <c r="J41" s="18"/>
      <c r="K41" s="18"/>
      <c r="L41" s="18"/>
      <c r="M41" s="18"/>
      <c r="N41" s="18"/>
      <c r="O41" s="18"/>
      <c r="P41" s="18">
        <f t="shared" si="1"/>
        <v>87</v>
      </c>
      <c r="Q41" s="24"/>
      <c r="R41" s="21"/>
    </row>
    <row r="42" ht="14.25" customHeight="1">
      <c r="B42" s="8" t="s">
        <v>20</v>
      </c>
      <c r="C42" s="9">
        <v>0.5416666666666666</v>
      </c>
      <c r="D42" s="10">
        <v>0.5520833333333334</v>
      </c>
      <c r="E42" s="18">
        <v>4.0</v>
      </c>
      <c r="F42" s="18">
        <v>4.0</v>
      </c>
      <c r="G42" s="18">
        <v>15.0</v>
      </c>
      <c r="H42" s="18">
        <v>2.0</v>
      </c>
      <c r="I42" s="18"/>
      <c r="J42" s="18"/>
      <c r="K42" s="18"/>
      <c r="L42" s="18"/>
      <c r="M42" s="18"/>
      <c r="N42" s="18"/>
      <c r="O42" s="18"/>
      <c r="P42" s="18">
        <f t="shared" si="1"/>
        <v>25</v>
      </c>
      <c r="Q42" s="8">
        <f>SUM(P42:P45)</f>
        <v>121</v>
      </c>
      <c r="R42" s="21"/>
    </row>
    <row r="43" ht="14.25" customHeight="1">
      <c r="B43" s="15"/>
      <c r="C43" s="16">
        <v>0.5520833333333334</v>
      </c>
      <c r="D43" s="17">
        <v>0.5625</v>
      </c>
      <c r="E43" s="18">
        <v>8.0</v>
      </c>
      <c r="F43" s="18">
        <v>2.0</v>
      </c>
      <c r="G43" s="18">
        <v>17.0</v>
      </c>
      <c r="H43" s="18">
        <v>1.0</v>
      </c>
      <c r="I43" s="18"/>
      <c r="J43" s="18">
        <v>3.0</v>
      </c>
      <c r="K43" s="18"/>
      <c r="L43" s="18"/>
      <c r="M43" s="18"/>
      <c r="N43" s="18"/>
      <c r="O43" s="18"/>
      <c r="P43" s="18">
        <f t="shared" si="1"/>
        <v>31</v>
      </c>
      <c r="Q43" s="15"/>
      <c r="R43" s="21"/>
    </row>
    <row r="44" ht="14.25" customHeight="1">
      <c r="B44" s="15"/>
      <c r="C44" s="22">
        <v>0.5625</v>
      </c>
      <c r="D44" s="23">
        <v>0.5729166666666666</v>
      </c>
      <c r="E44" s="18">
        <v>5.0</v>
      </c>
      <c r="F44" s="18">
        <v>7.0</v>
      </c>
      <c r="G44" s="18">
        <v>19.0</v>
      </c>
      <c r="H44" s="18"/>
      <c r="I44" s="18"/>
      <c r="J44" s="18">
        <v>1.0</v>
      </c>
      <c r="K44" s="18"/>
      <c r="L44" s="18"/>
      <c r="M44" s="18"/>
      <c r="N44" s="18"/>
      <c r="O44" s="18"/>
      <c r="P44" s="18">
        <f t="shared" si="1"/>
        <v>32</v>
      </c>
      <c r="Q44" s="15"/>
      <c r="R44" s="21"/>
    </row>
    <row r="45" ht="14.25" customHeight="1">
      <c r="B45" s="24"/>
      <c r="C45" s="25">
        <v>0.5729166666666666</v>
      </c>
      <c r="D45" s="26">
        <v>0.5833333333333334</v>
      </c>
      <c r="E45" s="18">
        <v>7.0</v>
      </c>
      <c r="F45" s="18">
        <v>5.0</v>
      </c>
      <c r="G45" s="18">
        <v>21.0</v>
      </c>
      <c r="H45" s="18"/>
      <c r="I45" s="18"/>
      <c r="J45" s="18"/>
      <c r="K45" s="18"/>
      <c r="L45" s="18"/>
      <c r="M45" s="18"/>
      <c r="N45" s="18"/>
      <c r="O45" s="18"/>
      <c r="P45" s="18">
        <f t="shared" si="1"/>
        <v>33</v>
      </c>
      <c r="Q45" s="24"/>
      <c r="R45" s="21"/>
    </row>
    <row r="46" ht="14.25" customHeight="1">
      <c r="B46" s="8" t="s">
        <v>21</v>
      </c>
      <c r="C46" s="9">
        <v>0.5416666666666666</v>
      </c>
      <c r="D46" s="10">
        <v>0.5520833333333334</v>
      </c>
      <c r="E46" s="18">
        <v>4.0</v>
      </c>
      <c r="F46" s="18"/>
      <c r="G46" s="18">
        <v>18.0</v>
      </c>
      <c r="H46" s="18">
        <v>1.0</v>
      </c>
      <c r="I46" s="18"/>
      <c r="J46" s="18"/>
      <c r="K46" s="18"/>
      <c r="L46" s="18"/>
      <c r="M46" s="18"/>
      <c r="N46" s="18"/>
      <c r="O46" s="18"/>
      <c r="P46" s="18">
        <f t="shared" si="1"/>
        <v>23</v>
      </c>
      <c r="Q46" s="8">
        <f>SUM(P46:P49)</f>
        <v>108</v>
      </c>
      <c r="R46" s="21"/>
    </row>
    <row r="47" ht="14.25" customHeight="1">
      <c r="B47" s="15"/>
      <c r="C47" s="16">
        <v>0.5520833333333334</v>
      </c>
      <c r="D47" s="17">
        <v>0.5625</v>
      </c>
      <c r="E47" s="18">
        <v>2.0</v>
      </c>
      <c r="F47" s="18">
        <v>2.0</v>
      </c>
      <c r="G47" s="18">
        <v>19.0</v>
      </c>
      <c r="H47" s="18">
        <v>2.0</v>
      </c>
      <c r="I47" s="18"/>
      <c r="J47" s="18"/>
      <c r="K47" s="18"/>
      <c r="L47" s="18"/>
      <c r="M47" s="18"/>
      <c r="N47" s="18"/>
      <c r="O47" s="18"/>
      <c r="P47" s="18">
        <f t="shared" si="1"/>
        <v>25</v>
      </c>
      <c r="Q47" s="15"/>
      <c r="R47" s="21"/>
    </row>
    <row r="48" ht="14.25" customHeight="1">
      <c r="B48" s="15"/>
      <c r="C48" s="22">
        <v>0.5625</v>
      </c>
      <c r="D48" s="23">
        <v>0.5729166666666666</v>
      </c>
      <c r="E48" s="18">
        <v>7.0</v>
      </c>
      <c r="F48" s="18">
        <v>6.0</v>
      </c>
      <c r="G48" s="18">
        <v>15.0</v>
      </c>
      <c r="H48" s="18">
        <v>2.0</v>
      </c>
      <c r="I48" s="18"/>
      <c r="J48" s="18"/>
      <c r="K48" s="18"/>
      <c r="L48" s="18"/>
      <c r="M48" s="18"/>
      <c r="N48" s="18"/>
      <c r="O48" s="18"/>
      <c r="P48" s="18">
        <f t="shared" si="1"/>
        <v>30</v>
      </c>
      <c r="Q48" s="15"/>
      <c r="R48" s="21"/>
    </row>
    <row r="49" ht="14.25" customHeight="1">
      <c r="B49" s="24"/>
      <c r="C49" s="25">
        <v>0.5729166666666666</v>
      </c>
      <c r="D49" s="26">
        <v>0.5833333333333334</v>
      </c>
      <c r="E49" s="18">
        <v>2.0</v>
      </c>
      <c r="F49" s="18">
        <v>7.0</v>
      </c>
      <c r="G49" s="18">
        <v>21.0</v>
      </c>
      <c r="H49" s="18"/>
      <c r="I49" s="18"/>
      <c r="J49" s="18"/>
      <c r="K49" s="18"/>
      <c r="L49" s="18"/>
      <c r="M49" s="18"/>
      <c r="N49" s="18"/>
      <c r="O49" s="18"/>
      <c r="P49" s="18">
        <f t="shared" si="1"/>
        <v>30</v>
      </c>
      <c r="Q49" s="24"/>
      <c r="R49" s="21"/>
    </row>
    <row r="50" ht="14.25" customHeight="1">
      <c r="B50" s="8" t="s">
        <v>22</v>
      </c>
      <c r="C50" s="9">
        <v>0.5416666666666666</v>
      </c>
      <c r="D50" s="10">
        <v>0.5520833333333334</v>
      </c>
      <c r="E50" s="18">
        <v>19.0</v>
      </c>
      <c r="F50" s="18">
        <v>4.0</v>
      </c>
      <c r="G50" s="18">
        <v>82.0</v>
      </c>
      <c r="H50" s="18"/>
      <c r="I50" s="18"/>
      <c r="J50" s="18">
        <v>3.0</v>
      </c>
      <c r="K50" s="18"/>
      <c r="L50" s="18"/>
      <c r="M50" s="18"/>
      <c r="N50" s="18"/>
      <c r="O50" s="18"/>
      <c r="P50" s="18">
        <f t="shared" si="1"/>
        <v>108</v>
      </c>
      <c r="Q50" s="8">
        <f>SUM(P50:P53)</f>
        <v>427</v>
      </c>
      <c r="R50" s="21"/>
    </row>
    <row r="51" ht="14.25" customHeight="1">
      <c r="B51" s="15"/>
      <c r="C51" s="16">
        <v>0.5520833333333334</v>
      </c>
      <c r="D51" s="17">
        <v>0.5625</v>
      </c>
      <c r="E51" s="18">
        <v>25.0</v>
      </c>
      <c r="F51" s="18">
        <v>14.0</v>
      </c>
      <c r="G51" s="18">
        <v>70.0</v>
      </c>
      <c r="H51" s="18"/>
      <c r="I51" s="18"/>
      <c r="J51" s="18">
        <v>1.0</v>
      </c>
      <c r="K51" s="18"/>
      <c r="L51" s="18"/>
      <c r="M51" s="18"/>
      <c r="N51" s="18"/>
      <c r="O51" s="18"/>
      <c r="P51" s="18">
        <f t="shared" si="1"/>
        <v>110</v>
      </c>
      <c r="Q51" s="15"/>
      <c r="R51" s="21"/>
    </row>
    <row r="52" ht="14.25" customHeight="1">
      <c r="B52" s="15"/>
      <c r="C52" s="22">
        <v>0.5625</v>
      </c>
      <c r="D52" s="23">
        <v>0.5729166666666666</v>
      </c>
      <c r="E52" s="18">
        <v>16.0</v>
      </c>
      <c r="F52" s="18">
        <v>8.0</v>
      </c>
      <c r="G52" s="18">
        <v>79.0</v>
      </c>
      <c r="H52" s="18"/>
      <c r="I52" s="18"/>
      <c r="J52" s="18"/>
      <c r="K52" s="18"/>
      <c r="L52" s="18"/>
      <c r="M52" s="18"/>
      <c r="N52" s="18"/>
      <c r="O52" s="18"/>
      <c r="P52" s="18">
        <f t="shared" si="1"/>
        <v>103</v>
      </c>
      <c r="Q52" s="15"/>
      <c r="R52" s="21"/>
    </row>
    <row r="53" ht="14.25" customHeight="1">
      <c r="B53" s="24"/>
      <c r="C53" s="25">
        <v>0.5729166666666666</v>
      </c>
      <c r="D53" s="26">
        <v>0.5833333333333334</v>
      </c>
      <c r="E53" s="18">
        <v>14.0</v>
      </c>
      <c r="F53" s="18">
        <v>7.0</v>
      </c>
      <c r="G53" s="18">
        <v>85.0</v>
      </c>
      <c r="H53" s="18"/>
      <c r="I53" s="18"/>
      <c r="J53" s="18"/>
      <c r="K53" s="18"/>
      <c r="L53" s="18"/>
      <c r="M53" s="18"/>
      <c r="N53" s="18"/>
      <c r="O53" s="18"/>
      <c r="P53" s="18">
        <f t="shared" si="1"/>
        <v>106</v>
      </c>
      <c r="Q53" s="24"/>
      <c r="R53" s="21"/>
    </row>
    <row r="54" ht="14.25" customHeight="1">
      <c r="B54" s="8" t="s">
        <v>23</v>
      </c>
      <c r="C54" s="9">
        <v>0.5416666666666666</v>
      </c>
      <c r="D54" s="10">
        <v>0.5520833333333334</v>
      </c>
      <c r="E54" s="18">
        <v>2.0</v>
      </c>
      <c r="F54" s="18">
        <v>2.0</v>
      </c>
      <c r="G54" s="18">
        <v>9.0</v>
      </c>
      <c r="H54" s="18"/>
      <c r="I54" s="18"/>
      <c r="J54" s="18"/>
      <c r="K54" s="18"/>
      <c r="L54" s="18"/>
      <c r="M54" s="18"/>
      <c r="N54" s="18"/>
      <c r="O54" s="18"/>
      <c r="P54" s="18">
        <f t="shared" si="1"/>
        <v>13</v>
      </c>
      <c r="Q54" s="8">
        <f>SUM(P54:P57)</f>
        <v>80</v>
      </c>
      <c r="R54" s="21"/>
    </row>
    <row r="55" ht="14.25" customHeight="1">
      <c r="B55" s="15"/>
      <c r="C55" s="16">
        <v>0.5520833333333334</v>
      </c>
      <c r="D55" s="17">
        <v>0.5625</v>
      </c>
      <c r="E55" s="18">
        <v>1.0</v>
      </c>
      <c r="F55" s="18">
        <v>1.0</v>
      </c>
      <c r="G55" s="18">
        <v>25.0</v>
      </c>
      <c r="H55" s="18"/>
      <c r="I55" s="18"/>
      <c r="J55" s="18"/>
      <c r="K55" s="18"/>
      <c r="L55" s="18"/>
      <c r="M55" s="18"/>
      <c r="N55" s="18"/>
      <c r="O55" s="18"/>
      <c r="P55" s="18">
        <f t="shared" si="1"/>
        <v>27</v>
      </c>
      <c r="Q55" s="15"/>
      <c r="R55" s="21"/>
    </row>
    <row r="56" ht="14.25" customHeight="1">
      <c r="B56" s="15"/>
      <c r="C56" s="22">
        <v>0.5625</v>
      </c>
      <c r="D56" s="23">
        <v>0.5729166666666666</v>
      </c>
      <c r="E56" s="18"/>
      <c r="F56" s="18">
        <v>2.0</v>
      </c>
      <c r="G56" s="18">
        <v>10.0</v>
      </c>
      <c r="H56" s="18"/>
      <c r="I56" s="18"/>
      <c r="J56" s="18"/>
      <c r="K56" s="18"/>
      <c r="L56" s="18"/>
      <c r="M56" s="18"/>
      <c r="N56" s="18"/>
      <c r="O56" s="18"/>
      <c r="P56" s="18">
        <f t="shared" si="1"/>
        <v>12</v>
      </c>
      <c r="Q56" s="15"/>
      <c r="R56" s="21"/>
    </row>
    <row r="57" ht="14.25" customHeight="1">
      <c r="B57" s="24"/>
      <c r="C57" s="25">
        <v>0.5729166666666666</v>
      </c>
      <c r="D57" s="26">
        <v>0.5833333333333334</v>
      </c>
      <c r="E57" s="18">
        <v>4.0</v>
      </c>
      <c r="F57" s="18">
        <v>5.0</v>
      </c>
      <c r="G57" s="18">
        <v>19.0</v>
      </c>
      <c r="H57" s="18"/>
      <c r="I57" s="18"/>
      <c r="J57" s="18"/>
      <c r="K57" s="18"/>
      <c r="L57" s="18"/>
      <c r="M57" s="18"/>
      <c r="N57" s="18"/>
      <c r="O57" s="18"/>
      <c r="P57" s="18">
        <f t="shared" si="1"/>
        <v>28</v>
      </c>
      <c r="Q57" s="24"/>
      <c r="R57" s="21"/>
    </row>
    <row r="58" ht="14.25" customHeight="1">
      <c r="B58" s="8" t="s">
        <v>24</v>
      </c>
      <c r="C58" s="9">
        <v>0.5416666666666666</v>
      </c>
      <c r="D58" s="10">
        <v>0.5520833333333334</v>
      </c>
      <c r="E58" s="18">
        <v>25.0</v>
      </c>
      <c r="F58" s="18">
        <v>8.0</v>
      </c>
      <c r="G58" s="18">
        <v>86.0</v>
      </c>
      <c r="H58" s="18"/>
      <c r="I58" s="18">
        <v>1.0</v>
      </c>
      <c r="J58" s="18"/>
      <c r="K58" s="18"/>
      <c r="L58" s="18"/>
      <c r="M58" s="18"/>
      <c r="N58" s="18"/>
      <c r="O58" s="18"/>
      <c r="P58" s="18">
        <f t="shared" si="1"/>
        <v>120</v>
      </c>
      <c r="Q58" s="8">
        <f>SUM(P58:P61)</f>
        <v>450</v>
      </c>
      <c r="R58" s="21"/>
    </row>
    <row r="59" ht="14.25" customHeight="1">
      <c r="B59" s="15"/>
      <c r="C59" s="16">
        <v>0.5520833333333334</v>
      </c>
      <c r="D59" s="17">
        <v>0.5625</v>
      </c>
      <c r="E59" s="18">
        <v>17.0</v>
      </c>
      <c r="F59" s="18">
        <v>12.0</v>
      </c>
      <c r="G59" s="18">
        <v>68.0</v>
      </c>
      <c r="H59" s="18"/>
      <c r="I59" s="18"/>
      <c r="J59" s="18">
        <v>5.0</v>
      </c>
      <c r="K59" s="18"/>
      <c r="L59" s="18"/>
      <c r="M59" s="18"/>
      <c r="N59" s="18"/>
      <c r="O59" s="18"/>
      <c r="P59" s="18">
        <f t="shared" si="1"/>
        <v>102</v>
      </c>
      <c r="Q59" s="15"/>
      <c r="R59" s="21"/>
    </row>
    <row r="60" ht="14.25" customHeight="1">
      <c r="B60" s="15"/>
      <c r="C60" s="22">
        <v>0.5625</v>
      </c>
      <c r="D60" s="23">
        <v>0.5729166666666666</v>
      </c>
      <c r="E60" s="18">
        <v>12.0</v>
      </c>
      <c r="F60" s="18">
        <v>9.0</v>
      </c>
      <c r="G60" s="18">
        <v>77.0</v>
      </c>
      <c r="H60" s="18"/>
      <c r="I60" s="18"/>
      <c r="J60" s="18"/>
      <c r="K60" s="18">
        <v>1.0</v>
      </c>
      <c r="L60" s="18"/>
      <c r="M60" s="18"/>
      <c r="N60" s="18"/>
      <c r="O60" s="18"/>
      <c r="P60" s="18">
        <f t="shared" si="1"/>
        <v>99</v>
      </c>
      <c r="Q60" s="15"/>
      <c r="R60" s="21"/>
    </row>
    <row r="61" ht="14.25" customHeight="1">
      <c r="B61" s="24"/>
      <c r="C61" s="25">
        <v>0.5729166666666666</v>
      </c>
      <c r="D61" s="26">
        <v>0.5833333333333334</v>
      </c>
      <c r="E61" s="18">
        <v>21.0</v>
      </c>
      <c r="F61" s="18">
        <v>17.0</v>
      </c>
      <c r="G61" s="18">
        <v>91.0</v>
      </c>
      <c r="H61" s="18"/>
      <c r="I61" s="18"/>
      <c r="J61" s="18"/>
      <c r="K61" s="18"/>
      <c r="L61" s="18"/>
      <c r="M61" s="18"/>
      <c r="N61" s="18"/>
      <c r="O61" s="18"/>
      <c r="P61" s="18">
        <f t="shared" si="1"/>
        <v>129</v>
      </c>
      <c r="Q61" s="24"/>
      <c r="R61" s="21"/>
    </row>
    <row r="62" ht="14.25" customHeight="1">
      <c r="B62" s="8" t="s">
        <v>25</v>
      </c>
      <c r="C62" s="9">
        <v>0.5416666666666666</v>
      </c>
      <c r="D62" s="10">
        <v>0.5520833333333334</v>
      </c>
      <c r="E62" s="18">
        <v>8.0</v>
      </c>
      <c r="F62" s="18">
        <v>1.0</v>
      </c>
      <c r="G62" s="18">
        <v>21.0</v>
      </c>
      <c r="H62" s="18"/>
      <c r="I62" s="18"/>
      <c r="J62" s="18"/>
      <c r="K62" s="18"/>
      <c r="L62" s="18"/>
      <c r="M62" s="18"/>
      <c r="N62" s="18"/>
      <c r="O62" s="18"/>
      <c r="P62" s="18">
        <f t="shared" si="1"/>
        <v>30</v>
      </c>
      <c r="Q62" s="8">
        <f>SUM(P62:P65)</f>
        <v>151</v>
      </c>
      <c r="R62" s="21"/>
    </row>
    <row r="63" ht="14.25" customHeight="1">
      <c r="B63" s="15"/>
      <c r="C63" s="16">
        <v>0.5520833333333334</v>
      </c>
      <c r="D63" s="17">
        <v>0.5625</v>
      </c>
      <c r="E63" s="18">
        <v>6.0</v>
      </c>
      <c r="F63" s="18">
        <v>4.0</v>
      </c>
      <c r="G63" s="18">
        <v>21.0</v>
      </c>
      <c r="H63" s="18"/>
      <c r="I63" s="18"/>
      <c r="J63" s="18">
        <v>1.0</v>
      </c>
      <c r="K63" s="18"/>
      <c r="L63" s="18"/>
      <c r="M63" s="18"/>
      <c r="N63" s="18"/>
      <c r="O63" s="18"/>
      <c r="P63" s="18">
        <f t="shared" si="1"/>
        <v>32</v>
      </c>
      <c r="Q63" s="15"/>
      <c r="R63" s="21"/>
    </row>
    <row r="64" ht="14.25" customHeight="1">
      <c r="B64" s="15"/>
      <c r="C64" s="22">
        <v>0.5625</v>
      </c>
      <c r="D64" s="23">
        <v>0.5729166666666666</v>
      </c>
      <c r="E64" s="18">
        <v>5.0</v>
      </c>
      <c r="F64" s="18">
        <v>7.0</v>
      </c>
      <c r="G64" s="18">
        <v>24.0</v>
      </c>
      <c r="H64" s="18"/>
      <c r="I64" s="18"/>
      <c r="J64" s="18"/>
      <c r="K64" s="18"/>
      <c r="L64" s="18"/>
      <c r="M64" s="18"/>
      <c r="N64" s="18"/>
      <c r="O64" s="18"/>
      <c r="P64" s="18">
        <f t="shared" si="1"/>
        <v>36</v>
      </c>
      <c r="Q64" s="15"/>
      <c r="R64" s="21"/>
    </row>
    <row r="65" ht="14.25" customHeight="1">
      <c r="B65" s="24"/>
      <c r="C65" s="25">
        <v>0.5729166666666666</v>
      </c>
      <c r="D65" s="26">
        <v>0.5833333333333334</v>
      </c>
      <c r="E65" s="18">
        <v>11.0</v>
      </c>
      <c r="F65" s="18">
        <v>13.0</v>
      </c>
      <c r="G65" s="18">
        <v>28.0</v>
      </c>
      <c r="H65" s="18"/>
      <c r="I65" s="18"/>
      <c r="J65" s="18"/>
      <c r="K65" s="18">
        <v>1.0</v>
      </c>
      <c r="L65" s="18"/>
      <c r="M65" s="18"/>
      <c r="N65" s="18"/>
      <c r="O65" s="18"/>
      <c r="P65" s="18">
        <f t="shared" si="1"/>
        <v>53</v>
      </c>
      <c r="Q65" s="24"/>
      <c r="R65" s="21"/>
    </row>
    <row r="66" ht="14.25" customHeight="1">
      <c r="C66" s="27" t="s">
        <v>26</v>
      </c>
      <c r="D66" s="4"/>
      <c r="E66" s="28">
        <f t="shared" ref="E66:R66" si="2">SUM(E30:E65)</f>
        <v>283</v>
      </c>
      <c r="F66" s="28">
        <f t="shared" si="2"/>
        <v>199</v>
      </c>
      <c r="G66" s="28">
        <f t="shared" si="2"/>
        <v>1174</v>
      </c>
      <c r="H66" s="28">
        <f t="shared" si="2"/>
        <v>19</v>
      </c>
      <c r="I66" s="28">
        <f t="shared" si="2"/>
        <v>1</v>
      </c>
      <c r="J66" s="28">
        <f t="shared" si="2"/>
        <v>16</v>
      </c>
      <c r="K66" s="28">
        <f t="shared" si="2"/>
        <v>2</v>
      </c>
      <c r="L66" s="28">
        <f t="shared" si="2"/>
        <v>0</v>
      </c>
      <c r="M66" s="28">
        <f t="shared" si="2"/>
        <v>0</v>
      </c>
      <c r="N66" s="28">
        <f t="shared" si="2"/>
        <v>0</v>
      </c>
      <c r="O66" s="28">
        <f t="shared" si="2"/>
        <v>0</v>
      </c>
      <c r="P66" s="28">
        <f t="shared" si="2"/>
        <v>1694</v>
      </c>
      <c r="Q66" s="29">
        <f t="shared" si="2"/>
        <v>1694</v>
      </c>
      <c r="R66" s="29">
        <f t="shared" si="2"/>
        <v>6</v>
      </c>
    </row>
    <row r="67" ht="14.25" customHeight="1">
      <c r="C67" s="27" t="s">
        <v>27</v>
      </c>
      <c r="D67" s="4"/>
      <c r="E67" s="30">
        <f t="shared" ref="E67:O67" si="3">E66/$Q$66</f>
        <v>0.1670602125</v>
      </c>
      <c r="F67" s="31">
        <f t="shared" si="3"/>
        <v>0.1174734357</v>
      </c>
      <c r="G67" s="31">
        <f t="shared" si="3"/>
        <v>0.6930342385</v>
      </c>
      <c r="H67" s="31">
        <f t="shared" si="3"/>
        <v>0.01121605667</v>
      </c>
      <c r="I67" s="31">
        <f t="shared" si="3"/>
        <v>0.0005903187721</v>
      </c>
      <c r="J67" s="31">
        <f t="shared" si="3"/>
        <v>0.009445100354</v>
      </c>
      <c r="K67" s="31">
        <f t="shared" si="3"/>
        <v>0.001180637544</v>
      </c>
      <c r="L67" s="31">
        <f t="shared" si="3"/>
        <v>0</v>
      </c>
      <c r="M67" s="31">
        <f t="shared" si="3"/>
        <v>0</v>
      </c>
      <c r="N67" s="31">
        <f t="shared" si="3"/>
        <v>0</v>
      </c>
      <c r="O67" s="32">
        <f t="shared" si="3"/>
        <v>0</v>
      </c>
      <c r="P67" s="33">
        <f>SUM(E67:O67)</f>
        <v>1</v>
      </c>
      <c r="Q67" s="34">
        <f>Q66/$Q$66</f>
        <v>1</v>
      </c>
    </row>
    <row r="68" ht="14.25" customHeight="1">
      <c r="C68" s="35"/>
      <c r="D68" s="35"/>
      <c r="N68" s="36" t="s">
        <v>28</v>
      </c>
      <c r="O68" s="3"/>
      <c r="P68" s="4"/>
      <c r="Q68" s="29">
        <f>AVERAGE(Q30:Q41)</f>
        <v>119</v>
      </c>
    </row>
    <row r="69" ht="14.25" customHeight="1">
      <c r="C69" s="35"/>
      <c r="D69" s="35"/>
      <c r="N69" s="36" t="s">
        <v>29</v>
      </c>
      <c r="O69" s="3"/>
      <c r="P69" s="4"/>
      <c r="Q69" s="37">
        <f>Q68*12</f>
        <v>1428</v>
      </c>
    </row>
    <row r="70" ht="14.25" customHeight="1">
      <c r="C70" s="35"/>
      <c r="D70" s="35"/>
      <c r="N70" s="38"/>
      <c r="O70" s="38"/>
      <c r="P70" s="38"/>
      <c r="Q70" s="38"/>
    </row>
    <row r="71" ht="14.25" customHeight="1">
      <c r="C71" s="35"/>
      <c r="D71" s="35"/>
      <c r="N71" s="38"/>
      <c r="O71" s="38"/>
      <c r="P71" s="38"/>
      <c r="Q71" s="38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Q42:Q45"/>
    <mergeCell ref="Q46:Q49"/>
    <mergeCell ref="Q50:Q53"/>
    <mergeCell ref="Q54:Q57"/>
    <mergeCell ref="Q58:Q61"/>
    <mergeCell ref="Q62:Q65"/>
    <mergeCell ref="C28:R28"/>
    <mergeCell ref="C29:D29"/>
    <mergeCell ref="B30:B33"/>
    <mergeCell ref="Q30:Q33"/>
    <mergeCell ref="B34:B37"/>
    <mergeCell ref="Q34:Q37"/>
    <mergeCell ref="Q38:Q41"/>
    <mergeCell ref="C66:D66"/>
    <mergeCell ref="C67:D67"/>
    <mergeCell ref="N68:P68"/>
    <mergeCell ref="N69:P69"/>
    <mergeCell ref="B38:B41"/>
    <mergeCell ref="B42:B45"/>
    <mergeCell ref="B46:B49"/>
    <mergeCell ref="B50:B53"/>
    <mergeCell ref="B54:B57"/>
    <mergeCell ref="B58:B61"/>
    <mergeCell ref="B62:B6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2023-11-07T03:32:25Z</dcterms:created>
  <dc:creator>Carlos Tovar</dc:creator>
</cp:coreProperties>
</file>