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carlo\Desktop\TAREAS MAESTRIA\TESIS\VIDEOS AFOROS\ACUEDUCTO\"/>
    </mc:Choice>
  </mc:AlternateContent>
  <xr:revisionPtr revIDLastSave="0" documentId="13_ncr:1_{338B6487-C040-49BF-91BA-D4751BCCC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ueducto" sheetId="1" r:id="rId1"/>
    <sheet name="Hoja1" sheetId="2" r:id="rId2"/>
  </sheets>
  <calcPr calcId="191029"/>
  <extLst>
    <ext uri="GoogleSheetsCustomDataVersion2">
      <go:sheetsCustomData xmlns:go="http://customooxmlschemas.google.com/" r:id="rId5" roundtripDataChecksum="Nx4Zv7BrkqYXT5k40zdfsApbfab05zB37sX5LAZxBco="/>
    </ext>
  </extLst>
</workbook>
</file>

<file path=xl/calcChain.xml><?xml version="1.0" encoding="utf-8"?>
<calcChain xmlns="http://schemas.openxmlformats.org/spreadsheetml/2006/main">
  <c r="Q71" i="1" l="1"/>
  <c r="I72" i="1" s="1"/>
  <c r="P71" i="1"/>
  <c r="R33" i="2"/>
  <c r="R9" i="2"/>
  <c r="J72" i="1" l="1"/>
  <c r="M72" i="1"/>
  <c r="K72" i="1"/>
  <c r="F72" i="1"/>
  <c r="Q72" i="1"/>
  <c r="L72" i="1"/>
  <c r="G72" i="1"/>
  <c r="H72" i="1"/>
  <c r="U67" i="1"/>
  <c r="U63" i="1"/>
  <c r="U55" i="1"/>
  <c r="U59" i="1"/>
  <c r="U51" i="1"/>
  <c r="S63" i="1"/>
  <c r="S51" i="1"/>
  <c r="Q54" i="2"/>
  <c r="F54" i="2"/>
  <c r="G54" i="2"/>
  <c r="H54" i="2"/>
  <c r="I54" i="2"/>
  <c r="J54" i="2"/>
  <c r="K54" i="2"/>
  <c r="L54" i="2"/>
  <c r="M54" i="2"/>
  <c r="N54" i="2"/>
  <c r="O54" i="2"/>
  <c r="E54" i="2"/>
  <c r="C4" i="2"/>
  <c r="C2" i="2"/>
  <c r="U33" i="2"/>
  <c r="U17" i="2"/>
  <c r="U13" i="2"/>
  <c r="U21" i="2"/>
  <c r="U25" i="2"/>
  <c r="U29" i="2"/>
  <c r="U37" i="2"/>
  <c r="U41" i="2"/>
  <c r="U45" i="2"/>
  <c r="U49" i="2"/>
  <c r="U9" i="2"/>
  <c r="F21" i="2"/>
  <c r="E22" i="2"/>
  <c r="T53" i="2"/>
  <c r="O53" i="2"/>
  <c r="N53" i="2"/>
  <c r="M53" i="2"/>
  <c r="L53" i="2"/>
  <c r="K53" i="2"/>
  <c r="J53" i="2"/>
  <c r="I53" i="2"/>
  <c r="H53" i="2"/>
  <c r="P52" i="2"/>
  <c r="P51" i="2"/>
  <c r="G50" i="2"/>
  <c r="F50" i="2"/>
  <c r="E50" i="2"/>
  <c r="G49" i="2"/>
  <c r="F49" i="2"/>
  <c r="E49" i="2"/>
  <c r="P48" i="2"/>
  <c r="P47" i="2"/>
  <c r="G46" i="2"/>
  <c r="F46" i="2"/>
  <c r="E46" i="2"/>
  <c r="G45" i="2"/>
  <c r="F45" i="2"/>
  <c r="E45" i="2"/>
  <c r="P44" i="2"/>
  <c r="P43" i="2"/>
  <c r="G42" i="2"/>
  <c r="F42" i="2"/>
  <c r="E42" i="2"/>
  <c r="P42" i="2" s="1"/>
  <c r="G41" i="2"/>
  <c r="F41" i="2"/>
  <c r="E41" i="2"/>
  <c r="P40" i="2"/>
  <c r="P39" i="2"/>
  <c r="G38" i="2"/>
  <c r="F38" i="2"/>
  <c r="E38" i="2"/>
  <c r="P38" i="2" s="1"/>
  <c r="G37" i="2"/>
  <c r="F37" i="2"/>
  <c r="E37" i="2"/>
  <c r="P36" i="2"/>
  <c r="P35" i="2"/>
  <c r="G34" i="2"/>
  <c r="F34" i="2"/>
  <c r="E34" i="2"/>
  <c r="P34" i="2" s="1"/>
  <c r="G33" i="2"/>
  <c r="F33" i="2"/>
  <c r="E33" i="2"/>
  <c r="P32" i="2"/>
  <c r="P31" i="2"/>
  <c r="P30" i="2"/>
  <c r="P29" i="2"/>
  <c r="P28" i="2"/>
  <c r="P27" i="2"/>
  <c r="G26" i="2"/>
  <c r="E26" i="2"/>
  <c r="F25" i="2"/>
  <c r="P25" i="2" s="1"/>
  <c r="P24" i="2"/>
  <c r="P23" i="2"/>
  <c r="G22" i="2"/>
  <c r="F22" i="2"/>
  <c r="E21" i="2"/>
  <c r="P21" i="2" s="1"/>
  <c r="P20" i="2"/>
  <c r="P19" i="2"/>
  <c r="G18" i="2"/>
  <c r="F18" i="2"/>
  <c r="P18" i="2" s="1"/>
  <c r="G17" i="2"/>
  <c r="P17" i="2" s="1"/>
  <c r="P16" i="2"/>
  <c r="P15" i="2"/>
  <c r="G14" i="2"/>
  <c r="F14" i="2"/>
  <c r="E14" i="2"/>
  <c r="G13" i="2"/>
  <c r="F13" i="2"/>
  <c r="E13" i="2"/>
  <c r="P13" i="2" s="1"/>
  <c r="P12" i="2"/>
  <c r="P11" i="2"/>
  <c r="G10" i="2"/>
  <c r="F10" i="2"/>
  <c r="E10" i="2"/>
  <c r="G9" i="2"/>
  <c r="F59" i="1"/>
  <c r="G68" i="1"/>
  <c r="F68" i="1"/>
  <c r="E68" i="1"/>
  <c r="G64" i="1"/>
  <c r="F64" i="1"/>
  <c r="E64" i="1"/>
  <c r="G60" i="1"/>
  <c r="F60" i="1"/>
  <c r="E60" i="1"/>
  <c r="G56" i="1"/>
  <c r="F56" i="1"/>
  <c r="E56" i="1"/>
  <c r="G52" i="1"/>
  <c r="F52" i="1"/>
  <c r="E52" i="1"/>
  <c r="G44" i="1"/>
  <c r="E44" i="1"/>
  <c r="G40" i="1"/>
  <c r="F40" i="1"/>
  <c r="E40" i="1"/>
  <c r="G36" i="1"/>
  <c r="F36" i="1"/>
  <c r="G32" i="1"/>
  <c r="F32" i="1"/>
  <c r="E32" i="1"/>
  <c r="G28" i="1"/>
  <c r="F28" i="1"/>
  <c r="E28" i="1"/>
  <c r="G67" i="1"/>
  <c r="F67" i="1"/>
  <c r="E67" i="1"/>
  <c r="G63" i="1"/>
  <c r="F63" i="1"/>
  <c r="E63" i="1"/>
  <c r="E59" i="1"/>
  <c r="G59" i="1"/>
  <c r="G55" i="1"/>
  <c r="F55" i="1"/>
  <c r="E55" i="1"/>
  <c r="G51" i="1"/>
  <c r="F51" i="1"/>
  <c r="E51" i="1"/>
  <c r="F43" i="1"/>
  <c r="G39" i="1"/>
  <c r="F39" i="1"/>
  <c r="E39" i="1"/>
  <c r="G35" i="1"/>
  <c r="G31" i="1"/>
  <c r="F31" i="1"/>
  <c r="E31" i="1"/>
  <c r="G27" i="1"/>
  <c r="R71" i="1"/>
  <c r="O71" i="1"/>
  <c r="N71" i="1"/>
  <c r="M71" i="1"/>
  <c r="L71" i="1"/>
  <c r="K71" i="1"/>
  <c r="J71" i="1"/>
  <c r="I71" i="1"/>
  <c r="H71" i="1"/>
  <c r="G71" i="1"/>
  <c r="F71" i="1"/>
  <c r="P70" i="1"/>
  <c r="P69" i="1"/>
  <c r="P68" i="1"/>
  <c r="P67" i="1"/>
  <c r="Q67" i="1" s="1"/>
  <c r="P66" i="1"/>
  <c r="P65" i="1"/>
  <c r="P64" i="1"/>
  <c r="P63" i="1"/>
  <c r="Q63" i="1" s="1"/>
  <c r="P62" i="1"/>
  <c r="P61" i="1"/>
  <c r="P60" i="1"/>
  <c r="P59" i="1"/>
  <c r="Q59" i="1" s="1"/>
  <c r="P58" i="1"/>
  <c r="P57" i="1"/>
  <c r="P56" i="1"/>
  <c r="P55" i="1"/>
  <c r="Q55" i="1" s="1"/>
  <c r="P54" i="1"/>
  <c r="P53" i="1"/>
  <c r="P52" i="1"/>
  <c r="P51" i="1"/>
  <c r="Q51" i="1" s="1"/>
  <c r="P50" i="1"/>
  <c r="P49" i="1"/>
  <c r="P48" i="1"/>
  <c r="P47" i="1"/>
  <c r="Q47" i="1" s="1"/>
  <c r="P46" i="1"/>
  <c r="P45" i="1"/>
  <c r="P44" i="1"/>
  <c r="P43" i="1"/>
  <c r="Q43" i="1" s="1"/>
  <c r="P42" i="1"/>
  <c r="P41" i="1"/>
  <c r="P40" i="1"/>
  <c r="P38" i="1"/>
  <c r="P37" i="1"/>
  <c r="P36" i="1"/>
  <c r="P35" i="1"/>
  <c r="Q35" i="1" s="1"/>
  <c r="P34" i="1"/>
  <c r="P33" i="1"/>
  <c r="P32" i="1"/>
  <c r="P31" i="1"/>
  <c r="P30" i="1"/>
  <c r="P29" i="1"/>
  <c r="P28" i="1"/>
  <c r="P27" i="1"/>
  <c r="Q31" i="1" l="1"/>
  <c r="P14" i="2"/>
  <c r="P26" i="2"/>
  <c r="P33" i="2"/>
  <c r="Q33" i="2" s="1"/>
  <c r="P37" i="2"/>
  <c r="P41" i="2"/>
  <c r="P45" i="2"/>
  <c r="Q45" i="2" s="1"/>
  <c r="P49" i="2"/>
  <c r="Q49" i="2" s="1"/>
  <c r="P46" i="2"/>
  <c r="P22" i="2"/>
  <c r="F53" i="2"/>
  <c r="P50" i="2"/>
  <c r="Q13" i="2"/>
  <c r="Q17" i="2"/>
  <c r="Q21" i="2"/>
  <c r="Q25" i="2"/>
  <c r="Q29" i="2"/>
  <c r="Q37" i="2"/>
  <c r="Q41" i="2"/>
  <c r="G53" i="2"/>
  <c r="P9" i="2"/>
  <c r="E53" i="2"/>
  <c r="P54" i="2" s="1"/>
  <c r="P10" i="2"/>
  <c r="Q27" i="1"/>
  <c r="S27" i="1" l="1"/>
  <c r="P53" i="2"/>
  <c r="Q9" i="2"/>
  <c r="Q53" i="2" s="1"/>
  <c r="E71" i="1"/>
  <c r="P39" i="1"/>
  <c r="Q39" i="1" s="1"/>
  <c r="Q73" i="1" s="1"/>
  <c r="Q74" i="1" s="1"/>
  <c r="S39" i="1" l="1"/>
  <c r="U39" i="1" s="1"/>
  <c r="T27" i="1"/>
  <c r="U35" i="1"/>
  <c r="U27" i="1"/>
  <c r="T63" i="1"/>
  <c r="U31" i="1"/>
  <c r="N72" i="1"/>
  <c r="E72" i="1"/>
  <c r="P72" i="1" l="1"/>
  <c r="O72" i="1"/>
  <c r="T51" i="1"/>
  <c r="T72" i="1" s="1"/>
  <c r="T39" i="1"/>
  <c r="U43" i="1"/>
  <c r="U47" i="1"/>
</calcChain>
</file>

<file path=xl/sharedStrings.xml><?xml version="1.0" encoding="utf-8"?>
<sst xmlns="http://schemas.openxmlformats.org/spreadsheetml/2006/main" count="70" uniqueCount="42">
  <si>
    <t>Av Tata Vasco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</si>
  <si>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</si>
  <si>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</si>
  <si>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</si>
  <si>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</si>
  <si>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</si>
  <si>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</si>
  <si>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</si>
  <si>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</si>
  <si>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</si>
  <si>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</si>
  <si>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</si>
  <si>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</si>
  <si>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</si>
  <si>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</si>
  <si>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PEATONES</t>
  </si>
  <si>
    <t>NBS</t>
  </si>
  <si>
    <t>NBL</t>
  </si>
  <si>
    <t>NBR</t>
  </si>
  <si>
    <t>SBS</t>
  </si>
  <si>
    <t>SBL</t>
  </si>
  <si>
    <t>SBR</t>
  </si>
  <si>
    <t>EBS</t>
  </si>
  <si>
    <t>EBL</t>
  </si>
  <si>
    <t>EBR</t>
  </si>
  <si>
    <t>WBS</t>
  </si>
  <si>
    <t>WBL</t>
  </si>
  <si>
    <t>Suma</t>
  </si>
  <si>
    <t>Porcentaje</t>
  </si>
  <si>
    <t>Tránsito por hora</t>
  </si>
  <si>
    <t>Tránsito por dia</t>
  </si>
  <si>
    <t>VHMD:</t>
  </si>
  <si>
    <t>FHMD:</t>
  </si>
  <si>
    <t>VHMDp:</t>
  </si>
  <si>
    <t>FHMDp:</t>
  </si>
  <si>
    <t>TOTAL DE PEATONES</t>
  </si>
  <si>
    <t>02C9:C45:00:00 p. m.</t>
  </si>
  <si>
    <t xml:space="preserve">N: </t>
  </si>
  <si>
    <t>Qmax=</t>
  </si>
  <si>
    <t>Qpmax=</t>
  </si>
  <si>
    <t xml:space="preserve">TOTAL </t>
  </si>
  <si>
    <t>Sentido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</si>
</sst>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5" tint="0.3999755851924192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B083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21" fontId="5" fillId="0" borderId="6" xfId="0" applyNumberFormat="1" applyFont="1" applyBorder="1" applyAlignment="1">
      <alignment horizontal="center"/>
    </xf>
    <xf numFmtId="21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/>
    <xf numFmtId="21" fontId="5" fillId="0" borderId="13" xfId="0" applyNumberFormat="1" applyFont="1" applyBorder="1" applyAlignment="1">
      <alignment horizontal="center"/>
    </xf>
    <xf numFmtId="21" fontId="5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/>
    <xf numFmtId="21" fontId="5" fillId="0" borderId="18" xfId="0" applyNumberFormat="1" applyFont="1" applyBorder="1" applyAlignment="1">
      <alignment horizontal="center"/>
    </xf>
    <xf numFmtId="21" fontId="5" fillId="0" borderId="19" xfId="0" applyNumberFormat="1" applyFont="1" applyBorder="1" applyAlignment="1">
      <alignment horizontal="center"/>
    </xf>
    <xf numFmtId="21" fontId="5" fillId="0" borderId="20" xfId="0" applyNumberFormat="1" applyFont="1" applyBorder="1" applyAlignment="1">
      <alignment horizontal="center"/>
    </xf>
    <xf numFmtId="21" fontId="5" fillId="0" borderId="21" xfId="0" applyNumberFormat="1" applyFont="1" applyBorder="1" applyAlignment="1">
      <alignment horizontal="center"/>
    </xf>
    <xf numFmtId="1" fontId="5" fillId="0" borderId="24" xfId="0" applyNumberFormat="1" applyFont="1" applyBorder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9" fontId="5" fillId="0" borderId="25" xfId="0" applyNumberFormat="1" applyFont="1" applyBorder="1" applyAlignment="1">
      <alignment horizontal="center" vertical="center"/>
    </xf>
    <xf numFmtId="9" fontId="5" fillId="0" borderId="26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164" fontId="5" fillId="0" borderId="0" xfId="0" applyNumberFormat="1" applyFont="1"/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6" fillId="3" borderId="34" xfId="0" applyFont="1" applyFill="1" applyBorder="1"/>
    <xf numFmtId="0" fontId="7" fillId="0" borderId="28" xfId="0" applyFont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1" fontId="5" fillId="6" borderId="24" xfId="0" applyNumberFormat="1" applyFont="1" applyFill="1" applyBorder="1" applyAlignment="1">
      <alignment horizontal="center" vertical="center"/>
    </xf>
    <xf numFmtId="0" fontId="0" fillId="6" borderId="29" xfId="0" applyFill="1" applyBorder="1"/>
    <xf numFmtId="0" fontId="0" fillId="6" borderId="30" xfId="0" applyFill="1" applyBorder="1"/>
    <xf numFmtId="0" fontId="0" fillId="6" borderId="31" xfId="0" applyFill="1" applyBorder="1"/>
    <xf numFmtId="0" fontId="5" fillId="7" borderId="15" xfId="0" applyFont="1" applyFill="1" applyBorder="1"/>
    <xf numFmtId="0" fontId="1" fillId="0" borderId="0" xfId="0" applyFont="1"/>
    <xf numFmtId="0" fontId="0" fillId="7" borderId="28" xfId="0" applyFill="1" applyBorder="1"/>
    <xf numFmtId="0" fontId="0" fillId="8" borderId="28" xfId="0" applyFill="1" applyBorder="1"/>
    <xf numFmtId="0" fontId="1" fillId="0" borderId="28" xfId="0" applyFont="1" applyBorder="1"/>
    <xf numFmtId="0" fontId="0" fillId="0" borderId="28" xfId="0" applyBorder="1"/>
    <xf numFmtId="0" fontId="5" fillId="4" borderId="0" xfId="0" applyFont="1" applyFill="1" applyAlignment="1">
      <alignment horizontal="center" vertical="center"/>
    </xf>
    <xf numFmtId="0" fontId="4" fillId="4" borderId="0" xfId="0" applyFont="1" applyFill="1"/>
    <xf numFmtId="0" fontId="4" fillId="0" borderId="0" xfId="0" applyFont="1"/>
    <xf numFmtId="9" fontId="5" fillId="0" borderId="0" xfId="0" applyNumberFormat="1" applyFont="1" applyAlignment="1">
      <alignment horizontal="center" vertical="center"/>
    </xf>
    <xf numFmtId="10" fontId="0" fillId="0" borderId="0" xfId="0" applyNumberFormat="1"/>
    <xf numFmtId="0" fontId="0" fillId="0" borderId="35" xfId="0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0" fontId="4" fillId="0" borderId="23" xfId="0" applyFont="1" applyBorder="1"/>
    <xf numFmtId="0" fontId="5" fillId="0" borderId="11" xfId="0" applyFont="1" applyBorder="1" applyAlignment="1">
      <alignment horizontal="center" vertical="center"/>
    </xf>
    <xf numFmtId="0" fontId="4" fillId="0" borderId="17" xfId="0" applyFont="1" applyBorder="1"/>
    <xf numFmtId="0" fontId="4" fillId="0" borderId="1" xfId="0" applyFont="1" applyBorder="1"/>
    <xf numFmtId="0" fontId="5" fillId="0" borderId="5" xfId="0" applyFont="1" applyBorder="1" applyAlignment="1">
      <alignment horizontal="center" vertical="center"/>
    </xf>
    <xf numFmtId="0" fontId="4" fillId="0" borderId="12" xfId="0" applyFont="1" applyBorder="1"/>
    <xf numFmtId="0" fontId="4" fillId="0" borderId="3" xfId="0" applyFont="1" applyBorder="1"/>
    <xf numFmtId="164" fontId="5" fillId="0" borderId="2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9" fontId="5" fillId="0" borderId="0" xfId="1" applyFont="1" applyBorder="1" applyAlignment="1">
      <alignment horizontal="center" vertical="center"/>
    </xf>
    <xf numFmtId="9" fontId="4" fillId="0" borderId="0" xfId="1" applyFont="1" applyBorder="1"/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 vertical="center"/>
    </xf>
    <xf numFmtId="0" fontId="4" fillId="4" borderId="17" xfId="0" applyFont="1" applyFill="1" applyBorder="1"/>
    <xf numFmtId="0" fontId="4" fillId="4" borderId="1" xfId="0" applyFont="1" applyFill="1" applyBorder="1"/>
    <xf numFmtId="0" fontId="5" fillId="4" borderId="3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51" xfId="0" applyBorder="1"/>
    <xf numFmtId="0" fontId="9" fillId="9" borderId="0" xfId="0" applyFont="1" applyFill="1"/>
    <xf numFmtId="0" fontId="10" fillId="9" borderId="52" xfId="0" applyFont="1" applyFill="1" applyBorder="1" applyAlignment="1">
      <alignment horizontal="center" vertical="center" wrapText="1"/>
    </xf>
    <xf numFmtId="0" fontId="10" fillId="9" borderId="53" xfId="0" applyFont="1" applyFill="1" applyBorder="1" applyAlignment="1">
      <alignment horizontal="center" vertical="center" wrapText="1"/>
    </xf>
    <xf numFmtId="0" fontId="10" fillId="9" borderId="5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/>
    </xf>
    <xf numFmtId="21" fontId="9" fillId="9" borderId="39" xfId="0" applyNumberFormat="1" applyFont="1" applyFill="1" applyBorder="1" applyAlignment="1">
      <alignment horizontal="center"/>
    </xf>
    <xf numFmtId="21" fontId="9" fillId="9" borderId="7" xfId="0" applyNumberFormat="1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0" borderId="50" xfId="0" applyFont="1" applyBorder="1"/>
    <xf numFmtId="0" fontId="11" fillId="9" borderId="12" xfId="0" applyFont="1" applyFill="1" applyBorder="1"/>
    <xf numFmtId="21" fontId="9" fillId="9" borderId="40" xfId="0" applyNumberFormat="1" applyFont="1" applyFill="1" applyBorder="1" applyAlignment="1">
      <alignment horizontal="center"/>
    </xf>
    <xf numFmtId="21" fontId="9" fillId="9" borderId="41" xfId="0" applyNumberFormat="1" applyFont="1" applyFill="1" applyBorder="1" applyAlignment="1">
      <alignment horizontal="center"/>
    </xf>
    <xf numFmtId="0" fontId="9" fillId="9" borderId="15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11" fillId="9" borderId="17" xfId="0" applyFont="1" applyFill="1" applyBorder="1"/>
    <xf numFmtId="0" fontId="9" fillId="0" borderId="49" xfId="0" applyFont="1" applyBorder="1"/>
    <xf numFmtId="21" fontId="9" fillId="9" borderId="18" xfId="0" applyNumberFormat="1" applyFont="1" applyFill="1" applyBorder="1" applyAlignment="1">
      <alignment horizontal="center"/>
    </xf>
    <xf numFmtId="21" fontId="9" fillId="9" borderId="19" xfId="0" applyNumberFormat="1" applyFont="1" applyFill="1" applyBorder="1" applyAlignment="1">
      <alignment horizontal="center"/>
    </xf>
    <xf numFmtId="0" fontId="11" fillId="9" borderId="3" xfId="0" applyFont="1" applyFill="1" applyBorder="1"/>
    <xf numFmtId="21" fontId="9" fillId="9" borderId="13" xfId="0" applyNumberFormat="1" applyFont="1" applyFill="1" applyBorder="1" applyAlignment="1">
      <alignment horizontal="center"/>
    </xf>
    <xf numFmtId="21" fontId="9" fillId="9" borderId="14" xfId="0" applyNumberFormat="1" applyFont="1" applyFill="1" applyBorder="1" applyAlignment="1">
      <alignment horizontal="center"/>
    </xf>
    <xf numFmtId="0" fontId="11" fillId="9" borderId="1" xfId="0" applyFont="1" applyFill="1" applyBorder="1"/>
    <xf numFmtId="0" fontId="9" fillId="9" borderId="11" xfId="0" applyFont="1" applyFill="1" applyBorder="1" applyAlignment="1">
      <alignment horizontal="center" vertical="center"/>
    </xf>
    <xf numFmtId="0" fontId="9" fillId="0" borderId="48" xfId="0" applyFont="1" applyBorder="1"/>
    <xf numFmtId="0" fontId="9" fillId="9" borderId="44" xfId="0" applyFont="1" applyFill="1" applyBorder="1" applyAlignment="1">
      <alignment horizontal="center" vertical="center"/>
    </xf>
    <xf numFmtId="0" fontId="9" fillId="0" borderId="43" xfId="0" applyFont="1" applyBorder="1"/>
    <xf numFmtId="0" fontId="11" fillId="9" borderId="45" xfId="0" applyFont="1" applyFill="1" applyBorder="1"/>
    <xf numFmtId="0" fontId="11" fillId="9" borderId="46" xfId="0" applyFont="1" applyFill="1" applyBorder="1"/>
    <xf numFmtId="164" fontId="9" fillId="9" borderId="22" xfId="0" applyNumberFormat="1" applyFont="1" applyFill="1" applyBorder="1" applyAlignment="1">
      <alignment horizontal="center"/>
    </xf>
    <xf numFmtId="0" fontId="11" fillId="9" borderId="23" xfId="0" applyFont="1" applyFill="1" applyBorder="1"/>
    <xf numFmtId="1" fontId="9" fillId="9" borderId="42" xfId="0" applyNumberFormat="1" applyFont="1" applyFill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0" fontId="9" fillId="0" borderId="0" xfId="0" applyFont="1"/>
    <xf numFmtId="164" fontId="9" fillId="9" borderId="0" xfId="0" applyNumberFormat="1" applyFont="1" applyFill="1"/>
    <xf numFmtId="0" fontId="9" fillId="9" borderId="22" xfId="0" applyFont="1" applyFill="1" applyBorder="1" applyAlignment="1">
      <alignment horizontal="center" vertical="center"/>
    </xf>
    <xf numFmtId="0" fontId="11" fillId="9" borderId="27" xfId="0" applyFont="1" applyFill="1" applyBorder="1"/>
    <xf numFmtId="1" fontId="9" fillId="9" borderId="4" xfId="0" applyNumberFormat="1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11" fillId="9" borderId="0" xfId="0" applyFont="1" applyFill="1" applyBorder="1"/>
    <xf numFmtId="0" fontId="11" fillId="9" borderId="37" xfId="0" applyFont="1" applyFill="1" applyBorder="1"/>
    <xf numFmtId="0" fontId="9" fillId="9" borderId="12" xfId="0" applyFont="1" applyFill="1" applyBorder="1" applyAlignment="1">
      <alignment horizontal="center" vertical="center"/>
    </xf>
    <xf numFmtId="21" fontId="9" fillId="9" borderId="56" xfId="0" applyNumberFormat="1" applyFont="1" applyFill="1" applyBorder="1" applyAlignment="1">
      <alignment horizontal="center"/>
    </xf>
    <xf numFmtId="0" fontId="9" fillId="9" borderId="55" xfId="0" applyFont="1" applyFill="1" applyBorder="1" applyAlignment="1">
      <alignment horizontal="center" vertical="center"/>
    </xf>
    <xf numFmtId="21" fontId="9" fillId="9" borderId="57" xfId="0" applyNumberFormat="1" applyFont="1" applyFill="1" applyBorder="1" applyAlignment="1">
      <alignment horizontal="center"/>
    </xf>
    <xf numFmtId="21" fontId="9" fillId="9" borderId="58" xfId="0" applyNumberFormat="1" applyFont="1" applyFill="1" applyBorder="1" applyAlignment="1">
      <alignment horizontal="center"/>
    </xf>
    <xf numFmtId="0" fontId="9" fillId="9" borderId="59" xfId="0" applyFont="1" applyFill="1" applyBorder="1" applyAlignment="1">
      <alignment horizontal="center" vertical="center"/>
    </xf>
    <xf numFmtId="0" fontId="9" fillId="9" borderId="60" xfId="0" applyFont="1" applyFill="1" applyBorder="1" applyAlignment="1">
      <alignment horizontal="center" vertical="center"/>
    </xf>
    <xf numFmtId="0" fontId="9" fillId="9" borderId="61" xfId="0" applyFont="1" applyFill="1" applyBorder="1" applyAlignment="1">
      <alignment horizontal="center" vertical="center"/>
    </xf>
    <xf numFmtId="0" fontId="11" fillId="9" borderId="62" xfId="0" applyFont="1" applyFill="1" applyBorder="1"/>
    <xf numFmtId="0" fontId="9" fillId="9" borderId="63" xfId="0" applyFont="1" applyFill="1" applyBorder="1" applyAlignment="1">
      <alignment horizontal="center" vertical="center"/>
    </xf>
    <xf numFmtId="0" fontId="11" fillId="9" borderId="64" xfId="0" applyFont="1" applyFill="1" applyBorder="1"/>
    <xf numFmtId="21" fontId="9" fillId="9" borderId="65" xfId="0" applyNumberFormat="1" applyFont="1" applyFill="1" applyBorder="1" applyAlignment="1">
      <alignment horizontal="center"/>
    </xf>
    <xf numFmtId="21" fontId="9" fillId="9" borderId="66" xfId="0" applyNumberFormat="1" applyFont="1" applyFill="1" applyBorder="1" applyAlignment="1">
      <alignment horizontal="center"/>
    </xf>
    <xf numFmtId="0" fontId="9" fillId="9" borderId="67" xfId="0" applyFont="1" applyFill="1" applyBorder="1" applyAlignment="1">
      <alignment horizontal="center" vertical="center"/>
    </xf>
    <xf numFmtId="0" fontId="9" fillId="9" borderId="68" xfId="0" applyFont="1" applyFill="1" applyBorder="1" applyAlignment="1">
      <alignment horizontal="center" vertical="center"/>
    </xf>
    <xf numFmtId="0" fontId="9" fillId="9" borderId="69" xfId="0" applyFont="1" applyFill="1" applyBorder="1" applyAlignment="1">
      <alignment horizontal="center" vertical="center"/>
    </xf>
    <xf numFmtId="0" fontId="9" fillId="9" borderId="36" xfId="0" applyFont="1" applyFill="1" applyBorder="1" applyAlignment="1">
      <alignment horizontal="center" vertical="center"/>
    </xf>
    <xf numFmtId="21" fontId="9" fillId="9" borderId="70" xfId="0" applyNumberFormat="1" applyFont="1" applyFill="1" applyBorder="1" applyAlignment="1">
      <alignment horizontal="center"/>
    </xf>
    <xf numFmtId="21" fontId="9" fillId="9" borderId="71" xfId="0" applyNumberFormat="1" applyFont="1" applyFill="1" applyBorder="1" applyAlignment="1">
      <alignment horizontal="center"/>
    </xf>
    <xf numFmtId="0" fontId="9" fillId="9" borderId="72" xfId="0" applyFont="1" applyFill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9" fillId="9" borderId="73" xfId="0" applyFont="1" applyFill="1" applyBorder="1" applyAlignment="1">
      <alignment horizontal="center" vertical="center"/>
    </xf>
    <xf numFmtId="0" fontId="9" fillId="9" borderId="74" xfId="0" applyFont="1" applyFill="1" applyBorder="1" applyAlignment="1">
      <alignment horizontal="center" vertical="center"/>
    </xf>
    <xf numFmtId="0" fontId="9" fillId="9" borderId="75" xfId="0" applyFont="1" applyFill="1" applyBorder="1" applyAlignment="1">
      <alignment horizontal="center" vertical="center"/>
    </xf>
    <xf numFmtId="21" fontId="9" fillId="9" borderId="11" xfId="0" applyNumberFormat="1" applyFont="1" applyFill="1" applyBorder="1" applyAlignment="1">
      <alignment horizontal="center"/>
    </xf>
    <xf numFmtId="21" fontId="9" fillId="9" borderId="76" xfId="0" applyNumberFormat="1" applyFont="1" applyFill="1" applyBorder="1" applyAlignment="1">
      <alignment horizontal="center"/>
    </xf>
    <xf numFmtId="21" fontId="9" fillId="9" borderId="10" xfId="0" applyNumberFormat="1" applyFont="1" applyFill="1" applyBorder="1" applyAlignment="1">
      <alignment horizontal="center"/>
    </xf>
    <xf numFmtId="21" fontId="9" fillId="9" borderId="16" xfId="0" applyNumberFormat="1" applyFont="1" applyFill="1" applyBorder="1" applyAlignment="1">
      <alignment horizontal="center"/>
    </xf>
    <xf numFmtId="21" fontId="9" fillId="9" borderId="77" xfId="0" applyNumberFormat="1" applyFont="1" applyFill="1" applyBorder="1" applyAlignment="1">
      <alignment horizontal="center"/>
    </xf>
    <xf numFmtId="21" fontId="9" fillId="9" borderId="78" xfId="0" applyNumberFormat="1" applyFont="1" applyFill="1" applyBorder="1" applyAlignment="1">
      <alignment horizontal="center"/>
    </xf>
    <xf numFmtId="21" fontId="9" fillId="9" borderId="79" xfId="0" applyNumberFormat="1" applyFont="1" applyFill="1" applyBorder="1" applyAlignment="1">
      <alignment horizontal="center"/>
    </xf>
    <xf numFmtId="21" fontId="9" fillId="9" borderId="80" xfId="0" applyNumberFormat="1" applyFont="1" applyFill="1" applyBorder="1" applyAlignment="1">
      <alignment horizontal="center"/>
    </xf>
    <xf numFmtId="0" fontId="9" fillId="9" borderId="65" xfId="0" applyFont="1" applyFill="1" applyBorder="1" applyAlignment="1">
      <alignment horizontal="center" vertical="center"/>
    </xf>
    <xf numFmtId="0" fontId="9" fillId="9" borderId="81" xfId="0" applyFont="1" applyFill="1" applyBorder="1" applyAlignment="1">
      <alignment horizontal="center" vertical="center"/>
    </xf>
    <xf numFmtId="0" fontId="9" fillId="9" borderId="66" xfId="0" applyFont="1" applyFill="1" applyBorder="1" applyAlignment="1">
      <alignment horizontal="center" vertical="center"/>
    </xf>
    <xf numFmtId="9" fontId="9" fillId="9" borderId="23" xfId="0" applyNumberFormat="1" applyFont="1" applyFill="1" applyBorder="1" applyAlignment="1">
      <alignment horizontal="center" vertical="center"/>
    </xf>
    <xf numFmtId="1" fontId="9" fillId="9" borderId="82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9" borderId="83" xfId="0" applyFont="1" applyFill="1" applyBorder="1"/>
    <xf numFmtId="9" fontId="9" fillId="9" borderId="84" xfId="0" applyNumberFormat="1" applyFont="1" applyFill="1" applyBorder="1" applyAlignment="1">
      <alignment horizontal="center" vertical="center"/>
    </xf>
    <xf numFmtId="9" fontId="9" fillId="9" borderId="85" xfId="0" applyNumberFormat="1" applyFont="1" applyFill="1" applyBorder="1" applyAlignment="1">
      <alignment horizontal="center" vertical="center"/>
    </xf>
    <xf numFmtId="9" fontId="9" fillId="9" borderId="86" xfId="0" applyNumberFormat="1" applyFont="1" applyFill="1" applyBorder="1" applyAlignment="1">
      <alignment horizontal="center" vertical="center"/>
    </xf>
    <xf numFmtId="165" fontId="9" fillId="9" borderId="85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10" fillId="9" borderId="52" xfId="0" applyFont="1" applyFill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12" fillId="10" borderId="87" xfId="0" applyFont="1" applyFill="1" applyBorder="1" applyAlignment="1">
      <alignment horizontal="center"/>
    </xf>
    <xf numFmtId="0" fontId="12" fillId="10" borderId="88" xfId="0" applyFont="1" applyFill="1" applyBorder="1" applyAlignment="1">
      <alignment horizontal="center"/>
    </xf>
    <xf numFmtId="0" fontId="12" fillId="10" borderId="86" xfId="0" applyFont="1" applyFill="1" applyBorder="1" applyAlignment="1">
      <alignment horizontal="center"/>
    </xf>
    <xf numFmtId="0" fontId="10" fillId="9" borderId="89" xfId="0" applyFont="1" applyFill="1" applyBorder="1" applyAlignment="1">
      <alignment horizontal="center" vertical="center" wrapText="1"/>
    </xf>
    <xf numFmtId="0" fontId="11" fillId="9" borderId="88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8</xdr:row>
      <xdr:rowOff>104775</xdr:rowOff>
    </xdr:from>
    <xdr:ext cx="571500" cy="1333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45390" y="1469551"/>
          <a:ext cx="571500" cy="133350"/>
          <a:chOff x="5088825" y="3741900"/>
          <a:chExt cx="514350" cy="76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088825" y="3741900"/>
            <a:ext cx="514350" cy="76200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238125</xdr:colOff>
      <xdr:row>5</xdr:row>
      <xdr:rowOff>95250</xdr:rowOff>
    </xdr:from>
    <xdr:ext cx="533400" cy="419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412065" y="948235"/>
          <a:ext cx="533400" cy="419100"/>
          <a:chOff x="5093588" y="3589500"/>
          <a:chExt cx="504825" cy="381000"/>
        </a:xfrm>
      </xdr:grpSpPr>
      <xdr:grpSp>
        <xdr:nvGrp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 rot="325165">
            <a:off x="5093588" y="3589500"/>
            <a:ext cx="504825" cy="381000"/>
            <a:chOff x="6143625" y="409575"/>
            <a:chExt cx="1266825" cy="466725"/>
          </a:xfrm>
        </xdr:grpSpPr>
        <xdr:sp macro="" textlink="">
          <xdr:nvSpPr>
            <xdr:cNvPr id="6" name="Shap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8" name="Shap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5</xdr:col>
      <xdr:colOff>133350</xdr:colOff>
      <xdr:row>10</xdr:row>
      <xdr:rowOff>28575</xdr:rowOff>
    </xdr:from>
    <xdr:ext cx="514350" cy="4572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307290" y="1734545"/>
          <a:ext cx="514350" cy="457200"/>
          <a:chOff x="5093588" y="3556163"/>
          <a:chExt cx="504825" cy="447675"/>
        </a:xfrm>
      </xdr:grpSpPr>
      <xdr:grpSp>
        <xdr:nvGrpSpPr>
          <xdr:cNvPr id="10" name="Shape 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GrpSpPr/>
        </xdr:nvGrpSpPr>
        <xdr:grpSpPr>
          <a:xfrm rot="-10700880" flipH="1">
            <a:off x="5093588" y="3556163"/>
            <a:ext cx="504825" cy="447675"/>
            <a:chOff x="6143625" y="409575"/>
            <a:chExt cx="1266825" cy="466725"/>
          </a:xfrm>
        </xdr:grpSpPr>
        <xdr:sp macro="" textlink="">
          <xdr:nvSpPr>
            <xdr:cNvPr id="11" name="Shape 5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2" name="Shape 9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13" name="Shape 10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76200</xdr:colOff>
      <xdr:row>5</xdr:row>
      <xdr:rowOff>0</xdr:rowOff>
    </xdr:from>
    <xdr:ext cx="1047750" cy="600075"/>
    <xdr:sp macro="" textlink="">
      <xdr:nvSpPr>
        <xdr:cNvPr id="14" name="Shape 1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SBL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47625</xdr:colOff>
      <xdr:row>6</xdr:row>
      <xdr:rowOff>161925</xdr:rowOff>
    </xdr:from>
    <xdr:ext cx="1047750" cy="600075"/>
    <xdr:sp macro="" textlink="">
      <xdr:nvSpPr>
        <xdr:cNvPr id="15" name="Shape 1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SBS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9525</xdr:colOff>
      <xdr:row>8</xdr:row>
      <xdr:rowOff>133350</xdr:rowOff>
    </xdr:from>
    <xdr:ext cx="1047750" cy="600075"/>
    <xdr:sp macro="" textlink="">
      <xdr:nvSpPr>
        <xdr:cNvPr id="16" name="Shape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SBR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142875</xdr:colOff>
      <xdr:row>9</xdr:row>
      <xdr:rowOff>133350</xdr:rowOff>
    </xdr:from>
    <xdr:ext cx="428625" cy="552450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5294905" y="1668723"/>
          <a:ext cx="428625" cy="552450"/>
          <a:chOff x="5084063" y="3594263"/>
          <a:chExt cx="523875" cy="371475"/>
        </a:xfrm>
      </xdr:grpSpPr>
      <xdr:grpSp>
        <xdr:nvGrpSpPr>
          <xdr:cNvPr id="20" name="Shape 1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 rot="5082532">
            <a:off x="5084063" y="3594263"/>
            <a:ext cx="523875" cy="371475"/>
            <a:chOff x="6143625" y="409575"/>
            <a:chExt cx="1266825" cy="466725"/>
          </a:xfrm>
        </xdr:grpSpPr>
        <xdr:sp macro="" textlink="">
          <xdr:nvSpPr>
            <xdr:cNvPr id="21" name="Shape 5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2" name="Shape 16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1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6</xdr:col>
      <xdr:colOff>85725</xdr:colOff>
      <xdr:row>13</xdr:row>
      <xdr:rowOff>9525</xdr:rowOff>
    </xdr:from>
    <xdr:ext cx="1047750" cy="600075"/>
    <xdr:sp macro="" textlink="">
      <xdr:nvSpPr>
        <xdr:cNvPr id="24" name="Shape 1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WBS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57150</xdr:colOff>
      <xdr:row>12</xdr:row>
      <xdr:rowOff>133350</xdr:rowOff>
    </xdr:from>
    <xdr:ext cx="1047750" cy="600075"/>
    <xdr:sp macro="" textlink="">
      <xdr:nvSpPr>
        <xdr:cNvPr id="25" name="Shape 1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WBL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10</xdr:col>
      <xdr:colOff>-9525</xdr:colOff>
      <xdr:row>9</xdr:row>
      <xdr:rowOff>19050</xdr:rowOff>
    </xdr:from>
    <xdr:ext cx="457200" cy="5715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6518654" y="1554423"/>
          <a:ext cx="457200" cy="571500"/>
          <a:chOff x="5050725" y="3746663"/>
          <a:chExt cx="590550" cy="66675"/>
        </a:xfrm>
      </xdr:grpSpPr>
      <xdr:cxnSp macro="">
        <xdr:nvCxnSpPr>
          <xdr:cNvPr id="27" name="Shape 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 rot="-7539730">
            <a:off x="5050725" y="3746663"/>
            <a:ext cx="590550" cy="66675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171450</xdr:colOff>
      <xdr:row>10</xdr:row>
      <xdr:rowOff>95250</xdr:rowOff>
    </xdr:from>
    <xdr:ext cx="590550" cy="62865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6187838" y="1801220"/>
          <a:ext cx="590550" cy="628650"/>
          <a:chOff x="5084063" y="3594263"/>
          <a:chExt cx="523875" cy="371475"/>
        </a:xfrm>
      </xdr:grpSpPr>
      <xdr:grpSp>
        <xdr:nvGrpSpPr>
          <xdr:cNvPr id="29" name="Shape 2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 rot="-7214565">
            <a:off x="5084063" y="3594263"/>
            <a:ext cx="523875" cy="371475"/>
            <a:chOff x="6143625" y="409575"/>
            <a:chExt cx="1266825" cy="466725"/>
          </a:xfrm>
        </xdr:grpSpPr>
        <xdr:sp macro="" textlink="">
          <xdr:nvSpPr>
            <xdr:cNvPr id="30" name="Shape 5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1" name="Shape 22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32" name="Shape 23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10</xdr:col>
      <xdr:colOff>457200</xdr:colOff>
      <xdr:row>8</xdr:row>
      <xdr:rowOff>-57150</xdr:rowOff>
    </xdr:from>
    <xdr:ext cx="600075" cy="638175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6985379" y="1307626"/>
          <a:ext cx="600075" cy="638175"/>
          <a:chOff x="5093588" y="3589500"/>
          <a:chExt cx="504825" cy="381000"/>
        </a:xfrm>
      </xdr:grpSpPr>
      <xdr:grpSp>
        <xdr:nvGrpSpPr>
          <xdr:cNvPr id="34" name="Shape 2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 rot="3359390" flipH="1">
            <a:off x="5093588" y="3589500"/>
            <a:ext cx="504825" cy="381000"/>
            <a:chOff x="6143625" y="409575"/>
            <a:chExt cx="1266825" cy="466725"/>
          </a:xfrm>
        </xdr:grpSpPr>
        <xdr:sp macro="" textlink="">
          <xdr:nvSpPr>
            <xdr:cNvPr id="35" name="Shape 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6" name="Shape 2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37" name="Shape 2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9</xdr:col>
      <xdr:colOff>95250</xdr:colOff>
      <xdr:row>13</xdr:row>
      <xdr:rowOff>47625</xdr:rowOff>
    </xdr:from>
    <xdr:ext cx="1047750" cy="600075"/>
    <xdr:sp macro="" textlink="">
      <xdr:nvSpPr>
        <xdr:cNvPr id="38" name="Shape 2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19</xdr:col>
      <xdr:colOff>282480</xdr:colOff>
      <xdr:row>16</xdr:row>
      <xdr:rowOff>93401</xdr:rowOff>
    </xdr:from>
    <xdr:ext cx="1047750" cy="600075"/>
    <xdr:sp macro="" textlink="">
      <xdr:nvSpPr>
        <xdr:cNvPr id="39" name="Shape 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428987" y="2822953"/>
          <a:ext cx="10477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10</xdr:col>
      <xdr:colOff>628650</xdr:colOff>
      <xdr:row>10</xdr:row>
      <xdr:rowOff>123825</xdr:rowOff>
    </xdr:from>
    <xdr:ext cx="1047750" cy="600075"/>
    <xdr:sp macro="" textlink="">
      <xdr:nvSpPr>
        <xdr:cNvPr id="40" name="Shape 2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733425</xdr:colOff>
      <xdr:row>6</xdr:row>
      <xdr:rowOff>57150</xdr:rowOff>
    </xdr:from>
    <xdr:ext cx="466725" cy="419100"/>
    <xdr:grpSp>
      <xdr:nvGrpSpPr>
        <xdr:cNvPr id="41" name="Shape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6023866" y="1080732"/>
          <a:ext cx="466725" cy="419100"/>
          <a:chOff x="5126925" y="3589500"/>
          <a:chExt cx="438150" cy="381000"/>
        </a:xfrm>
      </xdr:grpSpPr>
      <xdr:grpSp>
        <xdr:nvGrpSpPr>
          <xdr:cNvPr id="42" name="Shape 30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GrpSpPr/>
        </xdr:nvGrpSpPr>
        <xdr:grpSpPr>
          <a:xfrm rot="-10499070">
            <a:off x="5126925" y="3589500"/>
            <a:ext cx="438150" cy="381000"/>
            <a:chOff x="6143625" y="409575"/>
            <a:chExt cx="1266825" cy="466725"/>
          </a:xfrm>
        </xdr:grpSpPr>
        <xdr:sp macro="" textlink="">
          <xdr:nvSpPr>
            <xdr:cNvPr id="43" name="Shape 5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4" name="Shape 31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45" name="Shape 32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8</xdr:col>
      <xdr:colOff>647700</xdr:colOff>
      <xdr:row>5</xdr:row>
      <xdr:rowOff>0</xdr:rowOff>
    </xdr:from>
    <xdr:ext cx="504825" cy="5715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6021961" y="852985"/>
          <a:ext cx="504825" cy="57150"/>
          <a:chOff x="5093588" y="3780000"/>
          <a:chExt cx="504825" cy="0"/>
        </a:xfrm>
      </xdr:grpSpPr>
      <xdr:cxnSp macro="">
        <xdr:nvCxnSpPr>
          <xdr:cNvPr id="47" name="Shape 33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 rot="10800000">
            <a:off x="5093588" y="3780000"/>
            <a:ext cx="504825" cy="0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28575</xdr:colOff>
      <xdr:row>1</xdr:row>
      <xdr:rowOff>142875</xdr:rowOff>
    </xdr:from>
    <xdr:ext cx="504825" cy="40957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6044963" y="313472"/>
          <a:ext cx="504825" cy="409575"/>
          <a:chOff x="5093588" y="3575213"/>
          <a:chExt cx="504825" cy="409575"/>
        </a:xfrm>
      </xdr:grpSpPr>
      <xdr:grpSp>
        <xdr:nvGrpSpPr>
          <xdr:cNvPr id="49" name="Shape 34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GrpSpPr/>
        </xdr:nvGrpSpPr>
        <xdr:grpSpPr>
          <a:xfrm flipH="1">
            <a:off x="5093588" y="3575213"/>
            <a:ext cx="504825" cy="409575"/>
            <a:chOff x="6143625" y="409575"/>
            <a:chExt cx="1266825" cy="466725"/>
          </a:xfrm>
        </xdr:grpSpPr>
        <xdr:sp macro="" textlink="">
          <xdr:nvSpPr>
            <xdr:cNvPr id="50" name="Shape 5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1" name="Shape 35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2" name="Shape 36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9</xdr:col>
      <xdr:colOff>457200</xdr:colOff>
      <xdr:row>4</xdr:row>
      <xdr:rowOff>104775</xdr:rowOff>
    </xdr:from>
    <xdr:ext cx="1047750" cy="600075"/>
    <xdr:sp macro="" textlink="">
      <xdr:nvSpPr>
        <xdr:cNvPr id="53" name="Shape 3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9</xdr:col>
      <xdr:colOff>438150</xdr:colOff>
      <xdr:row>1</xdr:row>
      <xdr:rowOff>19050</xdr:rowOff>
    </xdr:from>
    <xdr:ext cx="1047750" cy="600075"/>
    <xdr:sp macro="" textlink="">
      <xdr:nvSpPr>
        <xdr:cNvPr id="54" name="Shape 3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10</xdr:col>
      <xdr:colOff>200025</xdr:colOff>
      <xdr:row>2</xdr:row>
      <xdr:rowOff>142875</xdr:rowOff>
    </xdr:from>
    <xdr:ext cx="1047750" cy="600075"/>
    <xdr:sp macro="" textlink="">
      <xdr:nvSpPr>
        <xdr:cNvPr id="55" name="Shape 3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4823016" y="3483348"/>
          <a:ext cx="1045968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twoCellAnchor>
    <xdr:from>
      <xdr:col>5</xdr:col>
      <xdr:colOff>106985</xdr:colOff>
      <xdr:row>4</xdr:row>
      <xdr:rowOff>131687</xdr:rowOff>
    </xdr:from>
    <xdr:to>
      <xdr:col>5</xdr:col>
      <xdr:colOff>614946</xdr:colOff>
      <xdr:row>6</xdr:row>
      <xdr:rowOff>167367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EF525256-5C8E-453F-9688-5C88258C1BF8}"/>
            </a:ext>
          </a:extLst>
        </xdr:cNvPr>
        <xdr:cNvGrpSpPr/>
      </xdr:nvGrpSpPr>
      <xdr:grpSpPr>
        <a:xfrm rot="21496997">
          <a:off x="4280925" y="814075"/>
          <a:ext cx="401281" cy="376874"/>
          <a:chOff x="6143625" y="409575"/>
          <a:chExt cx="1266825" cy="466725"/>
        </a:xfrm>
      </xdr:grpSpPr>
      <xdr:cxnSp macro="">
        <xdr:nvCxnSpPr>
          <xdr:cNvPr id="57" name="Conector recto de flecha 56">
            <a:extLst>
              <a:ext uri="{FF2B5EF4-FFF2-40B4-BE49-F238E27FC236}">
                <a16:creationId xmlns:a16="http://schemas.microsoft.com/office/drawing/2014/main" id="{D8A26E59-399D-0716-8C87-F7BC97876791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C0DDAAEC-1EC5-0E97-63BE-96CB70B5AA94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420804</xdr:colOff>
      <xdr:row>2</xdr:row>
      <xdr:rowOff>133066</xdr:rowOff>
    </xdr:from>
    <xdr:to>
      <xdr:col>28</xdr:col>
      <xdr:colOff>875731</xdr:colOff>
      <xdr:row>24</xdr:row>
      <xdr:rowOff>45493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6D08085E-B2CD-1FFD-BEA9-0378CDBF9BCB}"/>
            </a:ext>
          </a:extLst>
        </xdr:cNvPr>
        <xdr:cNvGrpSpPr/>
      </xdr:nvGrpSpPr>
      <xdr:grpSpPr>
        <a:xfrm>
          <a:off x="11839431" y="474260"/>
          <a:ext cx="8256897" cy="3665561"/>
          <a:chOff x="2718178" y="246797"/>
          <a:chExt cx="7437889" cy="3752850"/>
        </a:xfrm>
      </xdr:grpSpPr>
      <xdr:pic>
        <xdr:nvPicPr>
          <xdr:cNvPr id="56" name="image1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869442" y="246797"/>
            <a:ext cx="7286625" cy="3752850"/>
          </a:xfrm>
          <a:prstGeom prst="rect">
            <a:avLst/>
          </a:prstGeom>
          <a:noFill/>
        </xdr:spPr>
      </xdr:pic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E50B51B0-78BF-4162-8327-2EFA3ADF2D05}"/>
              </a:ext>
            </a:extLst>
          </xdr:cNvPr>
          <xdr:cNvCxnSpPr/>
        </xdr:nvCxnSpPr>
        <xdr:spPr>
          <a:xfrm rot="21171832">
            <a:off x="3690899" y="1362371"/>
            <a:ext cx="582619" cy="67623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9" name="Grupo 58">
            <a:extLst>
              <a:ext uri="{FF2B5EF4-FFF2-40B4-BE49-F238E27FC236}">
                <a16:creationId xmlns:a16="http://schemas.microsoft.com/office/drawing/2014/main" id="{350CBF3C-3E32-4E66-9AA4-272CEA930958}"/>
              </a:ext>
            </a:extLst>
          </xdr:cNvPr>
          <xdr:cNvGrpSpPr/>
        </xdr:nvGrpSpPr>
        <xdr:grpSpPr>
          <a:xfrm rot="21270952" flipV="1">
            <a:off x="3631650" y="1618722"/>
            <a:ext cx="507961" cy="445128"/>
            <a:chOff x="6143625" y="409575"/>
            <a:chExt cx="1266825" cy="466725"/>
          </a:xfrm>
        </xdr:grpSpPr>
        <xdr:cxnSp macro="">
          <xdr:nvCxnSpPr>
            <xdr:cNvPr id="60" name="Conector recto de flecha 59">
              <a:extLst>
                <a:ext uri="{FF2B5EF4-FFF2-40B4-BE49-F238E27FC236}">
                  <a16:creationId xmlns:a16="http://schemas.microsoft.com/office/drawing/2014/main" id="{6CDB96BE-8ACA-1043-05D2-4AAF9989D895}"/>
                </a:ext>
              </a:extLst>
            </xdr:cNvPr>
            <xdr:cNvCxnSpPr/>
          </xdr:nvCxnSpPr>
          <xdr:spPr>
            <a:xfrm flipH="1" flipV="1">
              <a:off x="7391400" y="409575"/>
              <a:ext cx="19050" cy="457200"/>
            </a:xfrm>
            <a:prstGeom prst="straightConnector1">
              <a:avLst/>
            </a:prstGeom>
            <a:ln w="571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Conector recto 60">
              <a:extLst>
                <a:ext uri="{FF2B5EF4-FFF2-40B4-BE49-F238E27FC236}">
                  <a16:creationId xmlns:a16="http://schemas.microsoft.com/office/drawing/2014/main" id="{6D3933B5-E4A7-27E9-BA7A-5A2C6C1D3BA1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line">
              <a:avLst/>
            </a:prstGeom>
            <a:ln w="7620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2" name="Rectángulo 61">
            <a:extLst>
              <a:ext uri="{FF2B5EF4-FFF2-40B4-BE49-F238E27FC236}">
                <a16:creationId xmlns:a16="http://schemas.microsoft.com/office/drawing/2014/main" id="{E066231E-7BFD-4B07-AA57-58ED140474F6}"/>
              </a:ext>
            </a:extLst>
          </xdr:cNvPr>
          <xdr:cNvSpPr/>
        </xdr:nvSpPr>
        <xdr:spPr>
          <a:xfrm rot="21171832">
            <a:off x="2781678" y="697174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SBL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7EC7917D-026C-4D7C-BC15-80679E225B25}"/>
              </a:ext>
            </a:extLst>
          </xdr:cNvPr>
          <xdr:cNvSpPr/>
        </xdr:nvSpPr>
        <xdr:spPr>
          <a:xfrm rot="21171832">
            <a:off x="2718178" y="1370274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SBR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cxnSp macro="">
        <xdr:nvCxnSpPr>
          <xdr:cNvPr id="64" name="Conector recto de flecha 63">
            <a:extLst>
              <a:ext uri="{FF2B5EF4-FFF2-40B4-BE49-F238E27FC236}">
                <a16:creationId xmlns:a16="http://schemas.microsoft.com/office/drawing/2014/main" id="{60879762-BD0E-47CF-BB9F-8A1F4123B6DC}"/>
              </a:ext>
            </a:extLst>
          </xdr:cNvPr>
          <xdr:cNvCxnSpPr/>
        </xdr:nvCxnSpPr>
        <xdr:spPr>
          <a:xfrm flipH="1">
            <a:off x="4776716" y="979957"/>
            <a:ext cx="23862" cy="555416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5" name="Grupo 64">
            <a:extLst>
              <a:ext uri="{FF2B5EF4-FFF2-40B4-BE49-F238E27FC236}">
                <a16:creationId xmlns:a16="http://schemas.microsoft.com/office/drawing/2014/main" id="{AE15F34C-7F11-4AAE-9370-155D0A25C257}"/>
              </a:ext>
            </a:extLst>
          </xdr:cNvPr>
          <xdr:cNvGrpSpPr/>
        </xdr:nvGrpSpPr>
        <xdr:grpSpPr>
          <a:xfrm rot="5725165">
            <a:off x="5202909" y="989977"/>
            <a:ext cx="507961" cy="376874"/>
            <a:chOff x="6143625" y="409575"/>
            <a:chExt cx="1266825" cy="466725"/>
          </a:xfrm>
        </xdr:grpSpPr>
        <xdr:cxnSp macro="">
          <xdr:nvCxnSpPr>
            <xdr:cNvPr id="66" name="Conector recto de flecha 65">
              <a:extLst>
                <a:ext uri="{FF2B5EF4-FFF2-40B4-BE49-F238E27FC236}">
                  <a16:creationId xmlns:a16="http://schemas.microsoft.com/office/drawing/2014/main" id="{F0D106C6-3FE8-62CD-82E9-11E41AE06E00}"/>
                </a:ext>
              </a:extLst>
            </xdr:cNvPr>
            <xdr:cNvCxnSpPr/>
          </xdr:nvCxnSpPr>
          <xdr:spPr>
            <a:xfrm flipH="1" flipV="1">
              <a:off x="7391400" y="409575"/>
              <a:ext cx="19050" cy="457200"/>
            </a:xfrm>
            <a:prstGeom prst="straightConnector1">
              <a:avLst/>
            </a:prstGeom>
            <a:ln w="571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Conector recto 66">
              <a:extLst>
                <a:ext uri="{FF2B5EF4-FFF2-40B4-BE49-F238E27FC236}">
                  <a16:creationId xmlns:a16="http://schemas.microsoft.com/office/drawing/2014/main" id="{4152115B-2D66-7FC3-3A02-F6AE0433808D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line">
              <a:avLst/>
            </a:prstGeom>
            <a:ln w="7620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8" name="Rectángulo 67">
            <a:extLst>
              <a:ext uri="{FF2B5EF4-FFF2-40B4-BE49-F238E27FC236}">
                <a16:creationId xmlns:a16="http://schemas.microsoft.com/office/drawing/2014/main" id="{189BBB14-BD0F-4173-A160-6348D4E16DA8}"/>
              </a:ext>
            </a:extLst>
          </xdr:cNvPr>
          <xdr:cNvSpPr/>
        </xdr:nvSpPr>
        <xdr:spPr>
          <a:xfrm>
            <a:off x="4289569" y="358064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WBS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69" name="Rectángulo 68">
            <a:extLst>
              <a:ext uri="{FF2B5EF4-FFF2-40B4-BE49-F238E27FC236}">
                <a16:creationId xmlns:a16="http://schemas.microsoft.com/office/drawing/2014/main" id="{63B42D90-7180-4D2C-94D8-4D8ED5442C39}"/>
              </a:ext>
            </a:extLst>
          </xdr:cNvPr>
          <xdr:cNvSpPr/>
        </xdr:nvSpPr>
        <xdr:spPr>
          <a:xfrm>
            <a:off x="5051569" y="307264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WBL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cxnSp macro="">
        <xdr:nvCxnSpPr>
          <xdr:cNvPr id="70" name="Conector recto de flecha 69">
            <a:extLst>
              <a:ext uri="{FF2B5EF4-FFF2-40B4-BE49-F238E27FC236}">
                <a16:creationId xmlns:a16="http://schemas.microsoft.com/office/drawing/2014/main" id="{42D054AA-40AD-4A24-B5F1-AD71E9A8A618}"/>
              </a:ext>
            </a:extLst>
          </xdr:cNvPr>
          <xdr:cNvCxnSpPr/>
        </xdr:nvCxnSpPr>
        <xdr:spPr>
          <a:xfrm flipH="1" flipV="1">
            <a:off x="7655710" y="1821768"/>
            <a:ext cx="646677" cy="452859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" name="Grupo 70">
            <a:extLst>
              <a:ext uri="{FF2B5EF4-FFF2-40B4-BE49-F238E27FC236}">
                <a16:creationId xmlns:a16="http://schemas.microsoft.com/office/drawing/2014/main" id="{83C58610-6648-429D-9109-6F33BF7E09CD}"/>
              </a:ext>
            </a:extLst>
          </xdr:cNvPr>
          <xdr:cNvGrpSpPr/>
        </xdr:nvGrpSpPr>
        <xdr:grpSpPr>
          <a:xfrm rot="12736840">
            <a:off x="7472040" y="2191363"/>
            <a:ext cx="507961" cy="376874"/>
            <a:chOff x="6143625" y="409575"/>
            <a:chExt cx="1266825" cy="466725"/>
          </a:xfrm>
        </xdr:grpSpPr>
        <xdr:cxnSp macro="">
          <xdr:nvCxnSpPr>
            <xdr:cNvPr id="72" name="Conector recto de flecha 71">
              <a:extLst>
                <a:ext uri="{FF2B5EF4-FFF2-40B4-BE49-F238E27FC236}">
                  <a16:creationId xmlns:a16="http://schemas.microsoft.com/office/drawing/2014/main" id="{90143905-8A5D-054B-2176-ED2C90208967}"/>
                </a:ext>
              </a:extLst>
            </xdr:cNvPr>
            <xdr:cNvCxnSpPr/>
          </xdr:nvCxnSpPr>
          <xdr:spPr>
            <a:xfrm flipH="1" flipV="1">
              <a:off x="7391400" y="409575"/>
              <a:ext cx="19050" cy="457200"/>
            </a:xfrm>
            <a:prstGeom prst="straightConnector1">
              <a:avLst/>
            </a:prstGeom>
            <a:ln w="571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Conector recto 72">
              <a:extLst>
                <a:ext uri="{FF2B5EF4-FFF2-40B4-BE49-F238E27FC236}">
                  <a16:creationId xmlns:a16="http://schemas.microsoft.com/office/drawing/2014/main" id="{AAA01E19-2B6D-7164-9033-855C0BB2F264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line">
              <a:avLst/>
            </a:prstGeom>
            <a:ln w="7620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" name="Grupo 73">
            <a:extLst>
              <a:ext uri="{FF2B5EF4-FFF2-40B4-BE49-F238E27FC236}">
                <a16:creationId xmlns:a16="http://schemas.microsoft.com/office/drawing/2014/main" id="{0019F6BE-D590-458D-B2C5-D16946687DE9}"/>
              </a:ext>
            </a:extLst>
          </xdr:cNvPr>
          <xdr:cNvGrpSpPr/>
        </xdr:nvGrpSpPr>
        <xdr:grpSpPr>
          <a:xfrm rot="12510795" flipV="1">
            <a:off x="8110202" y="1524706"/>
            <a:ext cx="507961" cy="445128"/>
            <a:chOff x="6143625" y="409575"/>
            <a:chExt cx="1266825" cy="466725"/>
          </a:xfrm>
        </xdr:grpSpPr>
        <xdr:cxnSp macro="">
          <xdr:nvCxnSpPr>
            <xdr:cNvPr id="75" name="Conector recto de flecha 74">
              <a:extLst>
                <a:ext uri="{FF2B5EF4-FFF2-40B4-BE49-F238E27FC236}">
                  <a16:creationId xmlns:a16="http://schemas.microsoft.com/office/drawing/2014/main" id="{2A275850-1787-9571-B7FE-FCC690B7CEAD}"/>
                </a:ext>
              </a:extLst>
            </xdr:cNvPr>
            <xdr:cNvCxnSpPr/>
          </xdr:nvCxnSpPr>
          <xdr:spPr>
            <a:xfrm flipH="1" flipV="1">
              <a:off x="7391400" y="409575"/>
              <a:ext cx="19050" cy="457200"/>
            </a:xfrm>
            <a:prstGeom prst="straightConnector1">
              <a:avLst/>
            </a:prstGeom>
            <a:ln w="571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Conector recto 75">
              <a:extLst>
                <a:ext uri="{FF2B5EF4-FFF2-40B4-BE49-F238E27FC236}">
                  <a16:creationId xmlns:a16="http://schemas.microsoft.com/office/drawing/2014/main" id="{BD53D559-679F-DFBB-9AAD-2D3734A68067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line">
              <a:avLst/>
            </a:prstGeom>
            <a:ln w="7620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7" name="Rectángulo 76">
            <a:extLst>
              <a:ext uri="{FF2B5EF4-FFF2-40B4-BE49-F238E27FC236}">
                <a16:creationId xmlns:a16="http://schemas.microsoft.com/office/drawing/2014/main" id="{2B2D46B7-E70A-4988-A480-480A6B5F8E5C}"/>
              </a:ext>
            </a:extLst>
          </xdr:cNvPr>
          <xdr:cNvSpPr/>
        </xdr:nvSpPr>
        <xdr:spPr>
          <a:xfrm rot="21587123">
            <a:off x="7653932" y="2340970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EBL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78" name="Rectángulo 77">
            <a:extLst>
              <a:ext uri="{FF2B5EF4-FFF2-40B4-BE49-F238E27FC236}">
                <a16:creationId xmlns:a16="http://schemas.microsoft.com/office/drawing/2014/main" id="{48D9085E-42C9-47C5-A84A-ABDAB2EC8363}"/>
              </a:ext>
            </a:extLst>
          </xdr:cNvPr>
          <xdr:cNvSpPr/>
        </xdr:nvSpPr>
        <xdr:spPr>
          <a:xfrm>
            <a:off x="8284192" y="2067446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EBS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79" name="Rectángulo 78">
            <a:extLst>
              <a:ext uri="{FF2B5EF4-FFF2-40B4-BE49-F238E27FC236}">
                <a16:creationId xmlns:a16="http://schemas.microsoft.com/office/drawing/2014/main" id="{92B0E19F-3420-424D-AC3C-BA10557383D9}"/>
              </a:ext>
            </a:extLst>
          </xdr:cNvPr>
          <xdr:cNvSpPr/>
        </xdr:nvSpPr>
        <xdr:spPr>
          <a:xfrm rot="21587123">
            <a:off x="8474313" y="1690425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EBR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grpSp>
        <xdr:nvGrpSpPr>
          <xdr:cNvPr id="80" name="Grupo 79">
            <a:extLst>
              <a:ext uri="{FF2B5EF4-FFF2-40B4-BE49-F238E27FC236}">
                <a16:creationId xmlns:a16="http://schemas.microsoft.com/office/drawing/2014/main" id="{7CAC0DCA-600E-4D1C-A047-82601C320E71}"/>
              </a:ext>
            </a:extLst>
          </xdr:cNvPr>
          <xdr:cNvGrpSpPr/>
        </xdr:nvGrpSpPr>
        <xdr:grpSpPr>
          <a:xfrm rot="11100930">
            <a:off x="7513739" y="1306344"/>
            <a:ext cx="507961" cy="376874"/>
            <a:chOff x="6143625" y="409575"/>
            <a:chExt cx="1266825" cy="466725"/>
          </a:xfrm>
        </xdr:grpSpPr>
        <xdr:cxnSp macro="">
          <xdr:nvCxnSpPr>
            <xdr:cNvPr id="81" name="Conector recto de flecha 80">
              <a:extLst>
                <a:ext uri="{FF2B5EF4-FFF2-40B4-BE49-F238E27FC236}">
                  <a16:creationId xmlns:a16="http://schemas.microsoft.com/office/drawing/2014/main" id="{CE2E07DB-9A75-CE04-B3F2-0CA590895D16}"/>
                </a:ext>
              </a:extLst>
            </xdr:cNvPr>
            <xdr:cNvCxnSpPr/>
          </xdr:nvCxnSpPr>
          <xdr:spPr>
            <a:xfrm flipH="1" flipV="1">
              <a:off x="7391400" y="409575"/>
              <a:ext cx="19050" cy="457200"/>
            </a:xfrm>
            <a:prstGeom prst="straightConnector1">
              <a:avLst/>
            </a:prstGeom>
            <a:ln w="571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Conector recto 81">
              <a:extLst>
                <a:ext uri="{FF2B5EF4-FFF2-40B4-BE49-F238E27FC236}">
                  <a16:creationId xmlns:a16="http://schemas.microsoft.com/office/drawing/2014/main" id="{635EA216-9D36-D3C0-1F3B-A7B225910067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line">
              <a:avLst/>
            </a:prstGeom>
            <a:ln w="7620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3" name="Conector recto de flecha 82">
            <a:extLst>
              <a:ext uri="{FF2B5EF4-FFF2-40B4-BE49-F238E27FC236}">
                <a16:creationId xmlns:a16="http://schemas.microsoft.com/office/drawing/2014/main" id="{989FB4A3-824B-499D-8B23-CF87CD65876B}"/>
              </a:ext>
            </a:extLst>
          </xdr:cNvPr>
          <xdr:cNvCxnSpPr/>
        </xdr:nvCxnSpPr>
        <xdr:spPr>
          <a:xfrm flipH="1" flipV="1">
            <a:off x="7405870" y="1071362"/>
            <a:ext cx="573081" cy="8577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4" name="Grupo 83">
            <a:extLst>
              <a:ext uri="{FF2B5EF4-FFF2-40B4-BE49-F238E27FC236}">
                <a16:creationId xmlns:a16="http://schemas.microsoft.com/office/drawing/2014/main" id="{C3AC4EFB-0290-4812-9547-320E490A49EF}"/>
              </a:ext>
            </a:extLst>
          </xdr:cNvPr>
          <xdr:cNvGrpSpPr/>
        </xdr:nvGrpSpPr>
        <xdr:grpSpPr>
          <a:xfrm rot="10800000" flipV="1">
            <a:off x="7574393" y="477745"/>
            <a:ext cx="507961" cy="392426"/>
            <a:chOff x="6143625" y="409575"/>
            <a:chExt cx="1266825" cy="466725"/>
          </a:xfrm>
        </xdr:grpSpPr>
        <xdr:cxnSp macro="">
          <xdr:nvCxnSpPr>
            <xdr:cNvPr id="85" name="Conector recto de flecha 84">
              <a:extLst>
                <a:ext uri="{FF2B5EF4-FFF2-40B4-BE49-F238E27FC236}">
                  <a16:creationId xmlns:a16="http://schemas.microsoft.com/office/drawing/2014/main" id="{DA54A077-88B8-4A84-460D-4AD2CBF54D27}"/>
                </a:ext>
              </a:extLst>
            </xdr:cNvPr>
            <xdr:cNvCxnSpPr/>
          </xdr:nvCxnSpPr>
          <xdr:spPr>
            <a:xfrm flipH="1" flipV="1">
              <a:off x="7391400" y="409575"/>
              <a:ext cx="19050" cy="457200"/>
            </a:xfrm>
            <a:prstGeom prst="straightConnector1">
              <a:avLst/>
            </a:prstGeom>
            <a:ln w="571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Conector recto 85">
              <a:extLst>
                <a:ext uri="{FF2B5EF4-FFF2-40B4-BE49-F238E27FC236}">
                  <a16:creationId xmlns:a16="http://schemas.microsoft.com/office/drawing/2014/main" id="{E585B8C1-0AF8-FCB6-5311-0A7221552DC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line">
              <a:avLst/>
            </a:prstGeom>
            <a:ln w="7620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7" name="Rectángulo 86">
            <a:extLst>
              <a:ext uri="{FF2B5EF4-FFF2-40B4-BE49-F238E27FC236}">
                <a16:creationId xmlns:a16="http://schemas.microsoft.com/office/drawing/2014/main" id="{2ED57688-AE3C-48EC-81EC-4342E750C4D1}"/>
              </a:ext>
            </a:extLst>
          </xdr:cNvPr>
          <xdr:cNvSpPr/>
        </xdr:nvSpPr>
        <xdr:spPr>
          <a:xfrm>
            <a:off x="8009531" y="986241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NBL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88" name="Rectángulo 87">
            <a:extLst>
              <a:ext uri="{FF2B5EF4-FFF2-40B4-BE49-F238E27FC236}">
                <a16:creationId xmlns:a16="http://schemas.microsoft.com/office/drawing/2014/main" id="{EA473442-8B59-4EA1-9A4B-5E7A8ED323C2}"/>
              </a:ext>
            </a:extLst>
          </xdr:cNvPr>
          <xdr:cNvSpPr/>
        </xdr:nvSpPr>
        <xdr:spPr>
          <a:xfrm>
            <a:off x="7996831" y="363941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NBR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89" name="Rectángulo 88">
            <a:extLst>
              <a:ext uri="{FF2B5EF4-FFF2-40B4-BE49-F238E27FC236}">
                <a16:creationId xmlns:a16="http://schemas.microsoft.com/office/drawing/2014/main" id="{94614757-58FD-4BF0-9991-D9039FDA57F8}"/>
              </a:ext>
            </a:extLst>
          </xdr:cNvPr>
          <xdr:cNvSpPr/>
        </xdr:nvSpPr>
        <xdr:spPr>
          <a:xfrm>
            <a:off x="8542931" y="668741"/>
            <a:ext cx="1045968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s-ES" sz="3200" b="0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NBS</a:t>
            </a:r>
            <a:endParaRPr lang="es-ES" sz="54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zoomScale="67" zoomScaleNormal="80" workbookViewId="0">
      <selection activeCell="B25" sqref="B25:R74"/>
    </sheetView>
  </sheetViews>
  <sheetFormatPr baseColWidth="10" defaultColWidth="14.44140625" defaultRowHeight="15" customHeight="1" x14ac:dyDescent="0.3"/>
  <cols>
    <col min="1" max="1" width="10.6640625" customWidth="1"/>
    <col min="2" max="2" width="10.44140625" bestFit="1" customWidth="1"/>
    <col min="3" max="3" width="11.6640625" bestFit="1" customWidth="1"/>
    <col min="4" max="4" width="11.6640625" customWidth="1"/>
    <col min="5" max="5" width="16.5546875" customWidth="1"/>
    <col min="6" max="6" width="7.44140625" bestFit="1" customWidth="1"/>
    <col min="7" max="7" width="6.77734375" bestFit="1" customWidth="1"/>
    <col min="8" max="8" width="7.44140625" bestFit="1" customWidth="1"/>
    <col min="9" max="9" width="5.21875" bestFit="1" customWidth="1"/>
    <col min="10" max="10" width="7.44140625" bestFit="1" customWidth="1"/>
    <col min="11" max="11" width="10.44140625" bestFit="1" customWidth="1"/>
    <col min="12" max="14" width="8.77734375" bestFit="1" customWidth="1"/>
    <col min="15" max="15" width="13.33203125" customWidth="1"/>
    <col min="16" max="17" width="10.6640625" customWidth="1"/>
    <col min="18" max="18" width="15.33203125" hidden="1" customWidth="1"/>
    <col min="19" max="26" width="10.6640625" customWidth="1"/>
  </cols>
  <sheetData>
    <row r="1" spans="1:1" ht="14.25" customHeight="1" x14ac:dyDescent="0.3">
      <c r="A1" s="1"/>
    </row>
    <row r="2" spans="1:1" ht="14.25" customHeight="1" x14ac:dyDescent="0.3"/>
    <row r="3" spans="1:1" ht="14.25" customHeight="1" x14ac:dyDescent="0.3"/>
    <row r="4" spans="1:1" ht="14.25" customHeight="1" x14ac:dyDescent="0.3"/>
    <row r="5" spans="1:1" ht="14.25" customHeight="1" x14ac:dyDescent="0.3"/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spans="2:21" ht="14.25" customHeight="1" x14ac:dyDescent="0.3"/>
    <row r="18" spans="2:21" ht="14.25" customHeight="1" x14ac:dyDescent="0.3"/>
    <row r="19" spans="2:21" ht="14.25" customHeight="1" x14ac:dyDescent="0.3"/>
    <row r="20" spans="2:21" ht="14.25" customHeight="1" x14ac:dyDescent="0.3"/>
    <row r="21" spans="2:21" ht="14.25" customHeight="1" x14ac:dyDescent="0.3"/>
    <row r="22" spans="2:21" ht="14.25" customHeight="1" x14ac:dyDescent="0.3"/>
    <row r="23" spans="2:21" ht="14.25" customHeight="1" x14ac:dyDescent="0.3"/>
    <row r="24" spans="2:21" ht="14.25" customHeight="1" thickBot="1" x14ac:dyDescent="0.35"/>
    <row r="25" spans="2:21" ht="22.2" customHeight="1" thickBot="1" x14ac:dyDescent="0.45">
      <c r="B25" s="163" t="s">
        <v>0</v>
      </c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5"/>
      <c r="S25" s="73"/>
    </row>
    <row r="26" spans="2:21" ht="35.4" thickBot="1" x14ac:dyDescent="0.35">
      <c r="B26" s="161" t="s">
        <v>41</v>
      </c>
      <c r="C26" s="166" t="s">
        <v>1</v>
      </c>
      <c r="D26" s="167"/>
      <c r="E26" s="75" t="s">
        <v>2</v>
      </c>
      <c r="F26" s="76" t="s">
        <v>3</v>
      </c>
      <c r="G26" s="76" t="s">
        <v>4</v>
      </c>
      <c r="H26" s="76" t="s">
        <v>5</v>
      </c>
      <c r="I26" s="76" t="s">
        <v>6</v>
      </c>
      <c r="J26" s="76" t="s">
        <v>7</v>
      </c>
      <c r="K26" s="76" t="s">
        <v>8</v>
      </c>
      <c r="L26" s="76" t="s">
        <v>9</v>
      </c>
      <c r="M26" s="76" t="s">
        <v>10</v>
      </c>
      <c r="N26" s="76" t="s">
        <v>11</v>
      </c>
      <c r="O26" s="76" t="s">
        <v>12</v>
      </c>
      <c r="P26" s="76" t="s">
        <v>13</v>
      </c>
      <c r="Q26" s="77" t="s">
        <v>40</v>
      </c>
      <c r="R26" s="162" t="s">
        <v>15</v>
      </c>
    </row>
    <row r="27" spans="2:21" ht="17.399999999999999" x14ac:dyDescent="0.3">
      <c r="B27" s="118" t="s">
        <v>16</v>
      </c>
      <c r="C27" s="119">
        <v>0.70833333333333337</v>
      </c>
      <c r="D27" s="120">
        <v>0.71875</v>
      </c>
      <c r="E27" s="121">
        <v>12</v>
      </c>
      <c r="F27" s="121">
        <v>86</v>
      </c>
      <c r="G27" s="121">
        <f>17+3+1+1</f>
        <v>22</v>
      </c>
      <c r="H27" s="121">
        <v>2</v>
      </c>
      <c r="I27" s="122">
        <v>0</v>
      </c>
      <c r="J27" s="122">
        <v>0</v>
      </c>
      <c r="K27" s="122">
        <v>0</v>
      </c>
      <c r="L27" s="122">
        <v>0</v>
      </c>
      <c r="M27" s="122">
        <v>0</v>
      </c>
      <c r="N27" s="122">
        <v>0</v>
      </c>
      <c r="O27" s="122">
        <v>0</v>
      </c>
      <c r="P27" s="123">
        <f t="shared" ref="P27:P70" si="0">SUM(E27:O27)</f>
        <v>122</v>
      </c>
      <c r="Q27" s="113">
        <f>SUM(P27:P30)</f>
        <v>441</v>
      </c>
      <c r="R27" s="84">
        <v>4</v>
      </c>
      <c r="S27" s="72">
        <f>Q27+Q31+Q35</f>
        <v>553</v>
      </c>
      <c r="T27" s="49">
        <f>(S27)/$Q$71</f>
        <v>0.24458204334365324</v>
      </c>
      <c r="U27" s="61">
        <f>Q27/$S$27</f>
        <v>0.79746835443037978</v>
      </c>
    </row>
    <row r="28" spans="2:21" ht="17.399999999999999" x14ac:dyDescent="0.3">
      <c r="B28" s="124"/>
      <c r="C28" s="86">
        <v>0.71875</v>
      </c>
      <c r="D28" s="87">
        <v>0.72916666666666663</v>
      </c>
      <c r="E28" s="88">
        <f>5+1+2+1+1+5+1+1+4</f>
        <v>21</v>
      </c>
      <c r="F28" s="88">
        <f>3+8+4+1+4+2+5+8+5+5+2+2+3+2+1+2+4+4+4+1+6+3+1+5</f>
        <v>85</v>
      </c>
      <c r="G28" s="88">
        <f>1+1+1+1+3+2+1+2+4+1+2+2+1+1+4+2+3+1</f>
        <v>33</v>
      </c>
      <c r="H28" s="88">
        <v>1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125">
        <f t="shared" si="0"/>
        <v>140</v>
      </c>
      <c r="Q28" s="114"/>
      <c r="R28" s="91">
        <v>2</v>
      </c>
      <c r="S28" s="72"/>
      <c r="T28" s="49"/>
      <c r="U28" s="62"/>
    </row>
    <row r="29" spans="2:21" ht="17.399999999999999" x14ac:dyDescent="0.3">
      <c r="B29" s="124"/>
      <c r="C29" s="92">
        <v>0.72916666666666696</v>
      </c>
      <c r="D29" s="93">
        <v>0.73958333333333304</v>
      </c>
      <c r="E29" s="88">
        <v>7</v>
      </c>
      <c r="F29" s="88">
        <v>46</v>
      </c>
      <c r="G29" s="88">
        <v>25</v>
      </c>
      <c r="H29" s="88">
        <v>1</v>
      </c>
      <c r="I29" s="82">
        <v>0</v>
      </c>
      <c r="J29" s="82">
        <v>1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125">
        <f t="shared" si="0"/>
        <v>80</v>
      </c>
      <c r="Q29" s="114"/>
      <c r="R29" s="91">
        <v>7</v>
      </c>
      <c r="S29" s="72"/>
      <c r="T29" s="49"/>
      <c r="U29" s="62"/>
    </row>
    <row r="30" spans="2:21" ht="18" thickBot="1" x14ac:dyDescent="0.35">
      <c r="B30" s="126"/>
      <c r="C30" s="127">
        <v>0.73958333333333304</v>
      </c>
      <c r="D30" s="128">
        <v>0.75</v>
      </c>
      <c r="E30" s="129">
        <v>12</v>
      </c>
      <c r="F30" s="129">
        <v>57</v>
      </c>
      <c r="G30" s="129">
        <v>30</v>
      </c>
      <c r="H30" s="130">
        <v>0</v>
      </c>
      <c r="I30" s="130">
        <v>0</v>
      </c>
      <c r="J30" s="130">
        <v>0</v>
      </c>
      <c r="K30" s="130">
        <v>0</v>
      </c>
      <c r="L30" s="130">
        <v>0</v>
      </c>
      <c r="M30" s="130">
        <v>0</v>
      </c>
      <c r="N30" s="130">
        <v>0</v>
      </c>
      <c r="O30" s="130">
        <v>0</v>
      </c>
      <c r="P30" s="131">
        <f t="shared" si="0"/>
        <v>99</v>
      </c>
      <c r="Q30" s="115"/>
      <c r="R30" s="91">
        <v>8</v>
      </c>
      <c r="S30" s="72"/>
      <c r="T30" s="49"/>
      <c r="U30" s="62"/>
    </row>
    <row r="31" spans="2:21" ht="17.399999999999999" x14ac:dyDescent="0.3">
      <c r="B31" s="116" t="s">
        <v>17</v>
      </c>
      <c r="C31" s="117">
        <v>0.70833333333333337</v>
      </c>
      <c r="D31" s="93">
        <v>0.71875</v>
      </c>
      <c r="E31" s="81">
        <f>1+1+1</f>
        <v>3</v>
      </c>
      <c r="F31" s="81">
        <f>3+1+2+1+2+1+2+1</f>
        <v>13</v>
      </c>
      <c r="G31" s="81">
        <f>1+1+1+1+1+2</f>
        <v>7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3">
        <f t="shared" si="0"/>
        <v>23</v>
      </c>
      <c r="Q31" s="98">
        <f>SUM(P31:P34)</f>
        <v>68</v>
      </c>
      <c r="R31" s="91">
        <v>0</v>
      </c>
      <c r="S31" s="72"/>
      <c r="T31" s="49"/>
      <c r="U31" s="61">
        <f t="shared" ref="U31" si="1">Q31/$S$27</f>
        <v>0.12296564195298372</v>
      </c>
    </row>
    <row r="32" spans="2:21" ht="17.399999999999999" x14ac:dyDescent="0.3">
      <c r="B32" s="85"/>
      <c r="C32" s="86">
        <v>0.71875</v>
      </c>
      <c r="D32" s="87">
        <v>0.72916666666666663</v>
      </c>
      <c r="E32" s="88">
        <f>1+1+1+1+1</f>
        <v>5</v>
      </c>
      <c r="F32" s="88">
        <f>3+1+1+1+2+1+1+2+1+1</f>
        <v>14</v>
      </c>
      <c r="G32" s="88">
        <f>1+1+2+2+2+1+2+1+2+1+1</f>
        <v>16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9">
        <f t="shared" si="0"/>
        <v>35</v>
      </c>
      <c r="Q32" s="90"/>
      <c r="R32" s="91">
        <v>0</v>
      </c>
      <c r="S32" s="72"/>
      <c r="T32" s="49"/>
      <c r="U32" s="62"/>
    </row>
    <row r="33" spans="2:21" ht="17.399999999999999" x14ac:dyDescent="0.3">
      <c r="B33" s="85"/>
      <c r="C33" s="92">
        <v>0.72916666666666696</v>
      </c>
      <c r="D33" s="93">
        <v>0.73958333333333304</v>
      </c>
      <c r="E33" s="88">
        <v>2</v>
      </c>
      <c r="F33" s="88">
        <v>2</v>
      </c>
      <c r="G33" s="88">
        <v>2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9">
        <f t="shared" si="0"/>
        <v>6</v>
      </c>
      <c r="Q33" s="90"/>
      <c r="R33" s="91">
        <v>2</v>
      </c>
      <c r="S33" s="72"/>
      <c r="T33" s="49"/>
      <c r="U33" s="62"/>
    </row>
    <row r="34" spans="2:21" ht="18" thickBot="1" x14ac:dyDescent="0.35">
      <c r="B34" s="85"/>
      <c r="C34" s="133">
        <v>0.73958333333333304</v>
      </c>
      <c r="D34" s="134">
        <v>0.75</v>
      </c>
      <c r="E34" s="135">
        <v>3</v>
      </c>
      <c r="F34" s="135">
        <v>1</v>
      </c>
      <c r="G34" s="135">
        <v>0</v>
      </c>
      <c r="H34" s="136">
        <v>0</v>
      </c>
      <c r="I34" s="136">
        <v>0</v>
      </c>
      <c r="J34" s="136">
        <v>0</v>
      </c>
      <c r="K34" s="136">
        <v>0</v>
      </c>
      <c r="L34" s="136">
        <v>0</v>
      </c>
      <c r="M34" s="136">
        <v>0</v>
      </c>
      <c r="N34" s="136">
        <v>0</v>
      </c>
      <c r="O34" s="136">
        <v>0</v>
      </c>
      <c r="P34" s="137">
        <f t="shared" si="0"/>
        <v>4</v>
      </c>
      <c r="Q34" s="97"/>
      <c r="R34" s="91">
        <v>3</v>
      </c>
      <c r="S34" s="72"/>
      <c r="T34" s="49"/>
      <c r="U34" s="62"/>
    </row>
    <row r="35" spans="2:21" ht="17.399999999999999" x14ac:dyDescent="0.3">
      <c r="B35" s="118" t="s">
        <v>18</v>
      </c>
      <c r="C35" s="119">
        <v>0.70833333333333337</v>
      </c>
      <c r="D35" s="120">
        <v>0.71875</v>
      </c>
      <c r="E35" s="121">
        <v>1</v>
      </c>
      <c r="F35" s="121">
        <v>9</v>
      </c>
      <c r="G35" s="121">
        <f>1+1+1</f>
        <v>3</v>
      </c>
      <c r="H35" s="122">
        <v>0</v>
      </c>
      <c r="I35" s="122">
        <v>0</v>
      </c>
      <c r="J35" s="122">
        <v>0</v>
      </c>
      <c r="K35" s="122">
        <v>0</v>
      </c>
      <c r="L35" s="122">
        <v>0</v>
      </c>
      <c r="M35" s="122">
        <v>0</v>
      </c>
      <c r="N35" s="122">
        <v>0</v>
      </c>
      <c r="O35" s="122">
        <v>0</v>
      </c>
      <c r="P35" s="123">
        <f t="shared" si="0"/>
        <v>13</v>
      </c>
      <c r="Q35" s="132">
        <f>SUM(P35:P38)</f>
        <v>44</v>
      </c>
      <c r="R35" s="91">
        <v>4</v>
      </c>
      <c r="S35" s="72"/>
      <c r="T35" s="49"/>
      <c r="U35" s="61">
        <f t="shared" ref="U35" si="2">Q35/$S$27</f>
        <v>7.956600361663653E-2</v>
      </c>
    </row>
    <row r="36" spans="2:21" ht="17.399999999999999" x14ac:dyDescent="0.3">
      <c r="B36" s="124"/>
      <c r="C36" s="86">
        <v>0.71875</v>
      </c>
      <c r="D36" s="87">
        <v>0.72916666666666663</v>
      </c>
      <c r="E36" s="88">
        <v>0</v>
      </c>
      <c r="F36" s="88">
        <f>1+1+1+2</f>
        <v>5</v>
      </c>
      <c r="G36" s="88">
        <f>2+1+2+1+1</f>
        <v>7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125">
        <f t="shared" si="0"/>
        <v>12</v>
      </c>
      <c r="Q36" s="114"/>
      <c r="R36" s="91">
        <v>8</v>
      </c>
      <c r="S36" s="72"/>
      <c r="T36" s="49"/>
      <c r="U36" s="62"/>
    </row>
    <row r="37" spans="2:21" ht="17.399999999999999" x14ac:dyDescent="0.3">
      <c r="B37" s="124"/>
      <c r="C37" s="92">
        <v>0.72916666666666696</v>
      </c>
      <c r="D37" s="93">
        <v>0.73958333333333304</v>
      </c>
      <c r="E37" s="88">
        <v>2</v>
      </c>
      <c r="F37" s="88">
        <v>7</v>
      </c>
      <c r="G37" s="88">
        <v>3</v>
      </c>
      <c r="H37" s="82">
        <v>0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125">
        <f t="shared" si="0"/>
        <v>12</v>
      </c>
      <c r="Q37" s="114"/>
      <c r="R37" s="91">
        <v>5</v>
      </c>
      <c r="S37" s="72"/>
      <c r="T37" s="49"/>
      <c r="U37" s="62"/>
    </row>
    <row r="38" spans="2:21" ht="18" thickBot="1" x14ac:dyDescent="0.35">
      <c r="B38" s="126"/>
      <c r="C38" s="127">
        <v>0.73958333333333304</v>
      </c>
      <c r="D38" s="128">
        <v>0.75</v>
      </c>
      <c r="E38" s="129">
        <v>2</v>
      </c>
      <c r="F38" s="129">
        <v>4</v>
      </c>
      <c r="G38" s="129">
        <v>1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8">
        <f t="shared" si="0"/>
        <v>7</v>
      </c>
      <c r="Q38" s="115"/>
      <c r="R38" s="91">
        <v>10</v>
      </c>
      <c r="S38" s="72"/>
      <c r="T38" s="49"/>
      <c r="U38" s="62"/>
    </row>
    <row r="39" spans="2:21" ht="17.399999999999999" x14ac:dyDescent="0.3">
      <c r="B39" s="116" t="s">
        <v>19</v>
      </c>
      <c r="C39" s="117">
        <v>0.70833333333333337</v>
      </c>
      <c r="D39" s="93">
        <v>0.71875</v>
      </c>
      <c r="E39" s="81">
        <f>1+2+2+3+1+1+1+1</f>
        <v>12</v>
      </c>
      <c r="F39" s="81">
        <f>3+2+6+1+6+1+2+2+2+2+5+2+2+3+4+2+2+2+3+3+8+4+4+5+2+6+2+1+6</f>
        <v>93</v>
      </c>
      <c r="G39" s="81">
        <f>3+3+1+1+1+1+3+1+1+1+1+2+3+1+2+2+2+3+1+1+1+1+1</f>
        <v>37</v>
      </c>
      <c r="H39" s="82">
        <v>0</v>
      </c>
      <c r="I39" s="82">
        <v>0</v>
      </c>
      <c r="J39" s="81">
        <v>1</v>
      </c>
      <c r="K39" s="82">
        <v>0</v>
      </c>
      <c r="L39" s="82">
        <v>0</v>
      </c>
      <c r="M39" s="82">
        <v>0</v>
      </c>
      <c r="N39" s="82">
        <v>0</v>
      </c>
      <c r="O39" s="82">
        <v>0</v>
      </c>
      <c r="P39" s="81">
        <f t="shared" si="0"/>
        <v>143</v>
      </c>
      <c r="Q39" s="98">
        <f>SUM(P39:P42)</f>
        <v>346</v>
      </c>
      <c r="R39" s="91">
        <v>6</v>
      </c>
      <c r="S39" s="72">
        <f>Q39+Q43+Q47</f>
        <v>451</v>
      </c>
      <c r="T39" s="49">
        <f t="shared" ref="T39" si="3">(S39)/$Q$71</f>
        <v>0.19946926138876603</v>
      </c>
      <c r="U39" s="61">
        <f>Q39/$S$39</f>
        <v>0.76718403547671843</v>
      </c>
    </row>
    <row r="40" spans="2:21" ht="17.399999999999999" x14ac:dyDescent="0.3">
      <c r="B40" s="85"/>
      <c r="C40" s="86">
        <v>0.71875</v>
      </c>
      <c r="D40" s="87">
        <v>0.72916666666666663</v>
      </c>
      <c r="E40" s="88">
        <f>2+2+2+1+6+2+1+1+2+1</f>
        <v>20</v>
      </c>
      <c r="F40" s="88">
        <f>3+8+7+2+1+4+2+4+1+2+7+1+3</f>
        <v>45</v>
      </c>
      <c r="G40" s="88">
        <f>1+1+3+1+1+1+1+1+2+4</f>
        <v>16</v>
      </c>
      <c r="H40" s="82">
        <v>0</v>
      </c>
      <c r="I40" s="82">
        <v>0</v>
      </c>
      <c r="J40" s="82">
        <v>0</v>
      </c>
      <c r="K40" s="82">
        <v>0</v>
      </c>
      <c r="L40" s="82">
        <v>0</v>
      </c>
      <c r="M40" s="82">
        <v>0</v>
      </c>
      <c r="N40" s="82">
        <v>0</v>
      </c>
      <c r="O40" s="82">
        <v>0</v>
      </c>
      <c r="P40" s="88">
        <f t="shared" si="0"/>
        <v>81</v>
      </c>
      <c r="Q40" s="90"/>
      <c r="R40" s="91">
        <v>7</v>
      </c>
      <c r="S40" s="72"/>
      <c r="T40" s="49"/>
      <c r="U40" s="62"/>
    </row>
    <row r="41" spans="2:21" ht="17.399999999999999" x14ac:dyDescent="0.3">
      <c r="B41" s="85"/>
      <c r="C41" s="92">
        <v>0.72916666666666696</v>
      </c>
      <c r="D41" s="93">
        <v>0.73958333333333304</v>
      </c>
      <c r="E41" s="88">
        <v>13</v>
      </c>
      <c r="F41" s="88">
        <v>70</v>
      </c>
      <c r="G41" s="88">
        <v>17</v>
      </c>
      <c r="H41" s="82">
        <v>0</v>
      </c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2">
        <v>0</v>
      </c>
      <c r="P41" s="88">
        <f t="shared" si="0"/>
        <v>100</v>
      </c>
      <c r="Q41" s="90"/>
      <c r="R41" s="91">
        <v>3</v>
      </c>
      <c r="S41" s="72"/>
      <c r="T41" s="49"/>
      <c r="U41" s="62"/>
    </row>
    <row r="42" spans="2:21" ht="18" thickBot="1" x14ac:dyDescent="0.35">
      <c r="B42" s="85"/>
      <c r="C42" s="133">
        <v>0.73958333333333304</v>
      </c>
      <c r="D42" s="134">
        <v>0.75</v>
      </c>
      <c r="E42" s="135">
        <v>22</v>
      </c>
      <c r="F42" s="135">
        <v>0</v>
      </c>
      <c r="G42" s="135">
        <v>0</v>
      </c>
      <c r="H42" s="136">
        <v>0</v>
      </c>
      <c r="I42" s="136">
        <v>0</v>
      </c>
      <c r="J42" s="136">
        <v>0</v>
      </c>
      <c r="K42" s="136">
        <v>0</v>
      </c>
      <c r="L42" s="136">
        <v>0</v>
      </c>
      <c r="M42" s="136">
        <v>0</v>
      </c>
      <c r="N42" s="136">
        <v>0</v>
      </c>
      <c r="O42" s="136">
        <v>0</v>
      </c>
      <c r="P42" s="135">
        <f t="shared" si="0"/>
        <v>22</v>
      </c>
      <c r="Q42" s="97"/>
      <c r="R42" s="91">
        <v>5</v>
      </c>
      <c r="S42" s="72"/>
      <c r="T42" s="49"/>
      <c r="U42" s="62"/>
    </row>
    <row r="43" spans="2:21" ht="17.399999999999999" x14ac:dyDescent="0.3">
      <c r="B43" s="118" t="s">
        <v>20</v>
      </c>
      <c r="C43" s="119">
        <v>0.70833333333333337</v>
      </c>
      <c r="D43" s="120">
        <v>0.71875</v>
      </c>
      <c r="E43" s="121">
        <v>1</v>
      </c>
      <c r="F43" s="121">
        <f>3+3+1+2+1+2+1+1+3+1</f>
        <v>18</v>
      </c>
      <c r="G43" s="121">
        <v>1</v>
      </c>
      <c r="H43" s="122">
        <v>0</v>
      </c>
      <c r="I43" s="122">
        <v>0</v>
      </c>
      <c r="J43" s="122">
        <v>0</v>
      </c>
      <c r="K43" s="122">
        <v>0</v>
      </c>
      <c r="L43" s="122">
        <v>0</v>
      </c>
      <c r="M43" s="122">
        <v>0</v>
      </c>
      <c r="N43" s="122">
        <v>0</v>
      </c>
      <c r="O43" s="122">
        <v>0</v>
      </c>
      <c r="P43" s="139">
        <f t="shared" si="0"/>
        <v>20</v>
      </c>
      <c r="Q43" s="132">
        <f>SUM(P43:P46)</f>
        <v>97</v>
      </c>
      <c r="R43" s="91">
        <v>7</v>
      </c>
      <c r="S43" s="72"/>
      <c r="T43" s="49"/>
      <c r="U43" s="61">
        <f t="shared" ref="U43" si="4">Q43/$S$39</f>
        <v>0.21507760532150777</v>
      </c>
    </row>
    <row r="44" spans="2:21" ht="17.399999999999999" x14ac:dyDescent="0.3">
      <c r="B44" s="124"/>
      <c r="C44" s="86">
        <v>0.71875</v>
      </c>
      <c r="D44" s="87">
        <v>0.72916666666666663</v>
      </c>
      <c r="E44" s="88">
        <f>1+1</f>
        <v>2</v>
      </c>
      <c r="F44" s="88">
        <v>25</v>
      </c>
      <c r="G44" s="88">
        <f>2+1+2+2+1+1</f>
        <v>9</v>
      </c>
      <c r="H44" s="88">
        <v>1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140">
        <f t="shared" si="0"/>
        <v>37</v>
      </c>
      <c r="Q44" s="114"/>
      <c r="R44" s="91">
        <v>0</v>
      </c>
      <c r="S44" s="72"/>
      <c r="T44" s="49"/>
      <c r="U44" s="62"/>
    </row>
    <row r="45" spans="2:21" ht="17.399999999999999" x14ac:dyDescent="0.3">
      <c r="B45" s="124"/>
      <c r="C45" s="92">
        <v>0.72916666666666696</v>
      </c>
      <c r="D45" s="93">
        <v>0.73958333333333304</v>
      </c>
      <c r="E45" s="88">
        <v>1</v>
      </c>
      <c r="F45" s="88">
        <v>13</v>
      </c>
      <c r="G45" s="88">
        <v>2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140">
        <f t="shared" si="0"/>
        <v>16</v>
      </c>
      <c r="Q45" s="114"/>
      <c r="R45" s="91">
        <v>2</v>
      </c>
      <c r="S45" s="72"/>
      <c r="T45" s="49"/>
      <c r="U45" s="62"/>
    </row>
    <row r="46" spans="2:21" ht="18" thickBot="1" x14ac:dyDescent="0.35">
      <c r="B46" s="126"/>
      <c r="C46" s="127">
        <v>0.73958333333333304</v>
      </c>
      <c r="D46" s="128">
        <v>0.75</v>
      </c>
      <c r="E46" s="129">
        <v>3</v>
      </c>
      <c r="F46" s="129">
        <v>16</v>
      </c>
      <c r="G46" s="129">
        <v>5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138">
        <f t="shared" si="0"/>
        <v>24</v>
      </c>
      <c r="Q46" s="115"/>
      <c r="R46" s="91">
        <v>4</v>
      </c>
      <c r="S46" s="72"/>
      <c r="T46" s="49"/>
      <c r="U46" s="62"/>
    </row>
    <row r="47" spans="2:21" ht="17.399999999999999" x14ac:dyDescent="0.3">
      <c r="B47" s="116" t="s">
        <v>21</v>
      </c>
      <c r="C47" s="117">
        <v>0.70833333333333337</v>
      </c>
      <c r="D47" s="93">
        <v>0.71875</v>
      </c>
      <c r="E47" s="81">
        <v>1</v>
      </c>
      <c r="F47" s="81">
        <v>1</v>
      </c>
      <c r="G47" s="81">
        <v>1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1">
        <f t="shared" si="0"/>
        <v>3</v>
      </c>
      <c r="Q47" s="98">
        <f>SUM(P47:P50)</f>
        <v>8</v>
      </c>
      <c r="R47" s="91">
        <v>9</v>
      </c>
      <c r="S47" s="72"/>
      <c r="T47" s="49"/>
      <c r="U47" s="61">
        <f t="shared" ref="U47" si="5">Q47/$S$39</f>
        <v>1.7738359201773836E-2</v>
      </c>
    </row>
    <row r="48" spans="2:21" ht="17.399999999999999" x14ac:dyDescent="0.3">
      <c r="B48" s="85"/>
      <c r="C48" s="86">
        <v>0.71875</v>
      </c>
      <c r="D48" s="87">
        <v>0.72916666666666663</v>
      </c>
      <c r="E48" s="88">
        <v>0</v>
      </c>
      <c r="F48" s="88">
        <v>0</v>
      </c>
      <c r="G48" s="88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2">
        <v>0</v>
      </c>
      <c r="P48" s="88">
        <f t="shared" si="0"/>
        <v>0</v>
      </c>
      <c r="Q48" s="90"/>
      <c r="R48" s="91">
        <v>9</v>
      </c>
      <c r="S48" s="72"/>
      <c r="T48" s="49"/>
      <c r="U48" s="62"/>
    </row>
    <row r="49" spans="2:21" ht="17.399999999999999" x14ac:dyDescent="0.3">
      <c r="B49" s="85"/>
      <c r="C49" s="92">
        <v>0.72916666666666696</v>
      </c>
      <c r="D49" s="93">
        <v>0.73958333333333304</v>
      </c>
      <c r="E49" s="88">
        <v>0</v>
      </c>
      <c r="F49" s="88">
        <v>0</v>
      </c>
      <c r="G49" s="88">
        <v>0</v>
      </c>
      <c r="H49" s="82">
        <v>0</v>
      </c>
      <c r="I49" s="82">
        <v>0</v>
      </c>
      <c r="J49" s="82">
        <v>0</v>
      </c>
      <c r="K49" s="82">
        <v>0</v>
      </c>
      <c r="L49" s="82">
        <v>0</v>
      </c>
      <c r="M49" s="82">
        <v>0</v>
      </c>
      <c r="N49" s="82">
        <v>0</v>
      </c>
      <c r="O49" s="82">
        <v>0</v>
      </c>
      <c r="P49" s="88">
        <f t="shared" si="0"/>
        <v>0</v>
      </c>
      <c r="Q49" s="90"/>
      <c r="R49" s="99">
        <v>5</v>
      </c>
      <c r="S49" s="72"/>
      <c r="T49" s="49"/>
      <c r="U49" s="62"/>
    </row>
    <row r="50" spans="2:21" ht="18" thickBot="1" x14ac:dyDescent="0.35">
      <c r="B50" s="85"/>
      <c r="C50" s="133">
        <v>0.73958333333333304</v>
      </c>
      <c r="D50" s="134">
        <v>0.75</v>
      </c>
      <c r="E50" s="135">
        <v>2</v>
      </c>
      <c r="F50" s="135">
        <v>2</v>
      </c>
      <c r="G50" s="135">
        <v>1</v>
      </c>
      <c r="H50" s="136">
        <v>0</v>
      </c>
      <c r="I50" s="136">
        <v>0</v>
      </c>
      <c r="J50" s="136">
        <v>0</v>
      </c>
      <c r="K50" s="136">
        <v>0</v>
      </c>
      <c r="L50" s="136">
        <v>0</v>
      </c>
      <c r="M50" s="136">
        <v>0</v>
      </c>
      <c r="N50" s="136">
        <v>0</v>
      </c>
      <c r="O50" s="136">
        <v>0</v>
      </c>
      <c r="P50" s="135">
        <f t="shared" si="0"/>
        <v>5</v>
      </c>
      <c r="Q50" s="97"/>
      <c r="R50" s="99">
        <v>6</v>
      </c>
      <c r="S50" s="72"/>
      <c r="T50" s="49"/>
      <c r="U50" s="62"/>
    </row>
    <row r="51" spans="2:21" ht="17.399999999999999" x14ac:dyDescent="0.3">
      <c r="B51" s="118" t="s">
        <v>22</v>
      </c>
      <c r="C51" s="119">
        <v>0.70833333333333337</v>
      </c>
      <c r="D51" s="120">
        <v>0.71875</v>
      </c>
      <c r="E51" s="121">
        <f>1+1+1+1+1+1+1+1+1+1+2+1</f>
        <v>13</v>
      </c>
      <c r="F51" s="121">
        <f>5+6+5+4+1+1+1+1+3+3+2+1+2+3+3+1+1+1+3+2+5+1+1+2+1+2+1+3+4+2+3+2+4+2+1+2</f>
        <v>85</v>
      </c>
      <c r="G51" s="121">
        <f>1+1+1+3+1+1+1+1+3+1+1+2+1+3+2+1+3+1+2+1+2</f>
        <v>33</v>
      </c>
      <c r="H51" s="121">
        <v>1</v>
      </c>
      <c r="I51" s="122">
        <v>0</v>
      </c>
      <c r="J51" s="122">
        <v>0</v>
      </c>
      <c r="K51" s="122">
        <v>0</v>
      </c>
      <c r="L51" s="122">
        <v>0</v>
      </c>
      <c r="M51" s="122">
        <v>0</v>
      </c>
      <c r="N51" s="122">
        <v>0</v>
      </c>
      <c r="O51" s="122">
        <v>0</v>
      </c>
      <c r="P51" s="139">
        <f t="shared" si="0"/>
        <v>132</v>
      </c>
      <c r="Q51" s="132">
        <f>SUM(P51:P54)</f>
        <v>414</v>
      </c>
      <c r="R51" s="99">
        <v>5</v>
      </c>
      <c r="S51" s="72">
        <f>Q51+Q55+Q59</f>
        <v>748</v>
      </c>
      <c r="T51" s="49">
        <f t="shared" ref="T51" si="6">(S51)/$Q$71</f>
        <v>0.33082706766917291</v>
      </c>
      <c r="U51" s="61">
        <f>Q51/$S$51</f>
        <v>0.553475935828877</v>
      </c>
    </row>
    <row r="52" spans="2:21" ht="17.399999999999999" x14ac:dyDescent="0.3">
      <c r="B52" s="124"/>
      <c r="C52" s="86">
        <v>0.71875</v>
      </c>
      <c r="D52" s="87">
        <v>0.72916666666666663</v>
      </c>
      <c r="E52" s="88">
        <f>2+1+1+1+1+2+2+1+5+1+1</f>
        <v>18</v>
      </c>
      <c r="F52" s="88">
        <f>2+2+1+3+3+4+1+4+1+1+1+2+1+3+2+6+2+3+2+2+1+4+1+2+1+2+1+1+2+2+2+2+1+2+3</f>
        <v>73</v>
      </c>
      <c r="G52" s="88">
        <f>2+2+2+1+2+4+1+3+2+1+3+2+2+5+3+1+3+1+1+1+1+1</f>
        <v>44</v>
      </c>
      <c r="H52" s="88">
        <v>1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140">
        <f t="shared" si="0"/>
        <v>136</v>
      </c>
      <c r="Q52" s="114"/>
      <c r="R52" s="99">
        <v>3</v>
      </c>
      <c r="S52" s="72"/>
      <c r="T52" s="49"/>
      <c r="U52" s="62"/>
    </row>
    <row r="53" spans="2:21" ht="17.399999999999999" x14ac:dyDescent="0.3">
      <c r="B53" s="124"/>
      <c r="C53" s="92">
        <v>0.72916666666666696</v>
      </c>
      <c r="D53" s="93">
        <v>0.73958333333333304</v>
      </c>
      <c r="E53" s="88">
        <v>11</v>
      </c>
      <c r="F53" s="88">
        <v>39</v>
      </c>
      <c r="G53" s="88">
        <v>15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140">
        <f t="shared" si="0"/>
        <v>65</v>
      </c>
      <c r="Q53" s="114"/>
      <c r="R53" s="99">
        <v>10</v>
      </c>
      <c r="S53" s="72"/>
      <c r="T53" s="49"/>
      <c r="U53" s="62"/>
    </row>
    <row r="54" spans="2:21" ht="18" thickBot="1" x14ac:dyDescent="0.35">
      <c r="B54" s="126"/>
      <c r="C54" s="127">
        <v>0.73958333333333304</v>
      </c>
      <c r="D54" s="128">
        <v>0.75</v>
      </c>
      <c r="E54" s="129">
        <v>12</v>
      </c>
      <c r="F54" s="129">
        <v>44</v>
      </c>
      <c r="G54" s="129">
        <v>25</v>
      </c>
      <c r="H54" s="130">
        <v>0</v>
      </c>
      <c r="I54" s="130">
        <v>0</v>
      </c>
      <c r="J54" s="130">
        <v>0</v>
      </c>
      <c r="K54" s="130">
        <v>0</v>
      </c>
      <c r="L54" s="130">
        <v>0</v>
      </c>
      <c r="M54" s="130">
        <v>0</v>
      </c>
      <c r="N54" s="130">
        <v>0</v>
      </c>
      <c r="O54" s="130">
        <v>0</v>
      </c>
      <c r="P54" s="138">
        <f t="shared" si="0"/>
        <v>81</v>
      </c>
      <c r="Q54" s="115"/>
      <c r="R54" s="99">
        <v>4</v>
      </c>
      <c r="S54" s="72"/>
      <c r="T54" s="49"/>
      <c r="U54" s="62"/>
    </row>
    <row r="55" spans="2:21" ht="17.399999999999999" x14ac:dyDescent="0.3">
      <c r="B55" s="116" t="s">
        <v>23</v>
      </c>
      <c r="C55" s="117">
        <v>0.70833333333333337</v>
      </c>
      <c r="D55" s="93">
        <v>0.71875</v>
      </c>
      <c r="E55" s="81">
        <f>2+1+2+1+1+1</f>
        <v>8</v>
      </c>
      <c r="F55" s="81">
        <f>2+2+2+1+1+1+3+2+2+1+1+1+3+1+1+2+1+2+3+2+2+3+1+1+2+1</f>
        <v>44</v>
      </c>
      <c r="G55" s="81">
        <f>1+1+1+1+1+1+1+2+1+1+2+1+1+1</f>
        <v>16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1">
        <f t="shared" si="0"/>
        <v>68</v>
      </c>
      <c r="Q55" s="98">
        <f>SUM(P55:P58)</f>
        <v>200</v>
      </c>
      <c r="R55" s="99">
        <v>11</v>
      </c>
      <c r="S55" s="72"/>
      <c r="T55" s="49"/>
      <c r="U55" s="61">
        <f t="shared" ref="U55" si="7">Q55/$S$51</f>
        <v>0.26737967914438504</v>
      </c>
    </row>
    <row r="56" spans="2:21" ht="17.399999999999999" x14ac:dyDescent="0.3">
      <c r="B56" s="85"/>
      <c r="C56" s="86">
        <v>0.71875</v>
      </c>
      <c r="D56" s="87">
        <v>0.72916666666666663</v>
      </c>
      <c r="E56" s="88">
        <f>3+1+1+1+1+1+1</f>
        <v>9</v>
      </c>
      <c r="F56" s="88">
        <f>1+1+3+1+1+1+1+1+2+2+2+1+3+2+1+2+2+1+1+3+1+2+2</f>
        <v>37</v>
      </c>
      <c r="G56" s="88">
        <f>1+1+1+1+1+1+1+1+1+1+2</f>
        <v>12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8">
        <f t="shared" si="0"/>
        <v>58</v>
      </c>
      <c r="Q56" s="90"/>
      <c r="R56" s="99">
        <v>13</v>
      </c>
      <c r="S56" s="72"/>
      <c r="T56" s="49"/>
      <c r="U56" s="62"/>
    </row>
    <row r="57" spans="2:21" ht="17.399999999999999" x14ac:dyDescent="0.3">
      <c r="B57" s="85"/>
      <c r="C57" s="92">
        <v>0.72916666666666696</v>
      </c>
      <c r="D57" s="93">
        <v>0.73958333333333304</v>
      </c>
      <c r="E57" s="88">
        <v>3</v>
      </c>
      <c r="F57" s="88">
        <v>18</v>
      </c>
      <c r="G57" s="88">
        <v>13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8">
        <f t="shared" si="0"/>
        <v>34</v>
      </c>
      <c r="Q57" s="90"/>
      <c r="R57" s="99">
        <v>6</v>
      </c>
      <c r="S57" s="72"/>
      <c r="T57" s="49"/>
      <c r="U57" s="62"/>
    </row>
    <row r="58" spans="2:21" ht="18" thickBot="1" x14ac:dyDescent="0.35">
      <c r="B58" s="94"/>
      <c r="C58" s="95">
        <v>0.73958333333333304</v>
      </c>
      <c r="D58" s="134">
        <v>0.75</v>
      </c>
      <c r="E58" s="135">
        <v>6</v>
      </c>
      <c r="F58" s="135">
        <v>23</v>
      </c>
      <c r="G58" s="135">
        <v>11</v>
      </c>
      <c r="H58" s="136">
        <v>0</v>
      </c>
      <c r="I58" s="136">
        <v>0</v>
      </c>
      <c r="J58" s="136">
        <v>0</v>
      </c>
      <c r="K58" s="136">
        <v>0</v>
      </c>
      <c r="L58" s="136">
        <v>0</v>
      </c>
      <c r="M58" s="136">
        <v>0</v>
      </c>
      <c r="N58" s="136">
        <v>0</v>
      </c>
      <c r="O58" s="136">
        <v>0</v>
      </c>
      <c r="P58" s="135">
        <f t="shared" si="0"/>
        <v>40</v>
      </c>
      <c r="Q58" s="97"/>
      <c r="R58" s="99">
        <v>8</v>
      </c>
      <c r="S58" s="72"/>
      <c r="T58" s="49"/>
      <c r="U58" s="62"/>
    </row>
    <row r="59" spans="2:21" ht="17.399999999999999" x14ac:dyDescent="0.3">
      <c r="B59" s="78" t="s">
        <v>24</v>
      </c>
      <c r="C59" s="141">
        <v>0.70833333333333337</v>
      </c>
      <c r="D59" s="145">
        <v>0.71875</v>
      </c>
      <c r="E59" s="121">
        <f>2+1+1</f>
        <v>4</v>
      </c>
      <c r="F59" s="121">
        <f>1+1+1+1+1+1+1+2+2+1+2+1+1+1+1+1+1+2+1+1+1</f>
        <v>25</v>
      </c>
      <c r="G59" s="121">
        <f>1+1+1+1+1+1+1</f>
        <v>7</v>
      </c>
      <c r="H59" s="122">
        <v>0</v>
      </c>
      <c r="I59" s="122">
        <v>0</v>
      </c>
      <c r="J59" s="122">
        <v>0</v>
      </c>
      <c r="K59" s="122">
        <v>0</v>
      </c>
      <c r="L59" s="122">
        <v>0</v>
      </c>
      <c r="M59" s="122">
        <v>0</v>
      </c>
      <c r="N59" s="122">
        <v>0</v>
      </c>
      <c r="O59" s="122">
        <v>0</v>
      </c>
      <c r="P59" s="139">
        <f t="shared" si="0"/>
        <v>36</v>
      </c>
      <c r="Q59" s="132">
        <f>SUM(P59:P62)</f>
        <v>134</v>
      </c>
      <c r="R59" s="99">
        <v>9</v>
      </c>
      <c r="S59" s="72"/>
      <c r="T59" s="49"/>
      <c r="U59" s="61">
        <f t="shared" ref="U59" si="8">Q59/$S$51</f>
        <v>0.17914438502673796</v>
      </c>
    </row>
    <row r="60" spans="2:21" ht="17.399999999999999" x14ac:dyDescent="0.3">
      <c r="B60" s="85"/>
      <c r="C60" s="142">
        <v>0.71875</v>
      </c>
      <c r="D60" s="146">
        <v>0.72916666666666663</v>
      </c>
      <c r="E60" s="88">
        <f>1+1+1+1</f>
        <v>4</v>
      </c>
      <c r="F60" s="88">
        <f>2+1+2+1+1+1+1+1+1+1+1+1+1+1+1+1+3+1+3+1+1</f>
        <v>27</v>
      </c>
      <c r="G60" s="88">
        <f>1+1+1+1+1+1+1+2+1</f>
        <v>10</v>
      </c>
      <c r="H60" s="82">
        <v>0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140">
        <f t="shared" si="0"/>
        <v>41</v>
      </c>
      <c r="Q60" s="114"/>
      <c r="R60" s="99">
        <v>8</v>
      </c>
      <c r="S60" s="72"/>
      <c r="T60" s="49"/>
      <c r="U60" s="62"/>
    </row>
    <row r="61" spans="2:21" ht="17.399999999999999" x14ac:dyDescent="0.3">
      <c r="B61" s="85"/>
      <c r="C61" s="143">
        <v>0.72916666666666696</v>
      </c>
      <c r="D61" s="147">
        <v>0.73958333333333304</v>
      </c>
      <c r="E61" s="88">
        <v>3</v>
      </c>
      <c r="F61" s="88">
        <v>10</v>
      </c>
      <c r="G61" s="88">
        <v>5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140">
        <f t="shared" si="0"/>
        <v>18</v>
      </c>
      <c r="Q61" s="114"/>
      <c r="R61" s="99">
        <v>2</v>
      </c>
      <c r="S61" s="72"/>
      <c r="T61" s="49"/>
      <c r="U61" s="62"/>
    </row>
    <row r="62" spans="2:21" ht="18" thickBot="1" x14ac:dyDescent="0.35">
      <c r="B62" s="94"/>
      <c r="C62" s="144">
        <v>0.73958333333333304</v>
      </c>
      <c r="D62" s="148">
        <v>0.75</v>
      </c>
      <c r="E62" s="129">
        <v>4</v>
      </c>
      <c r="F62" s="129">
        <v>28</v>
      </c>
      <c r="G62" s="129">
        <v>7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138">
        <f t="shared" si="0"/>
        <v>39</v>
      </c>
      <c r="Q62" s="115"/>
      <c r="R62" s="99">
        <v>8</v>
      </c>
      <c r="S62" s="72"/>
      <c r="T62" s="49"/>
      <c r="U62" s="62"/>
    </row>
    <row r="63" spans="2:21" ht="17.399999999999999" x14ac:dyDescent="0.3">
      <c r="B63" s="78" t="s">
        <v>25</v>
      </c>
      <c r="C63" s="79">
        <v>0.70833333333333337</v>
      </c>
      <c r="D63" s="93">
        <v>0.71875</v>
      </c>
      <c r="E63" s="81">
        <f>1+1+1+2+1+1+1+1+4</f>
        <v>13</v>
      </c>
      <c r="F63" s="81">
        <f>4+2+1+3+1+3+1+1+1+3+1+4+5+2+4+4+2+7+3+1+1</f>
        <v>54</v>
      </c>
      <c r="G63" s="81">
        <f>1+2+1+1+4+3+1+1+1+3+1+1+1+1+1+1</f>
        <v>24</v>
      </c>
      <c r="H63" s="81">
        <v>1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1">
        <f t="shared" si="0"/>
        <v>92</v>
      </c>
      <c r="Q63" s="100">
        <f>SUM(P63:P66)</f>
        <v>288</v>
      </c>
      <c r="R63" s="101">
        <v>3</v>
      </c>
      <c r="S63" s="48">
        <f>Q63+Q67</f>
        <v>509</v>
      </c>
      <c r="T63" s="50">
        <f>(Q63+Q67)/Q71</f>
        <v>0.22512162759840779</v>
      </c>
      <c r="U63" s="61">
        <f>Q63/$S$63</f>
        <v>0.56581532416502944</v>
      </c>
    </row>
    <row r="64" spans="2:21" ht="17.399999999999999" x14ac:dyDescent="0.3">
      <c r="B64" s="85"/>
      <c r="C64" s="86">
        <v>0.71875</v>
      </c>
      <c r="D64" s="87">
        <v>0.72916666666666663</v>
      </c>
      <c r="E64" s="88">
        <f>2+1+1+1+1+1+3</f>
        <v>10</v>
      </c>
      <c r="F64" s="88">
        <f>4+3+2+1+2+2+2+1+6+1+1+2+2+4+1+1+2+2+1+2+2+1+1</f>
        <v>46</v>
      </c>
      <c r="G64" s="88">
        <f>1+1+2+1+1+2+2+1+1+1+1+2+2+1+1+1+2</f>
        <v>23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0</v>
      </c>
      <c r="N64" s="82">
        <v>0</v>
      </c>
      <c r="O64" s="82">
        <v>0</v>
      </c>
      <c r="P64" s="88">
        <f t="shared" si="0"/>
        <v>79</v>
      </c>
      <c r="Q64" s="102"/>
      <c r="R64" s="101">
        <v>2</v>
      </c>
      <c r="S64" s="48"/>
      <c r="T64" s="50"/>
      <c r="U64" s="62"/>
    </row>
    <row r="65" spans="2:21" ht="17.399999999999999" x14ac:dyDescent="0.3">
      <c r="B65" s="85"/>
      <c r="C65" s="92">
        <v>0.72916666666666696</v>
      </c>
      <c r="D65" s="93">
        <v>0.73958333333333304</v>
      </c>
      <c r="E65" s="88">
        <v>8</v>
      </c>
      <c r="F65" s="88">
        <v>17</v>
      </c>
      <c r="G65" s="88">
        <v>16</v>
      </c>
      <c r="H65" s="82">
        <v>0</v>
      </c>
      <c r="I65" s="82">
        <v>0</v>
      </c>
      <c r="J65" s="82">
        <v>0</v>
      </c>
      <c r="K65" s="82">
        <v>2</v>
      </c>
      <c r="L65" s="82">
        <v>0</v>
      </c>
      <c r="M65" s="82">
        <v>0</v>
      </c>
      <c r="N65" s="82">
        <v>0</v>
      </c>
      <c r="O65" s="82">
        <v>0</v>
      </c>
      <c r="P65" s="88">
        <f t="shared" si="0"/>
        <v>43</v>
      </c>
      <c r="Q65" s="102"/>
      <c r="R65" s="101">
        <v>3</v>
      </c>
      <c r="S65" s="48"/>
      <c r="T65" s="50"/>
      <c r="U65" s="62"/>
    </row>
    <row r="66" spans="2:21" ht="18" thickBot="1" x14ac:dyDescent="0.35">
      <c r="B66" s="94"/>
      <c r="C66" s="95">
        <v>0.73958333333333304</v>
      </c>
      <c r="D66" s="96">
        <v>0.75</v>
      </c>
      <c r="E66" s="149">
        <v>9</v>
      </c>
      <c r="F66" s="129">
        <v>45</v>
      </c>
      <c r="G66" s="129">
        <v>20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1">
        <f t="shared" si="0"/>
        <v>74</v>
      </c>
      <c r="Q66" s="103"/>
      <c r="R66" s="101">
        <v>9</v>
      </c>
      <c r="S66" s="48"/>
      <c r="T66" s="50"/>
      <c r="U66" s="62"/>
    </row>
    <row r="67" spans="2:21" ht="17.399999999999999" x14ac:dyDescent="0.3">
      <c r="B67" s="78" t="s">
        <v>26</v>
      </c>
      <c r="C67" s="79">
        <v>0.70833333333333337</v>
      </c>
      <c r="D67" s="80">
        <v>0.71875</v>
      </c>
      <c r="E67" s="81">
        <f>1+1+1+2</f>
        <v>5</v>
      </c>
      <c r="F67" s="81">
        <f>2+4+1+2+1+1+2+1+1+2+2+1+1+3+1+5+1+1+3+1+2+1+3+2+1+2+2+1</f>
        <v>50</v>
      </c>
      <c r="G67" s="81">
        <f>1+1+1+1+2+1+1+1</f>
        <v>9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2">
        <v>0</v>
      </c>
      <c r="P67" s="81">
        <f t="shared" si="0"/>
        <v>64</v>
      </c>
      <c r="Q67" s="100">
        <f>SUM(P67:P70)</f>
        <v>221</v>
      </c>
      <c r="R67" s="101">
        <v>0</v>
      </c>
      <c r="S67" s="48"/>
      <c r="T67" s="50"/>
      <c r="U67" s="61">
        <f>Q67/$S$63</f>
        <v>0.43418467583497056</v>
      </c>
    </row>
    <row r="68" spans="2:21" ht="17.399999999999999" x14ac:dyDescent="0.3">
      <c r="B68" s="85"/>
      <c r="C68" s="86">
        <v>0.71875</v>
      </c>
      <c r="D68" s="87">
        <v>0.72916666666666663</v>
      </c>
      <c r="E68" s="88">
        <f>2+1+1+1+1+1+1+1+1</f>
        <v>10</v>
      </c>
      <c r="F68" s="88">
        <f>2+2+1+2+3+1+2+4+2+2+1+2+1+2+2+2+2+2+1+1+1+1+2+1</f>
        <v>42</v>
      </c>
      <c r="G68" s="88">
        <f>2+1+1+1+1+2+1+1+1+1+1+2+2+1+2</f>
        <v>20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8">
        <f t="shared" si="0"/>
        <v>72</v>
      </c>
      <c r="Q68" s="102"/>
      <c r="R68" s="101">
        <v>3</v>
      </c>
      <c r="S68" s="48"/>
      <c r="T68" s="50"/>
      <c r="U68" s="62"/>
    </row>
    <row r="69" spans="2:21" ht="17.399999999999999" x14ac:dyDescent="0.3">
      <c r="B69" s="85"/>
      <c r="C69" s="92">
        <v>0.72916666666666696</v>
      </c>
      <c r="D69" s="93">
        <v>0.73958333333333304</v>
      </c>
      <c r="E69" s="88">
        <v>4</v>
      </c>
      <c r="F69" s="88">
        <v>27</v>
      </c>
      <c r="G69" s="88">
        <v>9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8">
        <f t="shared" si="0"/>
        <v>40</v>
      </c>
      <c r="Q69" s="102"/>
      <c r="R69" s="101">
        <v>5</v>
      </c>
      <c r="S69" s="48"/>
      <c r="T69" s="50"/>
      <c r="U69" s="62"/>
    </row>
    <row r="70" spans="2:21" ht="18" thickBot="1" x14ac:dyDescent="0.35">
      <c r="B70" s="94"/>
      <c r="C70" s="95">
        <v>0.73958333333333304</v>
      </c>
      <c r="D70" s="96">
        <v>0.75</v>
      </c>
      <c r="E70" s="88">
        <v>5</v>
      </c>
      <c r="F70" s="88">
        <v>33</v>
      </c>
      <c r="G70" s="88">
        <v>7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N70" s="82">
        <v>0</v>
      </c>
      <c r="O70" s="82">
        <v>0</v>
      </c>
      <c r="P70" s="88">
        <f t="shared" si="0"/>
        <v>45</v>
      </c>
      <c r="Q70" s="103"/>
      <c r="R70" s="101">
        <v>2</v>
      </c>
      <c r="S70" s="48"/>
      <c r="T70" s="50"/>
      <c r="U70" s="62"/>
    </row>
    <row r="71" spans="2:21" ht="18" thickBot="1" x14ac:dyDescent="0.35">
      <c r="B71" s="74"/>
      <c r="C71" s="104" t="s">
        <v>27</v>
      </c>
      <c r="D71" s="105"/>
      <c r="E71" s="153">
        <f t="shared" ref="E71:R71" si="9">SUM(E27:E70)</f>
        <v>306</v>
      </c>
      <c r="F71" s="153">
        <f t="shared" si="9"/>
        <v>1379</v>
      </c>
      <c r="G71" s="153">
        <f t="shared" si="9"/>
        <v>564</v>
      </c>
      <c r="H71" s="153">
        <f t="shared" si="9"/>
        <v>8</v>
      </c>
      <c r="I71" s="153">
        <f t="shared" si="9"/>
        <v>0</v>
      </c>
      <c r="J71" s="153">
        <f t="shared" si="9"/>
        <v>2</v>
      </c>
      <c r="K71" s="153">
        <f t="shared" si="9"/>
        <v>2</v>
      </c>
      <c r="L71" s="153">
        <f t="shared" si="9"/>
        <v>0</v>
      </c>
      <c r="M71" s="153">
        <f t="shared" si="9"/>
        <v>0</v>
      </c>
      <c r="N71" s="153">
        <f t="shared" si="9"/>
        <v>0</v>
      </c>
      <c r="O71" s="153">
        <f t="shared" si="9"/>
        <v>0</v>
      </c>
      <c r="P71" s="153">
        <f>SUM(P27:P70)</f>
        <v>2261</v>
      </c>
      <c r="Q71" s="106">
        <f>SUM(Q27:Q70)</f>
        <v>2261</v>
      </c>
      <c r="R71" s="107">
        <f t="shared" si="9"/>
        <v>230</v>
      </c>
    </row>
    <row r="72" spans="2:21" ht="18" thickBot="1" x14ac:dyDescent="0.35">
      <c r="B72" s="74"/>
      <c r="C72" s="104" t="s">
        <v>28</v>
      </c>
      <c r="D72" s="111"/>
      <c r="E72" s="156">
        <f t="shared" ref="E72:O72" si="10">E71/$Q$71</f>
        <v>0.13533834586466165</v>
      </c>
      <c r="F72" s="157">
        <f>F71/$Q$71</f>
        <v>0.6099071207430341</v>
      </c>
      <c r="G72" s="157">
        <f>G71/$Q$71</f>
        <v>0.24944714727996462</v>
      </c>
      <c r="H72" s="159">
        <f>H71/$Q$71</f>
        <v>3.5382574082264487E-3</v>
      </c>
      <c r="I72" s="157">
        <f>I71/$Q$71</f>
        <v>0</v>
      </c>
      <c r="J72" s="159">
        <f>J71/$Q$71</f>
        <v>8.8456435205661217E-4</v>
      </c>
      <c r="K72" s="159">
        <f>K71/$Q$71</f>
        <v>8.8456435205661217E-4</v>
      </c>
      <c r="L72" s="157">
        <f>L71/$Q$71</f>
        <v>0</v>
      </c>
      <c r="M72" s="157">
        <f>M71/$Q$71</f>
        <v>0</v>
      </c>
      <c r="N72" s="157">
        <f t="shared" si="10"/>
        <v>0</v>
      </c>
      <c r="O72" s="157">
        <f t="shared" si="10"/>
        <v>0</v>
      </c>
      <c r="P72" s="158">
        <f>SUM(E72:O72)</f>
        <v>1</v>
      </c>
      <c r="Q72" s="152">
        <f>Q71/$Q$71</f>
        <v>1</v>
      </c>
      <c r="R72" s="108"/>
      <c r="T72" s="47">
        <f>SUM(T27:T70)</f>
        <v>1</v>
      </c>
    </row>
    <row r="73" spans="2:21" ht="18" thickBot="1" x14ac:dyDescent="0.35">
      <c r="B73" s="74"/>
      <c r="C73" s="109"/>
      <c r="D73" s="109"/>
      <c r="E73" s="74"/>
      <c r="F73" s="74"/>
      <c r="G73" s="74"/>
      <c r="H73" s="74"/>
      <c r="I73" s="74"/>
      <c r="J73" s="74"/>
      <c r="K73" s="74"/>
      <c r="L73" s="74"/>
      <c r="M73" s="74"/>
      <c r="N73" s="154" t="s">
        <v>29</v>
      </c>
      <c r="O73" s="115"/>
      <c r="P73" s="155"/>
      <c r="Q73" s="112">
        <f>AVERAGE(Q27:Q70)</f>
        <v>205.54545454545453</v>
      </c>
      <c r="R73" s="108"/>
    </row>
    <row r="74" spans="2:21" ht="18" thickBot="1" x14ac:dyDescent="0.35">
      <c r="B74" s="74"/>
      <c r="C74" s="109"/>
      <c r="D74" s="109"/>
      <c r="E74" s="74"/>
      <c r="F74" s="74"/>
      <c r="G74" s="74"/>
      <c r="H74" s="74"/>
      <c r="I74" s="74"/>
      <c r="J74" s="74"/>
      <c r="K74" s="74"/>
      <c r="L74" s="74"/>
      <c r="M74" s="74"/>
      <c r="N74" s="110" t="s">
        <v>30</v>
      </c>
      <c r="O74" s="111"/>
      <c r="P74" s="105"/>
      <c r="Q74" s="112">
        <f>Q73*12</f>
        <v>2466.5454545454545</v>
      </c>
      <c r="R74" s="108"/>
    </row>
    <row r="75" spans="2:21" ht="14.25" customHeight="1" x14ac:dyDescent="0.3">
      <c r="C75" s="24"/>
      <c r="D75" s="24"/>
      <c r="N75" s="25"/>
      <c r="O75" s="25"/>
      <c r="P75" s="25"/>
      <c r="Q75" s="25"/>
    </row>
    <row r="76" spans="2:21" ht="14.25" customHeight="1" x14ac:dyDescent="0.3">
      <c r="C76" s="24"/>
      <c r="D76" s="24"/>
      <c r="N76" s="25"/>
      <c r="O76" s="25"/>
      <c r="P76" s="25"/>
      <c r="Q76" s="25"/>
    </row>
    <row r="77" spans="2:21" ht="14.25" customHeight="1" x14ac:dyDescent="0.3"/>
    <row r="78" spans="2:21" ht="14.25" customHeight="1" x14ac:dyDescent="0.3">
      <c r="F78" s="160"/>
    </row>
    <row r="79" spans="2:21" ht="14.25" customHeight="1" x14ac:dyDescent="0.3"/>
    <row r="80" spans="2:2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7">
    <mergeCell ref="U67:U70"/>
    <mergeCell ref="U47:U50"/>
    <mergeCell ref="U51:U54"/>
    <mergeCell ref="U55:U58"/>
    <mergeCell ref="U59:U62"/>
    <mergeCell ref="U63:U66"/>
    <mergeCell ref="U27:U30"/>
    <mergeCell ref="U31:U34"/>
    <mergeCell ref="U35:U38"/>
    <mergeCell ref="U39:U42"/>
    <mergeCell ref="U43:U46"/>
    <mergeCell ref="C26:D26"/>
    <mergeCell ref="B27:B30"/>
    <mergeCell ref="Q27:Q30"/>
    <mergeCell ref="B31:B34"/>
    <mergeCell ref="Q31:Q34"/>
    <mergeCell ref="B25:R25"/>
    <mergeCell ref="Q35:Q38"/>
    <mergeCell ref="B63:B66"/>
    <mergeCell ref="B67:B70"/>
    <mergeCell ref="C71:D71"/>
    <mergeCell ref="C72:D72"/>
    <mergeCell ref="B35:B38"/>
    <mergeCell ref="B39:B42"/>
    <mergeCell ref="B43:B46"/>
    <mergeCell ref="B47:B50"/>
    <mergeCell ref="B51:B54"/>
    <mergeCell ref="B55:B58"/>
    <mergeCell ref="B59:B62"/>
    <mergeCell ref="Q67:Q70"/>
    <mergeCell ref="N73:P73"/>
    <mergeCell ref="N74:P74"/>
    <mergeCell ref="Q39:Q42"/>
    <mergeCell ref="Q43:Q46"/>
    <mergeCell ref="Q47:Q50"/>
    <mergeCell ref="Q51:Q54"/>
    <mergeCell ref="Q55:Q58"/>
    <mergeCell ref="Q59:Q62"/>
    <mergeCell ref="Q63:Q66"/>
    <mergeCell ref="S27:S38"/>
    <mergeCell ref="S39:S50"/>
    <mergeCell ref="S51:S62"/>
    <mergeCell ref="S63:S70"/>
    <mergeCell ref="T27:T38"/>
    <mergeCell ref="T39:T50"/>
    <mergeCell ref="T51:T62"/>
    <mergeCell ref="T63:T70"/>
  </mergeCells>
  <pageMargins left="0.7" right="0.7" top="0.75" bottom="0.75" header="0" footer="0"/>
  <pageSetup orientation="landscape"/>
  <ignoredErrors>
    <ignoredError sqref="P69:P70 P65:P66 P61:P62 P57:P58 P53:P54 P45:P50 P29:P42" formulaRange="1"/>
    <ignoredError sqref="P71:P72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AC89-6E57-44E3-99D1-0C3BF3AB9ABC}">
  <dimension ref="B1:U54"/>
  <sheetViews>
    <sheetView topLeftCell="A19" zoomScale="70" zoomScaleNormal="70" workbookViewId="0">
      <selection activeCell="R45" sqref="R45:R52"/>
    </sheetView>
  </sheetViews>
  <sheetFormatPr baseColWidth="10" defaultRowHeight="14.4" x14ac:dyDescent="0.3"/>
  <sheetData>
    <row r="1" spans="2:21" x14ac:dyDescent="0.3">
      <c r="B1" s="39" t="s">
        <v>31</v>
      </c>
      <c r="C1" s="39">
        <v>2253</v>
      </c>
      <c r="E1" s="41" t="s">
        <v>38</v>
      </c>
      <c r="F1" s="42">
        <v>140</v>
      </c>
    </row>
    <row r="2" spans="2:21" x14ac:dyDescent="0.3">
      <c r="B2" s="40" t="s">
        <v>32</v>
      </c>
      <c r="C2" s="40">
        <f>C1/(C5*(F1))</f>
        <v>0.36574675324675326</v>
      </c>
      <c r="E2" s="41" t="s">
        <v>39</v>
      </c>
      <c r="F2" s="42">
        <v>13</v>
      </c>
    </row>
    <row r="3" spans="2:21" x14ac:dyDescent="0.3">
      <c r="B3" s="39" t="s">
        <v>33</v>
      </c>
      <c r="C3" s="39">
        <v>230</v>
      </c>
      <c r="J3" s="38"/>
    </row>
    <row r="4" spans="2:21" x14ac:dyDescent="0.3">
      <c r="B4" s="40" t="s">
        <v>34</v>
      </c>
      <c r="C4" s="40">
        <f>C3/(C5*(F2))</f>
        <v>0.40209790209790208</v>
      </c>
    </row>
    <row r="5" spans="2:21" x14ac:dyDescent="0.3">
      <c r="B5" s="41" t="s">
        <v>37</v>
      </c>
      <c r="C5" s="42">
        <v>44</v>
      </c>
    </row>
    <row r="7" spans="2:21" x14ac:dyDescent="0.3">
      <c r="C7" s="65" t="s">
        <v>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30"/>
    </row>
    <row r="8" spans="2:21" ht="29.4" thickBot="1" x14ac:dyDescent="0.35">
      <c r="C8" s="59" t="s">
        <v>1</v>
      </c>
      <c r="D8" s="60"/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12</v>
      </c>
      <c r="P8" s="2" t="s">
        <v>13</v>
      </c>
      <c r="Q8" s="2" t="s">
        <v>14</v>
      </c>
      <c r="R8" s="26"/>
      <c r="S8" s="26"/>
      <c r="T8" s="26" t="s">
        <v>15</v>
      </c>
      <c r="U8" s="31" t="s">
        <v>35</v>
      </c>
    </row>
    <row r="9" spans="2:21" x14ac:dyDescent="0.3">
      <c r="B9" s="55" t="s">
        <v>16</v>
      </c>
      <c r="C9" s="3" t="s">
        <v>36</v>
      </c>
      <c r="D9" s="4">
        <v>0.59375</v>
      </c>
      <c r="E9" s="5">
        <v>12</v>
      </c>
      <c r="F9" s="5">
        <v>86</v>
      </c>
      <c r="G9" s="5">
        <f>17+3+1+1</f>
        <v>22</v>
      </c>
      <c r="H9" s="5">
        <v>2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f t="shared" ref="P9:P52" si="0">SUM(E9:O9)</f>
        <v>122</v>
      </c>
      <c r="Q9" s="67">
        <f>SUM(P9:P12)</f>
        <v>441</v>
      </c>
      <c r="R9" s="70">
        <f>+Q9+Q13+Q17</f>
        <v>553</v>
      </c>
      <c r="S9" s="43"/>
      <c r="T9" s="8">
        <v>4</v>
      </c>
      <c r="U9" s="28">
        <f>SUM(T9:T12)</f>
        <v>21</v>
      </c>
    </row>
    <row r="10" spans="2:21" x14ac:dyDescent="0.3">
      <c r="B10" s="56"/>
      <c r="C10" s="9">
        <v>0.59375</v>
      </c>
      <c r="D10" s="10">
        <v>0.60416666666666663</v>
      </c>
      <c r="E10" s="11">
        <f>5+1+2+1+1+5+1+1+4</f>
        <v>21</v>
      </c>
      <c r="F10" s="11">
        <f>3+8+4+1+4+2+5+8+5+5+2+2+3+2+1+2+4+4+4+1+6+3+1+5</f>
        <v>85</v>
      </c>
      <c r="G10" s="11">
        <f>1+1+1+1+3+2+1+2+4+1+2+2+1+1+4+2+3+1</f>
        <v>33</v>
      </c>
      <c r="H10" s="11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32">
        <f t="shared" si="0"/>
        <v>140</v>
      </c>
      <c r="Q10" s="68"/>
      <c r="R10" s="71"/>
      <c r="S10" s="44"/>
      <c r="T10" s="13">
        <v>2</v>
      </c>
      <c r="U10" s="28"/>
    </row>
    <row r="11" spans="2:21" x14ac:dyDescent="0.3">
      <c r="B11" s="56"/>
      <c r="C11" s="14">
        <v>0.60416666666666696</v>
      </c>
      <c r="D11" s="15">
        <v>0.61458333333333304</v>
      </c>
      <c r="E11" s="11">
        <v>7</v>
      </c>
      <c r="F11" s="11">
        <v>46</v>
      </c>
      <c r="G11" s="11">
        <v>25</v>
      </c>
      <c r="H11" s="11">
        <v>1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12">
        <f t="shared" si="0"/>
        <v>80</v>
      </c>
      <c r="Q11" s="68"/>
      <c r="R11" s="71"/>
      <c r="S11" s="44"/>
      <c r="T11" s="13">
        <v>7</v>
      </c>
      <c r="U11" s="28"/>
    </row>
    <row r="12" spans="2:21" ht="15" thickBot="1" x14ac:dyDescent="0.35">
      <c r="B12" s="57"/>
      <c r="C12" s="16">
        <v>0.61458333333333304</v>
      </c>
      <c r="D12" s="17">
        <v>0.625</v>
      </c>
      <c r="E12" s="11">
        <v>12</v>
      </c>
      <c r="F12" s="11">
        <v>57</v>
      </c>
      <c r="G12" s="11">
        <v>30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12">
        <f t="shared" si="0"/>
        <v>99</v>
      </c>
      <c r="Q12" s="69"/>
      <c r="R12" s="71"/>
      <c r="S12" s="44"/>
      <c r="T12" s="13">
        <v>8</v>
      </c>
      <c r="U12" s="29"/>
    </row>
    <row r="13" spans="2:21" x14ac:dyDescent="0.3">
      <c r="B13" s="55" t="s">
        <v>17</v>
      </c>
      <c r="C13" s="3">
        <v>0.58333333333333337</v>
      </c>
      <c r="D13" s="4">
        <v>0.59375</v>
      </c>
      <c r="E13" s="11">
        <f>1+1+1</f>
        <v>3</v>
      </c>
      <c r="F13" s="11">
        <f>3+1+2+1+2+1+2+1</f>
        <v>13</v>
      </c>
      <c r="G13" s="11">
        <f>1+1+1+1+1+2</f>
        <v>7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12">
        <f t="shared" si="0"/>
        <v>23</v>
      </c>
      <c r="Q13" s="52">
        <f>SUM(P13:P16)</f>
        <v>68</v>
      </c>
      <c r="R13" s="71"/>
      <c r="S13" s="25"/>
      <c r="T13" s="13">
        <v>0</v>
      </c>
      <c r="U13" s="27">
        <f>SUM(T13:T16)</f>
        <v>5</v>
      </c>
    </row>
    <row r="14" spans="2:21" x14ac:dyDescent="0.3">
      <c r="B14" s="56"/>
      <c r="C14" s="9">
        <v>0.59375</v>
      </c>
      <c r="D14" s="10">
        <v>0.60416666666666663</v>
      </c>
      <c r="E14" s="11">
        <f>1+1+1+1+1</f>
        <v>5</v>
      </c>
      <c r="F14" s="11">
        <f>3+1+1+1+2+1+1+2+1+1</f>
        <v>14</v>
      </c>
      <c r="G14" s="11">
        <f>1+1+2+2+2+1+2+1+2+1+1</f>
        <v>16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12">
        <f t="shared" si="0"/>
        <v>35</v>
      </c>
      <c r="Q14" s="53"/>
      <c r="R14" s="71"/>
      <c r="S14" s="45"/>
      <c r="T14" s="13">
        <v>0</v>
      </c>
      <c r="U14" s="28"/>
    </row>
    <row r="15" spans="2:21" x14ac:dyDescent="0.3">
      <c r="B15" s="56"/>
      <c r="C15" s="14">
        <v>0.60416666666666696</v>
      </c>
      <c r="D15" s="15">
        <v>0.61458333333333304</v>
      </c>
      <c r="E15" s="11">
        <v>2</v>
      </c>
      <c r="F15" s="11">
        <v>2</v>
      </c>
      <c r="G15" s="11">
        <v>2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12">
        <f t="shared" si="0"/>
        <v>6</v>
      </c>
      <c r="Q15" s="53"/>
      <c r="R15" s="71"/>
      <c r="S15" s="45"/>
      <c r="T15" s="13">
        <v>2</v>
      </c>
      <c r="U15" s="28"/>
    </row>
    <row r="16" spans="2:21" ht="15" thickBot="1" x14ac:dyDescent="0.35">
      <c r="B16" s="57"/>
      <c r="C16" s="16">
        <v>0.61458333333333304</v>
      </c>
      <c r="D16" s="17">
        <v>0.625</v>
      </c>
      <c r="E16" s="11">
        <v>3</v>
      </c>
      <c r="F16" s="11">
        <v>1</v>
      </c>
      <c r="G16" s="11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12">
        <f t="shared" si="0"/>
        <v>4</v>
      </c>
      <c r="Q16" s="54"/>
      <c r="R16" s="71"/>
      <c r="S16" s="45"/>
      <c r="T16" s="13">
        <v>3</v>
      </c>
      <c r="U16" s="29"/>
    </row>
    <row r="17" spans="2:21" x14ac:dyDescent="0.3">
      <c r="B17" s="55" t="s">
        <v>18</v>
      </c>
      <c r="C17" s="3">
        <v>0.58333333333333337</v>
      </c>
      <c r="D17" s="4">
        <v>0.59375</v>
      </c>
      <c r="E17" s="11">
        <v>1</v>
      </c>
      <c r="F17" s="11">
        <v>9</v>
      </c>
      <c r="G17" s="11">
        <f>1+1+1</f>
        <v>3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12">
        <f t="shared" si="0"/>
        <v>13</v>
      </c>
      <c r="Q17" s="52">
        <f>SUM(P17:P20)</f>
        <v>44</v>
      </c>
      <c r="R17" s="71"/>
      <c r="S17" s="25"/>
      <c r="T17" s="13">
        <v>4</v>
      </c>
      <c r="U17" s="27">
        <f>SUM(T17:T20)</f>
        <v>27</v>
      </c>
    </row>
    <row r="18" spans="2:21" x14ac:dyDescent="0.3">
      <c r="B18" s="56"/>
      <c r="C18" s="9">
        <v>0.59375</v>
      </c>
      <c r="D18" s="10">
        <v>0.60416666666666663</v>
      </c>
      <c r="E18" s="11">
        <v>0</v>
      </c>
      <c r="F18" s="11">
        <f>1+1+1+2</f>
        <v>5</v>
      </c>
      <c r="G18" s="11">
        <f>2+1+2+1+1</f>
        <v>7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12">
        <f t="shared" si="0"/>
        <v>12</v>
      </c>
      <c r="Q18" s="53"/>
      <c r="R18" s="71"/>
      <c r="S18" s="45"/>
      <c r="T18" s="13">
        <v>8</v>
      </c>
      <c r="U18" s="28"/>
    </row>
    <row r="19" spans="2:21" x14ac:dyDescent="0.3">
      <c r="B19" s="56"/>
      <c r="C19" s="14">
        <v>0.60416666666666696</v>
      </c>
      <c r="D19" s="15">
        <v>0.61458333333333304</v>
      </c>
      <c r="E19" s="11">
        <v>2</v>
      </c>
      <c r="F19" s="11">
        <v>7</v>
      </c>
      <c r="G19" s="11">
        <v>3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12">
        <f t="shared" si="0"/>
        <v>12</v>
      </c>
      <c r="Q19" s="53"/>
      <c r="R19" s="71"/>
      <c r="S19" s="45"/>
      <c r="T19" s="13">
        <v>5</v>
      </c>
      <c r="U19" s="28"/>
    </row>
    <row r="20" spans="2:21" ht="15" thickBot="1" x14ac:dyDescent="0.35">
      <c r="B20" s="57"/>
      <c r="C20" s="16">
        <v>0.61458333333333304</v>
      </c>
      <c r="D20" s="17">
        <v>0.625</v>
      </c>
      <c r="E20" s="11">
        <v>2</v>
      </c>
      <c r="F20" s="11">
        <v>4</v>
      </c>
      <c r="G20" s="11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11">
        <f t="shared" si="0"/>
        <v>7</v>
      </c>
      <c r="Q20" s="54"/>
      <c r="R20" s="71"/>
      <c r="S20" s="45"/>
      <c r="T20" s="13">
        <v>10</v>
      </c>
      <c r="U20" s="29"/>
    </row>
    <row r="21" spans="2:21" x14ac:dyDescent="0.3">
      <c r="B21" s="55" t="s">
        <v>19</v>
      </c>
      <c r="C21" s="3">
        <v>0.58333333333333337</v>
      </c>
      <c r="D21" s="4">
        <v>0.59375</v>
      </c>
      <c r="E21" s="11">
        <f>1+2+2+3+1+1+1+1</f>
        <v>12</v>
      </c>
      <c r="F21" s="11">
        <f>3+2+6+1+6+1+2+2+2+2+5+2+2+3+4+2+2+2+3+8+4+4+5+2+6+2+1+6</f>
        <v>90</v>
      </c>
      <c r="G21" s="11">
        <v>34</v>
      </c>
      <c r="H21" s="6">
        <v>0</v>
      </c>
      <c r="I21" s="6">
        <v>0</v>
      </c>
      <c r="J21" s="11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11">
        <f t="shared" si="0"/>
        <v>137</v>
      </c>
      <c r="Q21" s="52">
        <f>SUM(P21:P24)</f>
        <v>338</v>
      </c>
      <c r="R21" s="63"/>
      <c r="S21" s="25"/>
      <c r="T21" s="13">
        <v>6</v>
      </c>
      <c r="U21" s="27">
        <f>SUM(T21:T24)</f>
        <v>21</v>
      </c>
    </row>
    <row r="22" spans="2:21" x14ac:dyDescent="0.3">
      <c r="B22" s="56"/>
      <c r="C22" s="9">
        <v>0.59375</v>
      </c>
      <c r="D22" s="10">
        <v>0.60416666666666663</v>
      </c>
      <c r="E22" s="11">
        <f>2+2+2+1+6+2+1+1+1</f>
        <v>18</v>
      </c>
      <c r="F22" s="11">
        <f>3+8+7+2+1+4+2+4+1+2+7+1+3</f>
        <v>45</v>
      </c>
      <c r="G22" s="11">
        <f>1+1+3+1+1+1+1+1+2+4</f>
        <v>16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11">
        <f t="shared" si="0"/>
        <v>79</v>
      </c>
      <c r="Q22" s="53"/>
      <c r="R22" s="63"/>
      <c r="S22" s="45"/>
      <c r="T22" s="13">
        <v>7</v>
      </c>
      <c r="U22" s="28"/>
    </row>
    <row r="23" spans="2:21" x14ac:dyDescent="0.3">
      <c r="B23" s="56"/>
      <c r="C23" s="14">
        <v>0.60416666666666696</v>
      </c>
      <c r="D23" s="15">
        <v>0.61458333333333304</v>
      </c>
      <c r="E23" s="11">
        <v>13</v>
      </c>
      <c r="F23" s="11">
        <v>70</v>
      </c>
      <c r="G23" s="11">
        <v>17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11">
        <f t="shared" si="0"/>
        <v>100</v>
      </c>
      <c r="Q23" s="53"/>
      <c r="R23" s="63"/>
      <c r="S23" s="45"/>
      <c r="T23" s="13">
        <v>3</v>
      </c>
      <c r="U23" s="28"/>
    </row>
    <row r="24" spans="2:21" ht="15" thickBot="1" x14ac:dyDescent="0.35">
      <c r="B24" s="57"/>
      <c r="C24" s="16">
        <v>0.61458333333333304</v>
      </c>
      <c r="D24" s="17">
        <v>0.625</v>
      </c>
      <c r="E24" s="11">
        <v>22</v>
      </c>
      <c r="F24" s="11"/>
      <c r="G24" s="11"/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11">
        <f t="shared" si="0"/>
        <v>22</v>
      </c>
      <c r="Q24" s="54"/>
      <c r="R24" s="63"/>
      <c r="S24" s="45"/>
      <c r="T24" s="13">
        <v>5</v>
      </c>
      <c r="U24" s="29"/>
    </row>
    <row r="25" spans="2:21" x14ac:dyDescent="0.3">
      <c r="B25" s="55" t="s">
        <v>20</v>
      </c>
      <c r="C25" s="3">
        <v>0.58333333333333337</v>
      </c>
      <c r="D25" s="4">
        <v>0.59375</v>
      </c>
      <c r="E25" s="11">
        <v>1</v>
      </c>
      <c r="F25" s="11">
        <f>3+3+1+2+1+2+1+1+3+1</f>
        <v>18</v>
      </c>
      <c r="G25" s="11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11">
        <f t="shared" si="0"/>
        <v>20</v>
      </c>
      <c r="Q25" s="52">
        <f>SUM(P25:P28)</f>
        <v>97</v>
      </c>
      <c r="R25" s="63"/>
      <c r="S25" s="25"/>
      <c r="T25" s="13">
        <v>7</v>
      </c>
      <c r="U25" s="27">
        <f>SUM(T25:T28)</f>
        <v>13</v>
      </c>
    </row>
    <row r="26" spans="2:21" x14ac:dyDescent="0.3">
      <c r="B26" s="56"/>
      <c r="C26" s="9">
        <v>0.59375</v>
      </c>
      <c r="D26" s="10">
        <v>0.60416666666666663</v>
      </c>
      <c r="E26" s="11">
        <f>1+1</f>
        <v>2</v>
      </c>
      <c r="F26" s="11">
        <v>25</v>
      </c>
      <c r="G26" s="11">
        <f>2+1+2+2+1+1</f>
        <v>9</v>
      </c>
      <c r="H26" s="11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11">
        <f t="shared" si="0"/>
        <v>37</v>
      </c>
      <c r="Q26" s="53"/>
      <c r="R26" s="63"/>
      <c r="S26" s="45"/>
      <c r="T26" s="13">
        <v>0</v>
      </c>
      <c r="U26" s="28"/>
    </row>
    <row r="27" spans="2:21" x14ac:dyDescent="0.3">
      <c r="B27" s="56"/>
      <c r="C27" s="14">
        <v>0.60416666666666696</v>
      </c>
      <c r="D27" s="15">
        <v>0.61458333333333304</v>
      </c>
      <c r="E27" s="11">
        <v>1</v>
      </c>
      <c r="F27" s="11">
        <v>13</v>
      </c>
      <c r="G27" s="11">
        <v>2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11">
        <f t="shared" si="0"/>
        <v>16</v>
      </c>
      <c r="Q27" s="53"/>
      <c r="R27" s="63"/>
      <c r="S27" s="45"/>
      <c r="T27" s="13">
        <v>2</v>
      </c>
      <c r="U27" s="28"/>
    </row>
    <row r="28" spans="2:21" ht="15" thickBot="1" x14ac:dyDescent="0.35">
      <c r="B28" s="57"/>
      <c r="C28" s="16">
        <v>0.61458333333333304</v>
      </c>
      <c r="D28" s="17">
        <v>0.625</v>
      </c>
      <c r="E28" s="11">
        <v>3</v>
      </c>
      <c r="F28" s="11">
        <v>16</v>
      </c>
      <c r="G28" s="11">
        <v>5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11">
        <f t="shared" si="0"/>
        <v>24</v>
      </c>
      <c r="Q28" s="54"/>
      <c r="R28" s="63"/>
      <c r="S28" s="45"/>
      <c r="T28" s="13">
        <v>4</v>
      </c>
      <c r="U28" s="29"/>
    </row>
    <row r="29" spans="2:21" x14ac:dyDescent="0.3">
      <c r="B29" s="55" t="s">
        <v>21</v>
      </c>
      <c r="C29" s="3">
        <v>0.58333333333333337</v>
      </c>
      <c r="D29" s="4">
        <v>0.59375</v>
      </c>
      <c r="E29" s="11">
        <v>1</v>
      </c>
      <c r="F29" s="11">
        <v>1</v>
      </c>
      <c r="G29" s="11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11">
        <f t="shared" si="0"/>
        <v>3</v>
      </c>
      <c r="Q29" s="52">
        <f>SUM(P29:P32)</f>
        <v>8</v>
      </c>
      <c r="R29" s="63"/>
      <c r="S29" s="25"/>
      <c r="T29" s="13">
        <v>9</v>
      </c>
      <c r="U29" s="27">
        <f>SUM(T29:T32)</f>
        <v>29</v>
      </c>
    </row>
    <row r="30" spans="2:21" x14ac:dyDescent="0.3">
      <c r="B30" s="56"/>
      <c r="C30" s="9">
        <v>0.59375</v>
      </c>
      <c r="D30" s="10">
        <v>0.60416666666666663</v>
      </c>
      <c r="E30" s="11">
        <v>0</v>
      </c>
      <c r="F30" s="11">
        <v>0</v>
      </c>
      <c r="G30" s="11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11">
        <f t="shared" si="0"/>
        <v>0</v>
      </c>
      <c r="Q30" s="53"/>
      <c r="R30" s="63"/>
      <c r="S30" s="45"/>
      <c r="T30" s="13">
        <v>9</v>
      </c>
      <c r="U30" s="28"/>
    </row>
    <row r="31" spans="2:21" x14ac:dyDescent="0.3">
      <c r="B31" s="56"/>
      <c r="C31" s="14">
        <v>0.60416666666666696</v>
      </c>
      <c r="D31" s="15">
        <v>0.61458333333333304</v>
      </c>
      <c r="E31" s="11">
        <v>0</v>
      </c>
      <c r="F31" s="11">
        <v>0</v>
      </c>
      <c r="G31" s="11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11">
        <f t="shared" si="0"/>
        <v>0</v>
      </c>
      <c r="Q31" s="53"/>
      <c r="R31" s="63"/>
      <c r="S31" s="45"/>
      <c r="T31" s="13">
        <v>5</v>
      </c>
      <c r="U31" s="28"/>
    </row>
    <row r="32" spans="2:21" ht="15" thickBot="1" x14ac:dyDescent="0.35">
      <c r="B32" s="57"/>
      <c r="C32" s="16">
        <v>0.61458333333333304</v>
      </c>
      <c r="D32" s="17">
        <v>0.625</v>
      </c>
      <c r="E32" s="11">
        <v>2</v>
      </c>
      <c r="F32" s="11">
        <v>2</v>
      </c>
      <c r="G32" s="11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11">
        <f t="shared" si="0"/>
        <v>5</v>
      </c>
      <c r="Q32" s="54"/>
      <c r="R32" s="63"/>
      <c r="S32" s="45"/>
      <c r="T32" s="13">
        <v>6</v>
      </c>
      <c r="U32" s="29"/>
    </row>
    <row r="33" spans="2:21" x14ac:dyDescent="0.3">
      <c r="B33" s="55" t="s">
        <v>22</v>
      </c>
      <c r="C33" s="3">
        <v>0.58333333333333337</v>
      </c>
      <c r="D33" s="4">
        <v>0.59375</v>
      </c>
      <c r="E33" s="11">
        <f>1+1+1+1+1+1+1+1+1+1+2+1</f>
        <v>13</v>
      </c>
      <c r="F33" s="11">
        <f>5+6+5+4+1+1+1+1+3+3+2+1+2+3+3+1+1+1+3+2+5+1+1+2+1+2+1+3+4+2+3+2+4+2+1+2</f>
        <v>85</v>
      </c>
      <c r="G33" s="11">
        <f>1+1+1+3+1+1+1+1+3+1+1+2+1+3+2+1+3+1+2+1+2</f>
        <v>33</v>
      </c>
      <c r="H33" s="11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11">
        <f t="shared" si="0"/>
        <v>132</v>
      </c>
      <c r="Q33" s="52">
        <f>SUM(P33:P36)</f>
        <v>414</v>
      </c>
      <c r="R33" s="63">
        <f>+Q33+Q37+Q41</f>
        <v>748</v>
      </c>
      <c r="S33" s="25"/>
      <c r="T33" s="13">
        <v>5</v>
      </c>
      <c r="U33" s="27">
        <f>SUM(T33:T36)</f>
        <v>22</v>
      </c>
    </row>
    <row r="34" spans="2:21" x14ac:dyDescent="0.3">
      <c r="B34" s="56"/>
      <c r="C34" s="9">
        <v>0.59375</v>
      </c>
      <c r="D34" s="10">
        <v>0.60416666666666663</v>
      </c>
      <c r="E34" s="11">
        <f>2+1+1+1+1+2+2+1+5+1+1</f>
        <v>18</v>
      </c>
      <c r="F34" s="11">
        <f>2+2+1+3+3+4+1+4+1+1+1+2+1+3+2+6+2+3+2+2+1+4+1+2+1+2+1+1+2+2+2+2+1+2+3</f>
        <v>73</v>
      </c>
      <c r="G34" s="11">
        <f>2+2+2+1+2+4+1+3+2+1+3+2+2+5+3+1+3+1+1+1+1+1</f>
        <v>44</v>
      </c>
      <c r="H34" s="11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11">
        <f t="shared" si="0"/>
        <v>136</v>
      </c>
      <c r="Q34" s="53"/>
      <c r="R34" s="63"/>
      <c r="S34" s="45"/>
      <c r="T34" s="13">
        <v>3</v>
      </c>
      <c r="U34" s="28"/>
    </row>
    <row r="35" spans="2:21" x14ac:dyDescent="0.3">
      <c r="B35" s="56"/>
      <c r="C35" s="14">
        <v>0.60416666666666696</v>
      </c>
      <c r="D35" s="15">
        <v>0.61458333333333304</v>
      </c>
      <c r="E35" s="11">
        <v>11</v>
      </c>
      <c r="F35" s="11">
        <v>39</v>
      </c>
      <c r="G35" s="11">
        <v>15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1">
        <f t="shared" si="0"/>
        <v>65</v>
      </c>
      <c r="Q35" s="53"/>
      <c r="R35" s="63"/>
      <c r="S35" s="45"/>
      <c r="T35" s="13">
        <v>10</v>
      </c>
      <c r="U35" s="28"/>
    </row>
    <row r="36" spans="2:21" ht="15" thickBot="1" x14ac:dyDescent="0.35">
      <c r="B36" s="57"/>
      <c r="C36" s="16">
        <v>0.61458333333333304</v>
      </c>
      <c r="D36" s="17">
        <v>0.625</v>
      </c>
      <c r="E36" s="11">
        <v>12</v>
      </c>
      <c r="F36" s="11">
        <v>44</v>
      </c>
      <c r="G36" s="11">
        <v>25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11">
        <f t="shared" si="0"/>
        <v>81</v>
      </c>
      <c r="Q36" s="54"/>
      <c r="R36" s="63"/>
      <c r="S36" s="45"/>
      <c r="T36" s="13">
        <v>4</v>
      </c>
      <c r="U36" s="29"/>
    </row>
    <row r="37" spans="2:21" x14ac:dyDescent="0.3">
      <c r="B37" s="55" t="s">
        <v>23</v>
      </c>
      <c r="C37" s="3">
        <v>0.58333333333333337</v>
      </c>
      <c r="D37" s="4">
        <v>0.59375</v>
      </c>
      <c r="E37" s="11">
        <f>2+1+2+1+1+1</f>
        <v>8</v>
      </c>
      <c r="F37" s="11">
        <f>2+2+2+1+1+1+3+2+2+1+1+1+3+1+1+2+1+2+3+2+2+3+1+1+2+1</f>
        <v>44</v>
      </c>
      <c r="G37" s="11">
        <f>1+1+1+1+1+1+1+2+1+1+2+1+1+1</f>
        <v>16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11">
        <f t="shared" si="0"/>
        <v>68</v>
      </c>
      <c r="Q37" s="52">
        <f>SUM(P37:P40)</f>
        <v>200</v>
      </c>
      <c r="R37" s="63"/>
      <c r="S37" s="25"/>
      <c r="T37" s="13">
        <v>11</v>
      </c>
      <c r="U37" s="34">
        <f>SUM(T37:T40)</f>
        <v>38</v>
      </c>
    </row>
    <row r="38" spans="2:21" x14ac:dyDescent="0.3">
      <c r="B38" s="56"/>
      <c r="C38" s="9">
        <v>0.59375</v>
      </c>
      <c r="D38" s="10">
        <v>0.60416666666666663</v>
      </c>
      <c r="E38" s="11">
        <f>3+1+1+1+1+1+1</f>
        <v>9</v>
      </c>
      <c r="F38" s="11">
        <f>1+1+3+1+1+1+1+1+2+2+2+1+3+2+1+2+2+1+1+3+1+2+2</f>
        <v>37</v>
      </c>
      <c r="G38" s="11">
        <f>1+1+1+1+1+1+1+1+1+1+2</f>
        <v>12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11">
        <f t="shared" si="0"/>
        <v>58</v>
      </c>
      <c r="Q38" s="53"/>
      <c r="R38" s="63"/>
      <c r="S38" s="45"/>
      <c r="T38" s="37">
        <v>13</v>
      </c>
      <c r="U38" s="35"/>
    </row>
    <row r="39" spans="2:21" x14ac:dyDescent="0.3">
      <c r="B39" s="56"/>
      <c r="C39" s="14">
        <v>0.60416666666666696</v>
      </c>
      <c r="D39" s="15">
        <v>0.61458333333333304</v>
      </c>
      <c r="E39" s="11">
        <v>3</v>
      </c>
      <c r="F39" s="11">
        <v>18</v>
      </c>
      <c r="G39" s="11">
        <v>13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11">
        <f t="shared" si="0"/>
        <v>34</v>
      </c>
      <c r="Q39" s="53"/>
      <c r="R39" s="63"/>
      <c r="S39" s="45"/>
      <c r="T39" s="13">
        <v>6</v>
      </c>
      <c r="U39" s="35"/>
    </row>
    <row r="40" spans="2:21" ht="15" thickBot="1" x14ac:dyDescent="0.35">
      <c r="B40" s="57"/>
      <c r="C40" s="16">
        <v>0.61458333333333304</v>
      </c>
      <c r="D40" s="17">
        <v>0.625</v>
      </c>
      <c r="E40" s="11">
        <v>6</v>
      </c>
      <c r="F40" s="11">
        <v>23</v>
      </c>
      <c r="G40" s="11">
        <v>11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11">
        <f t="shared" si="0"/>
        <v>40</v>
      </c>
      <c r="Q40" s="54"/>
      <c r="R40" s="63"/>
      <c r="S40" s="45"/>
      <c r="T40" s="13">
        <v>8</v>
      </c>
      <c r="U40" s="36"/>
    </row>
    <row r="41" spans="2:21" x14ac:dyDescent="0.3">
      <c r="B41" s="55" t="s">
        <v>24</v>
      </c>
      <c r="C41" s="3">
        <v>0.58333333333333337</v>
      </c>
      <c r="D41" s="4">
        <v>0.59375</v>
      </c>
      <c r="E41" s="11">
        <f>2+1+1</f>
        <v>4</v>
      </c>
      <c r="F41" s="11">
        <f>1+1+1+1+1+1+1+2+2+1+2+1+1+1+1+1+1+2+1+1+1</f>
        <v>25</v>
      </c>
      <c r="G41" s="11">
        <f>1+1+1+1+1+1+1</f>
        <v>7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11">
        <f t="shared" si="0"/>
        <v>36</v>
      </c>
      <c r="Q41" s="52">
        <f>SUM(P41:P44)</f>
        <v>134</v>
      </c>
      <c r="R41" s="63"/>
      <c r="S41" s="25"/>
      <c r="T41" s="13">
        <v>9</v>
      </c>
      <c r="U41" s="27">
        <f>SUM(T41:T44)</f>
        <v>27</v>
      </c>
    </row>
    <row r="42" spans="2:21" x14ac:dyDescent="0.3">
      <c r="B42" s="56"/>
      <c r="C42" s="9">
        <v>0.59375</v>
      </c>
      <c r="D42" s="10">
        <v>0.60416666666666663</v>
      </c>
      <c r="E42" s="11">
        <f>1+1+1+1</f>
        <v>4</v>
      </c>
      <c r="F42" s="11">
        <f>2+1+2+1+1+1+1+1+1+1+1+1+1+1+1+1+3+1+3+1+1</f>
        <v>27</v>
      </c>
      <c r="G42" s="11">
        <f>1+1+1+1+1+1+1+2+1</f>
        <v>10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11">
        <f t="shared" si="0"/>
        <v>41</v>
      </c>
      <c r="Q42" s="53"/>
      <c r="R42" s="63"/>
      <c r="S42" s="45"/>
      <c r="T42" s="13">
        <v>8</v>
      </c>
      <c r="U42" s="28"/>
    </row>
    <row r="43" spans="2:21" x14ac:dyDescent="0.3">
      <c r="B43" s="56"/>
      <c r="C43" s="14">
        <v>0.60416666666666696</v>
      </c>
      <c r="D43" s="15">
        <v>0.61458333333333304</v>
      </c>
      <c r="E43" s="11">
        <v>3</v>
      </c>
      <c r="F43" s="11">
        <v>10</v>
      </c>
      <c r="G43" s="11">
        <v>5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11">
        <f t="shared" si="0"/>
        <v>18</v>
      </c>
      <c r="Q43" s="53"/>
      <c r="R43" s="63"/>
      <c r="S43" s="45"/>
      <c r="T43" s="13">
        <v>2</v>
      </c>
      <c r="U43" s="28"/>
    </row>
    <row r="44" spans="2:21" ht="15" thickBot="1" x14ac:dyDescent="0.35">
      <c r="B44" s="57"/>
      <c r="C44" s="16">
        <v>0.61458333333333304</v>
      </c>
      <c r="D44" s="17">
        <v>0.625</v>
      </c>
      <c r="E44" s="11">
        <v>4</v>
      </c>
      <c r="F44" s="11">
        <v>28</v>
      </c>
      <c r="G44" s="11">
        <v>7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11">
        <f t="shared" si="0"/>
        <v>39</v>
      </c>
      <c r="Q44" s="54"/>
      <c r="R44" s="63"/>
      <c r="S44" s="45"/>
      <c r="T44" s="13">
        <v>8</v>
      </c>
      <c r="U44" s="29"/>
    </row>
    <row r="45" spans="2:21" x14ac:dyDescent="0.3">
      <c r="B45" s="55" t="s">
        <v>25</v>
      </c>
      <c r="C45" s="3">
        <v>0.58333333333333337</v>
      </c>
      <c r="D45" s="4">
        <v>0.59375</v>
      </c>
      <c r="E45" s="11">
        <f>1+1+1+2+1+1+1+1+4</f>
        <v>13</v>
      </c>
      <c r="F45" s="11">
        <f>4+2+1+3+1+3+1+1+1+3+1+4+5+2+4+4+2+7+3+1+1</f>
        <v>54</v>
      </c>
      <c r="G45" s="11">
        <f>1+2+1+1+4+3+1+1+1+3+1+1+1+1+1+1</f>
        <v>24</v>
      </c>
      <c r="H45" s="11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11">
        <f t="shared" si="0"/>
        <v>92</v>
      </c>
      <c r="Q45" s="52">
        <f>SUM(P45:P48)</f>
        <v>288</v>
      </c>
      <c r="R45" s="63"/>
      <c r="S45" s="25"/>
      <c r="T45" s="13">
        <v>3</v>
      </c>
      <c r="U45" s="27">
        <f>SUM(T45:T48)</f>
        <v>17</v>
      </c>
    </row>
    <row r="46" spans="2:21" x14ac:dyDescent="0.3">
      <c r="B46" s="56"/>
      <c r="C46" s="9">
        <v>0.59375</v>
      </c>
      <c r="D46" s="10">
        <v>0.60416666666666663</v>
      </c>
      <c r="E46" s="11">
        <f>2+1+1+1+1+1+3</f>
        <v>10</v>
      </c>
      <c r="F46" s="11">
        <f>4+3+2+1+2+2+2+1+6+1+1+2+2+4+1+1+2+2+1+2+2+1+1</f>
        <v>46</v>
      </c>
      <c r="G46" s="11">
        <f>1+1+2+1+1+2+2+1+1+1+1+2+2+1+1+1+2</f>
        <v>23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11">
        <f t="shared" si="0"/>
        <v>79</v>
      </c>
      <c r="Q46" s="53"/>
      <c r="R46" s="63"/>
      <c r="S46" s="45"/>
      <c r="T46" s="13">
        <v>2</v>
      </c>
      <c r="U46" s="28"/>
    </row>
    <row r="47" spans="2:21" x14ac:dyDescent="0.3">
      <c r="B47" s="56"/>
      <c r="C47" s="14">
        <v>0.60416666666666696</v>
      </c>
      <c r="D47" s="15">
        <v>0.61458333333333304</v>
      </c>
      <c r="E47" s="11">
        <v>8</v>
      </c>
      <c r="F47" s="11">
        <v>17</v>
      </c>
      <c r="G47" s="11">
        <v>16</v>
      </c>
      <c r="H47" s="6">
        <v>0</v>
      </c>
      <c r="I47" s="6">
        <v>0</v>
      </c>
      <c r="J47" s="6">
        <v>0</v>
      </c>
      <c r="K47" s="6">
        <v>2</v>
      </c>
      <c r="L47" s="6">
        <v>0</v>
      </c>
      <c r="M47" s="6">
        <v>0</v>
      </c>
      <c r="N47" s="6">
        <v>0</v>
      </c>
      <c r="O47" s="6">
        <v>0</v>
      </c>
      <c r="P47" s="11">
        <f t="shared" si="0"/>
        <v>43</v>
      </c>
      <c r="Q47" s="53"/>
      <c r="R47" s="63"/>
      <c r="S47" s="45"/>
      <c r="T47" s="13">
        <v>3</v>
      </c>
      <c r="U47" s="28"/>
    </row>
    <row r="48" spans="2:21" ht="15" thickBot="1" x14ac:dyDescent="0.35">
      <c r="B48" s="57"/>
      <c r="C48" s="16">
        <v>0.61458333333333304</v>
      </c>
      <c r="D48" s="17">
        <v>0.625</v>
      </c>
      <c r="E48" s="11">
        <v>9</v>
      </c>
      <c r="F48" s="11">
        <v>45</v>
      </c>
      <c r="G48" s="11">
        <v>20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11">
        <f t="shared" si="0"/>
        <v>74</v>
      </c>
      <c r="Q48" s="54"/>
      <c r="R48" s="63"/>
      <c r="S48" s="45"/>
      <c r="T48" s="13">
        <v>9</v>
      </c>
      <c r="U48" s="29"/>
    </row>
    <row r="49" spans="2:21" x14ac:dyDescent="0.3">
      <c r="B49" s="55" t="s">
        <v>26</v>
      </c>
      <c r="C49" s="3">
        <v>0.58333333333333337</v>
      </c>
      <c r="D49" s="4">
        <v>0.59375</v>
      </c>
      <c r="E49" s="11">
        <f>1+1+1+2</f>
        <v>5</v>
      </c>
      <c r="F49" s="11">
        <f>2+4+1+2+1+1+2+1+1+2+2+1+1+3+1+5+1+1+3+1+2+1+3+2+1+2+2+1</f>
        <v>50</v>
      </c>
      <c r="G49" s="11">
        <f>1+1+1+1+2+1+1+1</f>
        <v>9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11">
        <f t="shared" si="0"/>
        <v>64</v>
      </c>
      <c r="Q49" s="52">
        <f>SUM(P49:P52)</f>
        <v>221</v>
      </c>
      <c r="R49" s="63"/>
      <c r="S49" s="25"/>
      <c r="T49" s="13">
        <v>0</v>
      </c>
      <c r="U49" s="27">
        <f>SUM(T49:T52)</f>
        <v>10</v>
      </c>
    </row>
    <row r="50" spans="2:21" x14ac:dyDescent="0.3">
      <c r="B50" s="56"/>
      <c r="C50" s="9">
        <v>0.59375</v>
      </c>
      <c r="D50" s="10">
        <v>0.60416666666666663</v>
      </c>
      <c r="E50" s="11">
        <f>2+1+1+1+1+1+1+1+1</f>
        <v>10</v>
      </c>
      <c r="F50" s="11">
        <f>2+2+1+2+3+1+2+4+2+2+1+2+1+2+2+2+2+2+1+1+1+1+2+1</f>
        <v>42</v>
      </c>
      <c r="G50" s="11">
        <f>2+1+1+1+1+2+1+1+1+1+1+2+2+1+2</f>
        <v>20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11">
        <f t="shared" si="0"/>
        <v>72</v>
      </c>
      <c r="Q50" s="53"/>
      <c r="R50" s="63"/>
      <c r="S50" s="45"/>
      <c r="T50" s="13">
        <v>3</v>
      </c>
      <c r="U50" s="28"/>
    </row>
    <row r="51" spans="2:21" x14ac:dyDescent="0.3">
      <c r="B51" s="56"/>
      <c r="C51" s="14">
        <v>0.60416666666666696</v>
      </c>
      <c r="D51" s="15">
        <v>0.61458333333333304</v>
      </c>
      <c r="E51" s="11">
        <v>4</v>
      </c>
      <c r="F51" s="11">
        <v>27</v>
      </c>
      <c r="G51" s="11">
        <v>9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11">
        <f t="shared" si="0"/>
        <v>40</v>
      </c>
      <c r="Q51" s="53"/>
      <c r="R51" s="63"/>
      <c r="S51" s="45"/>
      <c r="T51" s="13">
        <v>5</v>
      </c>
      <c r="U51" s="28"/>
    </row>
    <row r="52" spans="2:21" ht="15" thickBot="1" x14ac:dyDescent="0.35">
      <c r="B52" s="57"/>
      <c r="C52" s="16">
        <v>0.61458333333333304</v>
      </c>
      <c r="D52" s="17">
        <v>0.625</v>
      </c>
      <c r="E52" s="11">
        <v>5</v>
      </c>
      <c r="F52" s="11">
        <v>33</v>
      </c>
      <c r="G52" s="11">
        <v>7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11">
        <f t="shared" si="0"/>
        <v>45</v>
      </c>
      <c r="Q52" s="54"/>
      <c r="R52" s="64"/>
      <c r="S52" s="45"/>
      <c r="T52" s="13">
        <v>2</v>
      </c>
      <c r="U52" s="29"/>
    </row>
    <row r="53" spans="2:21" ht="15" thickBot="1" x14ac:dyDescent="0.35">
      <c r="C53" s="58" t="s">
        <v>27</v>
      </c>
      <c r="D53" s="51"/>
      <c r="E53" s="18">
        <f t="shared" ref="E53:T53" si="1">SUM(E9:E52)</f>
        <v>304</v>
      </c>
      <c r="F53" s="18">
        <f t="shared" si="1"/>
        <v>1376</v>
      </c>
      <c r="G53" s="18">
        <f t="shared" si="1"/>
        <v>561</v>
      </c>
      <c r="H53" s="18">
        <f t="shared" si="1"/>
        <v>8</v>
      </c>
      <c r="I53" s="18">
        <f t="shared" si="1"/>
        <v>0</v>
      </c>
      <c r="J53" s="18">
        <f t="shared" si="1"/>
        <v>2</v>
      </c>
      <c r="K53" s="18">
        <f t="shared" si="1"/>
        <v>2</v>
      </c>
      <c r="L53" s="18">
        <f t="shared" si="1"/>
        <v>0</v>
      </c>
      <c r="M53" s="18">
        <f t="shared" si="1"/>
        <v>0</v>
      </c>
      <c r="N53" s="18">
        <f t="shared" si="1"/>
        <v>0</v>
      </c>
      <c r="O53" s="18">
        <f t="shared" si="1"/>
        <v>0</v>
      </c>
      <c r="P53" s="33">
        <f t="shared" si="1"/>
        <v>2253</v>
      </c>
      <c r="Q53" s="19">
        <f t="shared" si="1"/>
        <v>2253</v>
      </c>
      <c r="R53" s="19"/>
      <c r="S53" s="19"/>
      <c r="T53" s="20">
        <f t="shared" si="1"/>
        <v>230</v>
      </c>
    </row>
    <row r="54" spans="2:21" ht="15" thickBot="1" x14ac:dyDescent="0.35">
      <c r="C54" s="58" t="s">
        <v>28</v>
      </c>
      <c r="D54" s="51"/>
      <c r="E54" s="21">
        <f>E53/$Q$53</f>
        <v>0.13493120284065691</v>
      </c>
      <c r="F54" s="21">
        <f t="shared" ref="F54:O54" si="2">F53/$Q$53</f>
        <v>0.61074123391034174</v>
      </c>
      <c r="G54" s="21">
        <f t="shared" si="2"/>
        <v>0.24900133155792276</v>
      </c>
      <c r="H54" s="21">
        <f t="shared" si="2"/>
        <v>3.5508211273857079E-3</v>
      </c>
      <c r="I54" s="21">
        <f t="shared" si="2"/>
        <v>0</v>
      </c>
      <c r="J54" s="21">
        <f t="shared" si="2"/>
        <v>8.8770528184642697E-4</v>
      </c>
      <c r="K54" s="21">
        <f t="shared" si="2"/>
        <v>8.8770528184642697E-4</v>
      </c>
      <c r="L54" s="21">
        <f t="shared" si="2"/>
        <v>0</v>
      </c>
      <c r="M54" s="21">
        <f t="shared" si="2"/>
        <v>0</v>
      </c>
      <c r="N54" s="21">
        <f t="shared" si="2"/>
        <v>0</v>
      </c>
      <c r="O54" s="21">
        <f t="shared" si="2"/>
        <v>0</v>
      </c>
      <c r="P54" s="22">
        <f>SUM(E54:O54)</f>
        <v>0.99999999999999989</v>
      </c>
      <c r="Q54" s="23">
        <f>Q53/$Q$53</f>
        <v>1</v>
      </c>
      <c r="R54" s="46"/>
      <c r="S54" s="46"/>
    </row>
  </sheetData>
  <mergeCells count="30">
    <mergeCell ref="C54:D54"/>
    <mergeCell ref="B41:B44"/>
    <mergeCell ref="Q41:Q44"/>
    <mergeCell ref="B45:B48"/>
    <mergeCell ref="Q45:Q48"/>
    <mergeCell ref="B49:B52"/>
    <mergeCell ref="Q49:Q52"/>
    <mergeCell ref="B33:B36"/>
    <mergeCell ref="Q33:Q36"/>
    <mergeCell ref="B37:B40"/>
    <mergeCell ref="Q37:Q40"/>
    <mergeCell ref="C53:D53"/>
    <mergeCell ref="B21:B24"/>
    <mergeCell ref="Q21:Q24"/>
    <mergeCell ref="B25:B28"/>
    <mergeCell ref="Q25:Q28"/>
    <mergeCell ref="B29:B32"/>
    <mergeCell ref="Q29:Q32"/>
    <mergeCell ref="B9:B12"/>
    <mergeCell ref="Q9:Q12"/>
    <mergeCell ref="B13:B16"/>
    <mergeCell ref="Q13:Q16"/>
    <mergeCell ref="R9:R20"/>
    <mergeCell ref="B17:B20"/>
    <mergeCell ref="Q17:Q20"/>
    <mergeCell ref="R21:R32"/>
    <mergeCell ref="R33:R44"/>
    <mergeCell ref="R45:R52"/>
    <mergeCell ref="C7:T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Acueducto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2023-11-07T03:19:31Z</dcterms:created>
  <dcterms:modified xsi:type="dcterms:W3CDTF">2024-08-27T19:52:10Z</dcterms:modified>
</cp:coreProperties>
</file>