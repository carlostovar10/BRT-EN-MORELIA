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\Desktop\TAREAS MAESTRIA\TESIS\"/>
    </mc:Choice>
  </mc:AlternateContent>
  <xr:revisionPtr revIDLastSave="0" documentId="13_ncr:1_{88A6AD28-2A9C-4CAF-9F84-C068BF1B2266}" xr6:coauthVersionLast="47" xr6:coauthVersionMax="47" xr10:uidLastSave="{00000000-0000-0000-0000-000000000000}"/>
  <bookViews>
    <workbookView xWindow="-108" yWindow="-108" windowWidth="23256" windowHeight="12456" xr2:uid="{502C60BD-5E80-4AD5-933B-D8A40A749EF1}"/>
  </bookViews>
  <sheets>
    <sheet name="semaforos" sheetId="1" r:id="rId1"/>
    <sheet name="clases vehiculos" sheetId="2" r:id="rId2"/>
    <sheet name="velociadad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1" i="1" l="1"/>
  <c r="I51" i="1"/>
  <c r="K51" i="1"/>
  <c r="L51" i="1"/>
  <c r="M51" i="1"/>
  <c r="O51" i="1"/>
  <c r="P51" i="1"/>
  <c r="Q51" i="1"/>
  <c r="G51" i="1"/>
  <c r="G20" i="2"/>
  <c r="H20" i="2"/>
  <c r="I20" i="2"/>
  <c r="J20" i="2"/>
  <c r="K20" i="2"/>
  <c r="L20" i="2"/>
  <c r="M20" i="2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4" i="3"/>
  <c r="D20" i="3"/>
  <c r="E20" i="3"/>
  <c r="F20" i="3"/>
  <c r="G20" i="3"/>
  <c r="H20" i="3"/>
  <c r="I20" i="3"/>
  <c r="J20" i="3"/>
  <c r="K20" i="3"/>
  <c r="L20" i="3"/>
  <c r="M20" i="3"/>
  <c r="N20" i="3"/>
  <c r="O20" i="3"/>
  <c r="C20" i="3"/>
  <c r="O5" i="3"/>
  <c r="O4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D20" i="2"/>
  <c r="E20" i="2"/>
  <c r="F20" i="2"/>
  <c r="C20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</calcChain>
</file>

<file path=xl/sharedStrings.xml><?xml version="1.0" encoding="utf-8"?>
<sst xmlns="http://schemas.openxmlformats.org/spreadsheetml/2006/main" count="315" uniqueCount="93">
  <si>
    <t>TIEMPOS DE LOS SEMAFOROS</t>
  </si>
  <si>
    <t>LUGAR</t>
  </si>
  <si>
    <t>FLECHA</t>
  </si>
  <si>
    <t>No.</t>
  </si>
  <si>
    <t xml:space="preserve">Salida Quiroga </t>
  </si>
  <si>
    <t>San pascual</t>
  </si>
  <si>
    <t>La Concepción (primera plus)</t>
  </si>
  <si>
    <t xml:space="preserve">Loma Dorada </t>
  </si>
  <si>
    <t>San Juanito</t>
  </si>
  <si>
    <t>Nachas (Fam Similares)</t>
  </si>
  <si>
    <t>Col. Lopez Mateo</t>
  </si>
  <si>
    <t>Fracc. Agua Clara</t>
  </si>
  <si>
    <t>VUELTA</t>
  </si>
  <si>
    <t>IZQ</t>
  </si>
  <si>
    <t>DER</t>
  </si>
  <si>
    <t>DIRECCIÓN</t>
  </si>
  <si>
    <t>↑</t>
  </si>
  <si>
    <t>↓</t>
  </si>
  <si>
    <t>→</t>
  </si>
  <si>
    <t>←</t>
  </si>
  <si>
    <t>Aurrera Eduardo Ruiz</t>
  </si>
  <si>
    <t>Abajo del puente de las vias del tren</t>
  </si>
  <si>
    <t>*</t>
  </si>
  <si>
    <t>Waldos Tornicentro</t>
  </si>
  <si>
    <t>Waldos Banorte</t>
  </si>
  <si>
    <t>Monumento</t>
  </si>
  <si>
    <t>Madero Pnt →</t>
  </si>
  <si>
    <r>
      <t xml:space="preserve">Vuelta          </t>
    </r>
    <r>
      <rPr>
        <u/>
        <sz val="11"/>
        <color theme="1"/>
        <rFont val="Calibri"/>
        <family val="2"/>
        <scheme val="minor"/>
      </rPr>
      <t>_↑</t>
    </r>
  </si>
  <si>
    <t>Madero Pnt ←</t>
  </si>
  <si>
    <t>México 14(1)  ↑</t>
  </si>
  <si>
    <t>México 14(2)  ↑</t>
  </si>
  <si>
    <t>M. Pnt (FG)  →</t>
  </si>
  <si>
    <t>Nocupetaro ↓</t>
  </si>
  <si>
    <t>M. Pnt (FG)  ←</t>
  </si>
  <si>
    <t>M. Pt (BBVA)  →</t>
  </si>
  <si>
    <t>San. Tapia - Lerdo de Tejada</t>
  </si>
  <si>
    <t>San. Tapia - Morelos Norte</t>
  </si>
  <si>
    <t>20 Noviembre - Alvaro Obregón</t>
  </si>
  <si>
    <t>Salida Charo</t>
  </si>
  <si>
    <t>Santiago Tapia - Vicente Riva Palacio</t>
  </si>
  <si>
    <t>20 Noviembre - Dr. Miguel Silva</t>
  </si>
  <si>
    <t>↖↘</t>
  </si>
  <si>
    <t>↔</t>
  </si>
  <si>
    <t>Madero Oriente - Av. Tata Vasco</t>
  </si>
  <si>
    <t>20 Noviembre - Madero Oriente</t>
  </si>
  <si>
    <t>S. Charo Mad. Ote - C. Marco Moriana y Zafrilla</t>
  </si>
  <si>
    <t>Av. Tata Vasco - Av. Acueducto</t>
  </si>
  <si>
    <t>Calzada Ventura Puente - Rafael Carrillo</t>
  </si>
  <si>
    <t xml:space="preserve"> - </t>
  </si>
  <si>
    <t>CALLE PRINCIPAL</t>
  </si>
  <si>
    <t>CALLE PARELELA</t>
  </si>
  <si>
    <t>VERDE</t>
  </si>
  <si>
    <t>AMBAR</t>
  </si>
  <si>
    <t>ROJO</t>
  </si>
  <si>
    <t>M. Mich.  ←|</t>
  </si>
  <si>
    <t>total</t>
  </si>
  <si>
    <t>20-30</t>
  </si>
  <si>
    <t>30-40</t>
  </si>
  <si>
    <t>40-50</t>
  </si>
  <si>
    <t>50-60</t>
  </si>
  <si>
    <t>60-70</t>
  </si>
  <si>
    <t>70-80</t>
  </si>
  <si>
    <t>80-90</t>
  </si>
  <si>
    <t>90-100</t>
  </si>
  <si>
    <t>100-110</t>
  </si>
  <si>
    <t>110-120</t>
  </si>
  <si>
    <t>&gt;130</t>
  </si>
  <si>
    <t>Total</t>
  </si>
  <si>
    <t>Aforo</t>
  </si>
  <si>
    <t>TDPA</t>
  </si>
  <si>
    <t>TDPS</t>
  </si>
  <si>
    <t>A</t>
  </si>
  <si>
    <t>A2</t>
  </si>
  <si>
    <t>B2</t>
  </si>
  <si>
    <t>B3</t>
  </si>
  <si>
    <t>C3</t>
  </si>
  <si>
    <t>T2-S1</t>
  </si>
  <si>
    <t>T2-S2</t>
  </si>
  <si>
    <t>T3-S2</t>
  </si>
  <si>
    <t>T3-S3</t>
  </si>
  <si>
    <t>T3-S3-R2</t>
  </si>
  <si>
    <t>T3-S2-R4</t>
  </si>
  <si>
    <t>Salida Quiroga</t>
  </si>
  <si>
    <t>Hacia el Este</t>
  </si>
  <si>
    <t>Hacia el Oeste</t>
  </si>
  <si>
    <t>Av. Francisco I. Madero Poniente – Av. Mártires</t>
  </si>
  <si>
    <t>Av. Francisco I. Madero Poniente - Monumento</t>
  </si>
  <si>
    <t>Av. Francisco I. Madero Poniente – Niños Héroes</t>
  </si>
  <si>
    <t>Santiago Tapia</t>
  </si>
  <si>
    <t>20 de noviembre</t>
  </si>
  <si>
    <t>Av. Francisco I. Madero Oriente – Luis Velasco</t>
  </si>
  <si>
    <t>Corregidora</t>
  </si>
  <si>
    <t xml:space="preserve"> 10-20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</si>
</sst>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11"/>
      <color rgb="FF000000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EAADB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7" fontId="7" fillId="4" borderId="13" xfId="0" applyNumberFormat="1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3" fontId="0" fillId="0" borderId="0" xfId="0" applyNumberFormat="1"/>
    <xf numFmtId="1" fontId="0" fillId="0" borderId="0" xfId="0" applyNumberFormat="1"/>
    <xf numFmtId="0" fontId="7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8" fillId="0" borderId="15" xfId="0" applyFont="1" applyBorder="1" applyAlignment="1">
      <alignment horizontal="center" vertical="center" wrapText="1" readingOrder="1"/>
    </xf>
    <xf numFmtId="0" fontId="9" fillId="0" borderId="18" xfId="0" applyFont="1" applyBorder="1" applyAlignment="1">
      <alignment horizontal="center" vertical="center" wrapText="1" readingOrder="1"/>
    </xf>
    <xf numFmtId="0" fontId="0" fillId="3" borderId="1" xfId="0" applyFill="1" applyBorder="1"/>
    <xf numFmtId="0" fontId="0" fillId="0" borderId="1" xfId="0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 readingOrder="1"/>
    </xf>
    <xf numFmtId="0" fontId="8" fillId="0" borderId="17" xfId="0" applyFont="1" applyBorder="1" applyAlignment="1">
      <alignment horizontal="center" vertical="center" wrapText="1" readingOrder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'clases vehiculos'!$C$2:$M$2</c:f>
              <c:strCache>
                <c:ptCount val="11"/>
                <c:pt idx="0">
                  <c:v>A</c:v>
                </c:pt>
                <c:pt idx="1">
                  <c:v>A2</c:v>
                </c:pt>
                <c:pt idx="2">
                  <c:v>B2</c:v>
                </c:pt>
                <c:pt idx="3">
                  <c:v>B3</c:v>
                </c:pt>
                <c:pt idx="4">
                  <c:v>C3</c:v>
                </c:pt>
                <c:pt idx="5">
                  <c:v>T2-S1</c:v>
                </c:pt>
                <c:pt idx="6">
                  <c:v>T2-S2</c:v>
                </c:pt>
                <c:pt idx="7">
                  <c:v>T3-S2</c:v>
                </c:pt>
                <c:pt idx="8">
                  <c:v>T3-S3</c:v>
                </c:pt>
                <c:pt idx="9">
                  <c:v>T3-S3-R2</c:v>
                </c:pt>
                <c:pt idx="10">
                  <c:v>T3-S2-R4</c:v>
                </c:pt>
              </c:strCache>
            </c:strRef>
          </c:cat>
          <c:val>
            <c:numRef>
              <c:f>'clases vehiculos'!$C$20:$M$20</c:f>
              <c:numCache>
                <c:formatCode>General</c:formatCode>
                <c:ptCount val="11"/>
                <c:pt idx="0">
                  <c:v>91.368749999999977</c:v>
                </c:pt>
                <c:pt idx="1">
                  <c:v>1.0874999999999999</c:v>
                </c:pt>
                <c:pt idx="2">
                  <c:v>1.6375000000000002</c:v>
                </c:pt>
                <c:pt idx="3">
                  <c:v>3.8250000000000002</c:v>
                </c:pt>
                <c:pt idx="4">
                  <c:v>0.42500000000000004</c:v>
                </c:pt>
                <c:pt idx="5">
                  <c:v>0.19375000000000003</c:v>
                </c:pt>
                <c:pt idx="6">
                  <c:v>0.41874999999999996</c:v>
                </c:pt>
                <c:pt idx="7">
                  <c:v>0.61249999999999993</c:v>
                </c:pt>
                <c:pt idx="8">
                  <c:v>0.22500000000000001</c:v>
                </c:pt>
                <c:pt idx="9">
                  <c:v>0.16875000000000001</c:v>
                </c:pt>
                <c:pt idx="10">
                  <c:v>3.7499999999999999E-2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2A-4CBB-AA1B-A69B4E439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765543103"/>
        <c:axId val="162957839"/>
      </c:barChart>
      <c:catAx>
        <c:axId val="76554310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2957839"/>
        <c:crosses val="autoZero"/>
        <c:auto val="1"/>
        <c:lblAlgn val="ctr"/>
        <c:lblOffset val="100"/>
        <c:noMultiLvlLbl val="0"/>
      </c:catAx>
      <c:valAx>
        <c:axId val="162957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65543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ysClr val="windowText" lastClr="000000"/>
                </a:solidFill>
                <a:latin typeface="+mj-lt"/>
                <a:ea typeface="+mj-ea"/>
                <a:cs typeface="+mj-cs"/>
              </a:defRPr>
            </a:pPr>
            <a:r>
              <a:rPr lang="es-MX">
                <a:solidFill>
                  <a:sysClr val="windowText" lastClr="000000"/>
                </a:solidFill>
              </a:rPr>
              <a:t>Velocidades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ysClr val="windowText" lastClr="000000"/>
              </a:solidFill>
              <a:latin typeface="+mj-lt"/>
              <a:ea typeface="+mj-ea"/>
              <a:cs typeface="+mj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velociadades!$C$3:$N$3</c:f>
              <c:strCache>
                <c:ptCount val="12"/>
                <c:pt idx="0">
                  <c:v> 10-20</c:v>
                </c:pt>
                <c:pt idx="1">
                  <c:v>20-30</c:v>
                </c:pt>
                <c:pt idx="2">
                  <c:v>30-40</c:v>
                </c:pt>
                <c:pt idx="3">
                  <c:v>40-50</c:v>
                </c:pt>
                <c:pt idx="4">
                  <c:v>50-60</c:v>
                </c:pt>
                <c:pt idx="5">
                  <c:v>60-70</c:v>
                </c:pt>
                <c:pt idx="6">
                  <c:v>70-80</c:v>
                </c:pt>
                <c:pt idx="7">
                  <c:v>80-90</c:v>
                </c:pt>
                <c:pt idx="8">
                  <c:v>90-100</c:v>
                </c:pt>
                <c:pt idx="9">
                  <c:v>100-110</c:v>
                </c:pt>
                <c:pt idx="10">
                  <c:v>110-120</c:v>
                </c:pt>
                <c:pt idx="11">
                  <c:v>&gt;130</c:v>
                </c:pt>
              </c:strCache>
            </c:strRef>
          </c:cat>
          <c:val>
            <c:numRef>
              <c:f>velociadades!$C$20:$N$20</c:f>
              <c:numCache>
                <c:formatCode>General</c:formatCode>
                <c:ptCount val="12"/>
                <c:pt idx="0">
                  <c:v>21.462499999999999</c:v>
                </c:pt>
                <c:pt idx="1">
                  <c:v>35.90625</c:v>
                </c:pt>
                <c:pt idx="2">
                  <c:v>25.050000000000004</c:v>
                </c:pt>
                <c:pt idx="3">
                  <c:v>10.21875</c:v>
                </c:pt>
                <c:pt idx="4">
                  <c:v>4.9562499999999989</c:v>
                </c:pt>
                <c:pt idx="5">
                  <c:v>1.6500000000000001</c:v>
                </c:pt>
                <c:pt idx="6">
                  <c:v>0.46249999999999997</c:v>
                </c:pt>
                <c:pt idx="7">
                  <c:v>0.15625000000000003</c:v>
                </c:pt>
                <c:pt idx="8">
                  <c:v>6.25E-2</c:v>
                </c:pt>
                <c:pt idx="9">
                  <c:v>3.125E-2</c:v>
                </c:pt>
                <c:pt idx="10">
                  <c:v>2.5000000000000001E-2</c:v>
                </c:pt>
                <c:pt idx="11">
                  <c:v>1.2500000000000001E-2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B9-49F0-9854-EED06A917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840563871"/>
        <c:axId val="617982335"/>
      </c:barChart>
      <c:catAx>
        <c:axId val="840563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>
                    <a:solidFill>
                      <a:sysClr val="windowText" lastClr="000000"/>
                    </a:solidFill>
                  </a:rPr>
                  <a:t>Velocidad (Km/h)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17982335"/>
        <c:crosses val="autoZero"/>
        <c:auto val="1"/>
        <c:lblAlgn val="ctr"/>
        <c:lblOffset val="100"/>
        <c:noMultiLvlLbl val="0"/>
      </c:catAx>
      <c:valAx>
        <c:axId val="61798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>
                    <a:solidFill>
                      <a:sysClr val="windowText" lastClr="000000"/>
                    </a:solidFill>
                  </a:rPr>
                  <a:t>Porcentaje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40563871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4742825896762904"/>
          <c:y val="0.16944278031007465"/>
          <c:w val="0.82201618547681543"/>
          <c:h val="0.6763096831244400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velociadades!$Q$3</c:f>
              <c:strCache>
                <c:ptCount val="1"/>
                <c:pt idx="0">
                  <c:v>Aforo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velociadades!$Q$4:$Q$19</c:f>
              <c:numCache>
                <c:formatCode>General</c:formatCode>
                <c:ptCount val="16"/>
                <c:pt idx="0">
                  <c:v>1</c:v>
                </c:pt>
                <c:pt idx="2">
                  <c:v>2</c:v>
                </c:pt>
                <c:pt idx="4">
                  <c:v>3</c:v>
                </c:pt>
                <c:pt idx="6">
                  <c:v>4</c:v>
                </c:pt>
                <c:pt idx="8">
                  <c:v>5</c:v>
                </c:pt>
                <c:pt idx="10">
                  <c:v>6</c:v>
                </c:pt>
                <c:pt idx="11">
                  <c:v>7</c:v>
                </c:pt>
                <c:pt idx="13">
                  <c:v>8</c:v>
                </c:pt>
                <c:pt idx="1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F3-47E5-9EAF-2048F7ADA420}"/>
            </c:ext>
          </c:extLst>
        </c:ser>
        <c:ser>
          <c:idx val="1"/>
          <c:order val="1"/>
          <c:tx>
            <c:strRef>
              <c:f>velociadades!$T$3</c:f>
              <c:strCache>
                <c:ptCount val="1"/>
                <c:pt idx="0">
                  <c:v>TDPA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velociadades!$U$4:$U$19</c:f>
              <c:numCache>
                <c:formatCode>0</c:formatCode>
                <c:ptCount val="16"/>
                <c:pt idx="0">
                  <c:v>28614.644999999997</c:v>
                </c:pt>
                <c:pt idx="1">
                  <c:v>30425.894999999997</c:v>
                </c:pt>
                <c:pt idx="2">
                  <c:v>19386.584999999999</c:v>
                </c:pt>
                <c:pt idx="3">
                  <c:v>20603.744999999999</c:v>
                </c:pt>
                <c:pt idx="4">
                  <c:v>20388.465</c:v>
                </c:pt>
                <c:pt idx="5">
                  <c:v>22128.3</c:v>
                </c:pt>
                <c:pt idx="6">
                  <c:v>12158.144999999999</c:v>
                </c:pt>
                <c:pt idx="7">
                  <c:v>12678.749999999998</c:v>
                </c:pt>
                <c:pt idx="8">
                  <c:v>4485.6899999999996</c:v>
                </c:pt>
                <c:pt idx="9">
                  <c:v>1923.0299999999997</c:v>
                </c:pt>
                <c:pt idx="10">
                  <c:v>5557.95</c:v>
                </c:pt>
                <c:pt idx="11">
                  <c:v>6682.9949999999999</c:v>
                </c:pt>
                <c:pt idx="12">
                  <c:v>8773.6949999999997</c:v>
                </c:pt>
                <c:pt idx="13">
                  <c:v>29464.379999999997</c:v>
                </c:pt>
                <c:pt idx="14">
                  <c:v>23317.514999999999</c:v>
                </c:pt>
                <c:pt idx="15">
                  <c:v>5252.625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F3-47E5-9EAF-2048F7ADA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1545685391"/>
        <c:axId val="1545685871"/>
      </c:barChart>
      <c:catAx>
        <c:axId val="1545685391"/>
        <c:scaling>
          <c:orientation val="minMax"/>
        </c:scaling>
        <c:delete val="1"/>
        <c:axPos val="b"/>
        <c:title>
          <c:layout>
            <c:manualLayout>
              <c:xMode val="edge"/>
              <c:yMode val="edge"/>
              <c:x val="0.4436237970253718"/>
              <c:y val="0.935254447360746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majorTickMark val="none"/>
        <c:minorTickMark val="none"/>
        <c:tickLblPos val="nextTo"/>
        <c:crossAx val="1545685871"/>
        <c:crosses val="autoZero"/>
        <c:auto val="1"/>
        <c:lblAlgn val="ctr"/>
        <c:lblOffset val="100"/>
        <c:noMultiLvlLbl val="0"/>
      </c:catAx>
      <c:valAx>
        <c:axId val="154568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45685391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velociadades!$Q$3</c:f>
              <c:strCache>
                <c:ptCount val="1"/>
                <c:pt idx="0">
                  <c:v>Aforo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velociadades!$Q$4:$Q$19</c:f>
              <c:numCache>
                <c:formatCode>General</c:formatCode>
                <c:ptCount val="16"/>
                <c:pt idx="0">
                  <c:v>1</c:v>
                </c:pt>
                <c:pt idx="2">
                  <c:v>2</c:v>
                </c:pt>
                <c:pt idx="4">
                  <c:v>3</c:v>
                </c:pt>
                <c:pt idx="6">
                  <c:v>4</c:v>
                </c:pt>
                <c:pt idx="8">
                  <c:v>5</c:v>
                </c:pt>
                <c:pt idx="10">
                  <c:v>6</c:v>
                </c:pt>
                <c:pt idx="11">
                  <c:v>7</c:v>
                </c:pt>
                <c:pt idx="13">
                  <c:v>8</c:v>
                </c:pt>
                <c:pt idx="1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A3-43B1-BFFA-E7457115C52D}"/>
            </c:ext>
          </c:extLst>
        </c:ser>
        <c:ser>
          <c:idx val="1"/>
          <c:order val="1"/>
          <c:tx>
            <c:strRef>
              <c:f>velociadades!$R$3</c:f>
              <c:strCache>
                <c:ptCount val="1"/>
                <c:pt idx="0">
                  <c:v>TDPS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velociadades!$R$4:$R$19</c:f>
              <c:numCache>
                <c:formatCode>#,##0</c:formatCode>
                <c:ptCount val="16"/>
                <c:pt idx="0">
                  <c:v>27647</c:v>
                </c:pt>
                <c:pt idx="1">
                  <c:v>29397</c:v>
                </c:pt>
                <c:pt idx="2">
                  <c:v>18731</c:v>
                </c:pt>
                <c:pt idx="3">
                  <c:v>19907</c:v>
                </c:pt>
                <c:pt idx="4">
                  <c:v>19699</c:v>
                </c:pt>
                <c:pt idx="5">
                  <c:v>21380</c:v>
                </c:pt>
                <c:pt idx="6">
                  <c:v>11747</c:v>
                </c:pt>
                <c:pt idx="7">
                  <c:v>12250</c:v>
                </c:pt>
                <c:pt idx="8">
                  <c:v>4334</c:v>
                </c:pt>
                <c:pt idx="9">
                  <c:v>1858</c:v>
                </c:pt>
                <c:pt idx="10">
                  <c:v>5370</c:v>
                </c:pt>
                <c:pt idx="11">
                  <c:v>6457</c:v>
                </c:pt>
                <c:pt idx="12">
                  <c:v>8477</c:v>
                </c:pt>
                <c:pt idx="13">
                  <c:v>28468</c:v>
                </c:pt>
                <c:pt idx="14">
                  <c:v>22529</c:v>
                </c:pt>
                <c:pt idx="15">
                  <c:v>5075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A3-43B1-BFFA-E7457115C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545688271"/>
        <c:axId val="1545688751"/>
      </c:barChart>
      <c:catAx>
        <c:axId val="1545688271"/>
        <c:scaling>
          <c:orientation val="minMax"/>
        </c:scaling>
        <c:delete val="1"/>
        <c:axPos val="b"/>
        <c:title>
          <c:layout>
            <c:manualLayout>
              <c:xMode val="edge"/>
              <c:yMode val="edge"/>
              <c:x val="0.42377646544181974"/>
              <c:y val="0.929606299212598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majorTickMark val="none"/>
        <c:minorTickMark val="none"/>
        <c:tickLblPos val="nextTo"/>
        <c:crossAx val="1545688751"/>
        <c:crosses val="autoZero"/>
        <c:auto val="1"/>
        <c:lblAlgn val="ctr"/>
        <c:lblOffset val="100"/>
        <c:noMultiLvlLbl val="0"/>
      </c:catAx>
      <c:valAx>
        <c:axId val="154568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layout>
            <c:manualLayout>
              <c:xMode val="edge"/>
              <c:yMode val="edge"/>
              <c:x val="2.7777777777777779E-3"/>
              <c:y val="0.333471857684456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45688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03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762000</xdr:colOff>
      <xdr:row>21</xdr:row>
      <xdr:rowOff>83820</xdr:rowOff>
    </xdr:from>
    <xdr:to>
      <xdr:col>10</xdr:col>
      <xdr:colOff>579120</xdr:colOff>
      <xdr:row>36</xdr:row>
      <xdr:rowOff>83820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DCA0E96-E0FC-3DE4-09C0-BEF5BD4FC9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237564</xdr:colOff>
      <xdr:row>21</xdr:row>
      <xdr:rowOff>76200</xdr:rowOff>
    </xdr:from>
    <xdr:to>
      <xdr:col>10</xdr:col>
      <xdr:colOff>76199</xdr:colOff>
      <xdr:row>36</xdr:row>
      <xdr:rowOff>129988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BF3E652-0437-E7CA-AA53-48717E2DEA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667872</xdr:colOff>
      <xdr:row>20</xdr:row>
      <xdr:rowOff>147917</xdr:rowOff>
    </xdr:from>
    <xdr:to>
      <xdr:col>16</xdr:col>
      <xdr:colOff>506507</xdr:colOff>
      <xdr:row>37</xdr:row>
      <xdr:rowOff>62752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BAFB32D-8257-6343-914A-0834ABDA6D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147918</xdr:colOff>
      <xdr:row>20</xdr:row>
      <xdr:rowOff>103094</xdr:rowOff>
    </xdr:from>
    <xdr:to>
      <xdr:col>23</xdr:col>
      <xdr:colOff>775447</xdr:colOff>
      <xdr:row>35</xdr:row>
      <xdr:rowOff>156882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FFA9AE6-76F8-21DF-6540-736E9CB3C9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08BE3-BB7E-414D-BF13-0A202476C00F}">
  <dimension ref="A3:R58"/>
  <sheetViews>
    <sheetView tabSelected="1" topLeftCell="A41" zoomScaleNormal="100" workbookViewId="0">
      <selection activeCell="S50" sqref="S50"/>
    </sheetView>
  </sheetViews>
  <sheetFormatPr baseColWidth="10" defaultRowHeight="14.4" x14ac:dyDescent="0.3"/>
  <cols>
    <col min="2" max="2" width="3.77734375" customWidth="1"/>
    <col min="3" max="3" width="4.88671875" customWidth="1"/>
    <col min="4" max="4" width="3.44140625" customWidth="1"/>
    <col min="5" max="5" width="4.6640625" customWidth="1"/>
    <col min="6" max="6" width="7.5546875" customWidth="1"/>
    <col min="7" max="7" width="6.21875" customWidth="1"/>
    <col min="8" max="8" width="7.6640625" customWidth="1"/>
    <col min="9" max="9" width="6.21875" customWidth="1"/>
    <col min="10" max="10" width="8" customWidth="1"/>
    <col min="11" max="11" width="6.21875" customWidth="1"/>
    <col min="12" max="12" width="7.6640625" customWidth="1"/>
    <col min="13" max="13" width="6.21875" customWidth="1"/>
    <col min="14" max="14" width="10.33203125" customWidth="1"/>
    <col min="15" max="15" width="6.21875" customWidth="1"/>
    <col min="16" max="16" width="7.6640625" customWidth="1"/>
    <col min="17" max="17" width="6.21875" customWidth="1"/>
  </cols>
  <sheetData>
    <row r="3" spans="2:17" ht="23.4" x14ac:dyDescent="0.45">
      <c r="B3" s="42" t="s">
        <v>0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</row>
    <row r="5" spans="2:17" x14ac:dyDescent="0.3">
      <c r="B5" s="43" t="s">
        <v>3</v>
      </c>
      <c r="C5" s="43" t="s">
        <v>1</v>
      </c>
      <c r="D5" s="43"/>
      <c r="E5" s="43"/>
      <c r="F5" s="43"/>
      <c r="G5" s="36" t="s">
        <v>49</v>
      </c>
      <c r="H5" s="37"/>
      <c r="I5" s="38"/>
      <c r="J5" s="43" t="s">
        <v>2</v>
      </c>
      <c r="K5" s="43"/>
      <c r="L5" s="43"/>
      <c r="M5" s="43"/>
      <c r="N5" s="36" t="s">
        <v>50</v>
      </c>
      <c r="O5" s="37"/>
      <c r="P5" s="37"/>
      <c r="Q5" s="38"/>
    </row>
    <row r="6" spans="2:17" x14ac:dyDescent="0.3">
      <c r="B6" s="43"/>
      <c r="C6" s="43"/>
      <c r="D6" s="43"/>
      <c r="E6" s="43"/>
      <c r="F6" s="43"/>
      <c r="G6" s="39"/>
      <c r="H6" s="40"/>
      <c r="I6" s="41"/>
      <c r="J6" s="43"/>
      <c r="K6" s="43"/>
      <c r="L6" s="43"/>
      <c r="M6" s="43"/>
      <c r="N6" s="39"/>
      <c r="O6" s="40"/>
      <c r="P6" s="40"/>
      <c r="Q6" s="41"/>
    </row>
    <row r="7" spans="2:17" ht="29.4" customHeight="1" x14ac:dyDescent="0.3">
      <c r="B7" s="43"/>
      <c r="C7" s="43"/>
      <c r="D7" s="43"/>
      <c r="E7" s="43"/>
      <c r="F7" s="43"/>
      <c r="G7" s="7" t="s">
        <v>51</v>
      </c>
      <c r="H7" s="7" t="s">
        <v>52</v>
      </c>
      <c r="I7" s="7" t="s">
        <v>53</v>
      </c>
      <c r="J7" s="8" t="s">
        <v>12</v>
      </c>
      <c r="K7" s="7" t="s">
        <v>51</v>
      </c>
      <c r="L7" s="7" t="s">
        <v>52</v>
      </c>
      <c r="M7" s="7" t="s">
        <v>53</v>
      </c>
      <c r="N7" s="9" t="s">
        <v>15</v>
      </c>
      <c r="O7" s="7" t="s">
        <v>51</v>
      </c>
      <c r="P7" s="7" t="s">
        <v>52</v>
      </c>
      <c r="Q7" s="7" t="s">
        <v>53</v>
      </c>
    </row>
    <row r="8" spans="2:17" ht="30" customHeight="1" x14ac:dyDescent="0.3">
      <c r="B8" s="1">
        <v>1</v>
      </c>
      <c r="C8" s="30" t="s">
        <v>4</v>
      </c>
      <c r="D8" s="30"/>
      <c r="E8" s="30"/>
      <c r="F8" s="30"/>
      <c r="G8" s="2">
        <v>57.29</v>
      </c>
      <c r="H8" s="2">
        <v>2.9</v>
      </c>
      <c r="I8" s="2">
        <v>57.21</v>
      </c>
      <c r="J8" s="2" t="s">
        <v>13</v>
      </c>
      <c r="K8" s="2">
        <v>21.19</v>
      </c>
      <c r="L8" s="2">
        <v>2.6</v>
      </c>
      <c r="M8" s="2">
        <v>57.73</v>
      </c>
      <c r="N8" s="2" t="s">
        <v>16</v>
      </c>
      <c r="O8" s="2">
        <v>24.24</v>
      </c>
      <c r="P8" s="2">
        <v>2.96</v>
      </c>
      <c r="Q8" s="2">
        <v>90.76</v>
      </c>
    </row>
    <row r="9" spans="2:17" ht="30" customHeight="1" x14ac:dyDescent="0.3">
      <c r="B9" s="31">
        <v>2</v>
      </c>
      <c r="C9" s="24" t="s">
        <v>5</v>
      </c>
      <c r="D9" s="25"/>
      <c r="E9" s="25"/>
      <c r="F9" s="26"/>
      <c r="G9" s="22">
        <v>79.849999999999994</v>
      </c>
      <c r="H9" s="22">
        <v>2.83</v>
      </c>
      <c r="I9" s="22">
        <v>60.16</v>
      </c>
      <c r="J9" s="2" t="s">
        <v>13</v>
      </c>
      <c r="K9" s="22">
        <v>28.21</v>
      </c>
      <c r="L9" s="22">
        <v>2.6</v>
      </c>
      <c r="M9" s="22">
        <v>78.760000000000005</v>
      </c>
      <c r="N9" s="4" t="s">
        <v>17</v>
      </c>
      <c r="O9" s="2">
        <v>21.52</v>
      </c>
      <c r="P9" s="2">
        <v>1.3</v>
      </c>
      <c r="Q9" s="2">
        <v>123.06</v>
      </c>
    </row>
    <row r="10" spans="2:17" ht="30" customHeight="1" x14ac:dyDescent="0.3">
      <c r="B10" s="32"/>
      <c r="C10" s="27"/>
      <c r="D10" s="28"/>
      <c r="E10" s="28"/>
      <c r="F10" s="29"/>
      <c r="G10" s="23"/>
      <c r="H10" s="23"/>
      <c r="I10" s="23"/>
      <c r="J10" s="2" t="s">
        <v>14</v>
      </c>
      <c r="K10" s="23"/>
      <c r="L10" s="23"/>
      <c r="M10" s="23"/>
      <c r="N10" s="2" t="s">
        <v>16</v>
      </c>
      <c r="O10" s="2">
        <v>29.21</v>
      </c>
      <c r="P10" s="2">
        <v>1.3</v>
      </c>
      <c r="Q10" s="2">
        <v>114.25</v>
      </c>
    </row>
    <row r="11" spans="2:17" ht="30" customHeight="1" x14ac:dyDescent="0.3">
      <c r="B11" s="31">
        <v>3</v>
      </c>
      <c r="C11" s="24" t="s">
        <v>6</v>
      </c>
      <c r="D11" s="25"/>
      <c r="E11" s="25"/>
      <c r="F11" s="26"/>
      <c r="G11" s="22">
        <v>79.02</v>
      </c>
      <c r="H11" s="22">
        <v>2.95</v>
      </c>
      <c r="I11" s="22">
        <v>49.72</v>
      </c>
      <c r="J11" s="2" t="s">
        <v>13</v>
      </c>
      <c r="K11" s="22">
        <v>18.36</v>
      </c>
      <c r="L11" s="22">
        <v>2.16</v>
      </c>
      <c r="M11" s="22">
        <v>89.41</v>
      </c>
      <c r="N11" s="4" t="s">
        <v>17</v>
      </c>
      <c r="O11" s="2">
        <v>23.01</v>
      </c>
      <c r="P11" s="2">
        <v>2.85</v>
      </c>
      <c r="Q11" s="2">
        <v>105.83</v>
      </c>
    </row>
    <row r="12" spans="2:17" ht="30" customHeight="1" x14ac:dyDescent="0.3">
      <c r="B12" s="32"/>
      <c r="C12" s="27"/>
      <c r="D12" s="28"/>
      <c r="E12" s="28"/>
      <c r="F12" s="29"/>
      <c r="G12" s="23"/>
      <c r="H12" s="23"/>
      <c r="I12" s="23"/>
      <c r="J12" s="2" t="s">
        <v>14</v>
      </c>
      <c r="K12" s="23"/>
      <c r="L12" s="23"/>
      <c r="M12" s="23"/>
      <c r="N12" s="2" t="s">
        <v>48</v>
      </c>
      <c r="O12" s="2" t="s">
        <v>48</v>
      </c>
      <c r="P12" s="2" t="s">
        <v>48</v>
      </c>
      <c r="Q12" s="2" t="s">
        <v>48</v>
      </c>
    </row>
    <row r="13" spans="2:17" ht="30" customHeight="1" x14ac:dyDescent="0.3">
      <c r="B13" s="31">
        <v>4</v>
      </c>
      <c r="C13" s="24" t="s">
        <v>7</v>
      </c>
      <c r="D13" s="25"/>
      <c r="E13" s="25"/>
      <c r="F13" s="26"/>
      <c r="G13" s="22">
        <v>74.790000000000006</v>
      </c>
      <c r="H13" s="22">
        <v>3.07</v>
      </c>
      <c r="I13" s="22">
        <v>74.260000000000005</v>
      </c>
      <c r="J13" s="2" t="s">
        <v>13</v>
      </c>
      <c r="K13" s="22">
        <v>19.07</v>
      </c>
      <c r="L13" s="22">
        <v>2.6</v>
      </c>
      <c r="M13" s="22">
        <v>89.41</v>
      </c>
      <c r="N13" s="4" t="s">
        <v>17</v>
      </c>
      <c r="O13" s="2">
        <v>17.54</v>
      </c>
      <c r="P13" s="2">
        <v>3.12</v>
      </c>
      <c r="Q13" s="2">
        <v>134.57</v>
      </c>
    </row>
    <row r="14" spans="2:17" ht="30" customHeight="1" x14ac:dyDescent="0.3">
      <c r="B14" s="32"/>
      <c r="C14" s="27"/>
      <c r="D14" s="28"/>
      <c r="E14" s="28"/>
      <c r="F14" s="29"/>
      <c r="G14" s="23"/>
      <c r="H14" s="23"/>
      <c r="I14" s="23"/>
      <c r="J14" s="2" t="s">
        <v>14</v>
      </c>
      <c r="K14" s="23"/>
      <c r="L14" s="23"/>
      <c r="M14" s="23"/>
      <c r="N14" s="2" t="s">
        <v>16</v>
      </c>
      <c r="O14" s="2">
        <v>20.94</v>
      </c>
      <c r="P14" s="2">
        <v>2.99</v>
      </c>
      <c r="Q14" s="2">
        <v>128.13</v>
      </c>
    </row>
    <row r="15" spans="2:17" ht="30" customHeight="1" x14ac:dyDescent="0.3">
      <c r="B15" s="31">
        <v>5</v>
      </c>
      <c r="C15" s="24" t="s">
        <v>8</v>
      </c>
      <c r="D15" s="25"/>
      <c r="E15" s="25"/>
      <c r="F15" s="26"/>
      <c r="G15" s="22">
        <v>70.989999999999995</v>
      </c>
      <c r="H15" s="22">
        <v>2.99</v>
      </c>
      <c r="I15" s="22">
        <v>87.54</v>
      </c>
      <c r="J15" s="2" t="s">
        <v>13</v>
      </c>
      <c r="K15" s="22">
        <v>27.82</v>
      </c>
      <c r="L15" s="22">
        <v>2.2000000000000002</v>
      </c>
      <c r="M15" s="22">
        <v>128.9</v>
      </c>
      <c r="N15" s="4" t="s">
        <v>17</v>
      </c>
      <c r="O15" s="2">
        <v>10.67</v>
      </c>
      <c r="P15" s="2">
        <v>2.88</v>
      </c>
      <c r="Q15" s="2">
        <v>137.38999999999999</v>
      </c>
    </row>
    <row r="16" spans="2:17" ht="30" customHeight="1" x14ac:dyDescent="0.3">
      <c r="B16" s="32"/>
      <c r="C16" s="27"/>
      <c r="D16" s="28"/>
      <c r="E16" s="28"/>
      <c r="F16" s="29"/>
      <c r="G16" s="23"/>
      <c r="H16" s="23"/>
      <c r="I16" s="23"/>
      <c r="J16" s="2" t="s">
        <v>14</v>
      </c>
      <c r="K16" s="23"/>
      <c r="L16" s="23"/>
      <c r="M16" s="23"/>
      <c r="N16" s="2" t="s">
        <v>16</v>
      </c>
      <c r="O16" s="2">
        <v>32.880000000000003</v>
      </c>
      <c r="P16" s="2">
        <v>2.58</v>
      </c>
      <c r="Q16" s="2">
        <v>126.08</v>
      </c>
    </row>
    <row r="17" spans="1:17" ht="30" customHeight="1" x14ac:dyDescent="0.3">
      <c r="B17" s="1">
        <v>6</v>
      </c>
      <c r="C17" s="30" t="s">
        <v>9</v>
      </c>
      <c r="D17" s="30"/>
      <c r="E17" s="30"/>
      <c r="F17" s="30"/>
      <c r="G17" s="2">
        <v>50.82</v>
      </c>
      <c r="H17" s="2">
        <v>2.85</v>
      </c>
      <c r="I17" s="2">
        <v>56.04</v>
      </c>
      <c r="J17" s="2" t="s">
        <v>14</v>
      </c>
      <c r="K17" s="2">
        <v>12.9</v>
      </c>
      <c r="L17" s="2">
        <v>2.2000000000000002</v>
      </c>
      <c r="M17" s="2">
        <v>147.01</v>
      </c>
      <c r="N17" s="4" t="s">
        <v>17</v>
      </c>
      <c r="O17" s="2">
        <v>26.11</v>
      </c>
      <c r="P17" s="2">
        <v>3.21</v>
      </c>
      <c r="Q17" s="2">
        <v>140.01</v>
      </c>
    </row>
    <row r="18" spans="1:17" ht="30" customHeight="1" x14ac:dyDescent="0.3">
      <c r="B18" s="31">
        <v>7</v>
      </c>
      <c r="C18" s="24" t="s">
        <v>10</v>
      </c>
      <c r="D18" s="25"/>
      <c r="E18" s="25"/>
      <c r="F18" s="26"/>
      <c r="G18" s="22">
        <v>75.900000000000006</v>
      </c>
      <c r="H18" s="22">
        <v>3.15</v>
      </c>
      <c r="I18" s="22">
        <v>30.99</v>
      </c>
      <c r="J18" s="2" t="s">
        <v>13</v>
      </c>
      <c r="K18" s="22">
        <v>22.96</v>
      </c>
      <c r="L18" s="22">
        <v>3</v>
      </c>
      <c r="M18" s="22">
        <v>145.04</v>
      </c>
      <c r="N18" s="2" t="s">
        <v>48</v>
      </c>
      <c r="O18" s="2" t="s">
        <v>48</v>
      </c>
      <c r="P18" s="2" t="s">
        <v>48</v>
      </c>
      <c r="Q18" s="2" t="s">
        <v>48</v>
      </c>
    </row>
    <row r="19" spans="1:17" ht="30" customHeight="1" x14ac:dyDescent="0.3">
      <c r="B19" s="32"/>
      <c r="C19" s="27"/>
      <c r="D19" s="28"/>
      <c r="E19" s="28"/>
      <c r="F19" s="29"/>
      <c r="G19" s="23"/>
      <c r="H19" s="23"/>
      <c r="I19" s="23"/>
      <c r="J19" s="2" t="s">
        <v>14</v>
      </c>
      <c r="K19" s="23"/>
      <c r="L19" s="23"/>
      <c r="M19" s="23"/>
      <c r="N19" s="2" t="s">
        <v>16</v>
      </c>
      <c r="O19" s="2">
        <v>27.74</v>
      </c>
      <c r="P19" s="2">
        <v>3.1</v>
      </c>
      <c r="Q19" s="2">
        <v>78.819999999999993</v>
      </c>
    </row>
    <row r="20" spans="1:17" ht="30" customHeight="1" x14ac:dyDescent="0.3">
      <c r="B20" s="31">
        <v>8</v>
      </c>
      <c r="C20" s="30" t="s">
        <v>11</v>
      </c>
      <c r="D20" s="30"/>
      <c r="E20" s="30"/>
      <c r="F20" s="4" t="s">
        <v>18</v>
      </c>
      <c r="G20" s="3">
        <v>48.26</v>
      </c>
      <c r="H20" s="3">
        <v>2.8</v>
      </c>
      <c r="I20" s="3">
        <v>55.13</v>
      </c>
      <c r="J20" s="2" t="s">
        <v>13</v>
      </c>
      <c r="K20" s="3">
        <v>10.89</v>
      </c>
      <c r="L20" s="3">
        <v>2</v>
      </c>
      <c r="M20" s="3">
        <v>131.88</v>
      </c>
      <c r="N20" s="4" t="s">
        <v>17</v>
      </c>
      <c r="O20" s="2">
        <v>13.93</v>
      </c>
      <c r="P20" s="2">
        <v>2.08</v>
      </c>
      <c r="Q20" s="2">
        <v>72.23</v>
      </c>
    </row>
    <row r="21" spans="1:17" ht="30" customHeight="1" x14ac:dyDescent="0.3">
      <c r="B21" s="32"/>
      <c r="C21" s="30"/>
      <c r="D21" s="30"/>
      <c r="E21" s="30"/>
      <c r="F21" s="2" t="s">
        <v>19</v>
      </c>
      <c r="G21" s="2">
        <v>40.4</v>
      </c>
      <c r="H21" s="2">
        <v>2.84</v>
      </c>
      <c r="I21" s="2">
        <v>56.36</v>
      </c>
      <c r="J21" s="2" t="s">
        <v>14</v>
      </c>
      <c r="K21" s="2">
        <v>21.35</v>
      </c>
      <c r="L21" s="2">
        <v>2</v>
      </c>
      <c r="M21" s="2">
        <v>144.03</v>
      </c>
      <c r="N21" s="2" t="s">
        <v>16</v>
      </c>
      <c r="O21" s="2">
        <v>14.29</v>
      </c>
      <c r="P21" s="2">
        <v>3.03</v>
      </c>
      <c r="Q21" s="2">
        <v>92.04</v>
      </c>
    </row>
    <row r="22" spans="1:17" ht="30" customHeight="1" x14ac:dyDescent="0.3">
      <c r="B22" s="31">
        <v>9</v>
      </c>
      <c r="C22" s="24" t="s">
        <v>20</v>
      </c>
      <c r="D22" s="25"/>
      <c r="E22" s="25"/>
      <c r="F22" s="26"/>
      <c r="G22" s="22">
        <v>45.41</v>
      </c>
      <c r="H22" s="22">
        <v>2.81</v>
      </c>
      <c r="I22" s="22">
        <v>61.24</v>
      </c>
      <c r="J22" s="2" t="s">
        <v>13</v>
      </c>
      <c r="K22" s="2">
        <v>27.12</v>
      </c>
      <c r="L22" s="2">
        <v>2.8</v>
      </c>
      <c r="M22" s="2">
        <v>79.56</v>
      </c>
      <c r="N22" s="4" t="s">
        <v>17</v>
      </c>
      <c r="O22" s="2">
        <v>28.06</v>
      </c>
      <c r="P22" s="2">
        <v>2.93</v>
      </c>
      <c r="Q22" s="2">
        <v>79.06</v>
      </c>
    </row>
    <row r="23" spans="1:17" ht="30" customHeight="1" x14ac:dyDescent="0.3">
      <c r="B23" s="32"/>
      <c r="C23" s="27"/>
      <c r="D23" s="28"/>
      <c r="E23" s="28"/>
      <c r="F23" s="29"/>
      <c r="G23" s="23"/>
      <c r="H23" s="23"/>
      <c r="I23" s="23"/>
      <c r="J23" s="2" t="s">
        <v>14</v>
      </c>
      <c r="K23" s="2">
        <v>22.21</v>
      </c>
      <c r="L23" s="2">
        <v>2.81</v>
      </c>
      <c r="M23" s="2">
        <v>84.46</v>
      </c>
      <c r="N23" s="2" t="s">
        <v>48</v>
      </c>
      <c r="O23" s="2" t="s">
        <v>48</v>
      </c>
      <c r="P23" s="2" t="s">
        <v>48</v>
      </c>
      <c r="Q23" s="2" t="s">
        <v>48</v>
      </c>
    </row>
    <row r="24" spans="1:17" ht="30" customHeight="1" x14ac:dyDescent="0.3">
      <c r="A24" s="5" t="s">
        <v>22</v>
      </c>
      <c r="B24" s="31">
        <v>10</v>
      </c>
      <c r="C24" s="30" t="s">
        <v>21</v>
      </c>
      <c r="D24" s="30"/>
      <c r="E24" s="30"/>
      <c r="F24" s="4" t="s">
        <v>18</v>
      </c>
      <c r="G24" s="3">
        <v>21.64</v>
      </c>
      <c r="H24" s="3">
        <v>2.92</v>
      </c>
      <c r="I24" s="3">
        <v>63.11</v>
      </c>
      <c r="J24" s="2" t="s">
        <v>13</v>
      </c>
      <c r="K24" s="2">
        <v>25.48</v>
      </c>
      <c r="L24" s="2">
        <v>2.89</v>
      </c>
      <c r="M24" s="2">
        <v>59.3</v>
      </c>
      <c r="N24" s="2" t="s">
        <v>16</v>
      </c>
      <c r="O24" s="2">
        <v>27.36</v>
      </c>
      <c r="P24" s="2">
        <v>2.89</v>
      </c>
      <c r="Q24" s="2">
        <v>58.66</v>
      </c>
    </row>
    <row r="25" spans="1:17" ht="30" customHeight="1" x14ac:dyDescent="0.3">
      <c r="B25" s="32"/>
      <c r="C25" s="30"/>
      <c r="D25" s="30"/>
      <c r="E25" s="30"/>
      <c r="F25" s="2" t="s">
        <v>19</v>
      </c>
      <c r="G25" s="2">
        <v>54.07</v>
      </c>
      <c r="H25" s="2">
        <v>3.02</v>
      </c>
      <c r="I25" s="2">
        <v>30.6</v>
      </c>
      <c r="J25" s="2" t="s">
        <v>48</v>
      </c>
      <c r="K25" s="2" t="s">
        <v>48</v>
      </c>
      <c r="L25" s="2" t="s">
        <v>48</v>
      </c>
      <c r="M25" s="2" t="s">
        <v>48</v>
      </c>
      <c r="N25" s="2" t="s">
        <v>48</v>
      </c>
      <c r="O25" s="2" t="s">
        <v>48</v>
      </c>
      <c r="P25" s="2" t="s">
        <v>48</v>
      </c>
      <c r="Q25" s="2" t="s">
        <v>48</v>
      </c>
    </row>
    <row r="26" spans="1:17" ht="30" customHeight="1" x14ac:dyDescent="0.3">
      <c r="B26" s="1">
        <v>11</v>
      </c>
      <c r="C26" s="30" t="s">
        <v>23</v>
      </c>
      <c r="D26" s="30"/>
      <c r="E26" s="30"/>
      <c r="F26" s="30"/>
      <c r="G26" s="2">
        <v>50.77</v>
      </c>
      <c r="H26" s="2">
        <v>2.66</v>
      </c>
      <c r="I26" s="2">
        <v>37.19</v>
      </c>
      <c r="J26" s="2" t="s">
        <v>48</v>
      </c>
      <c r="K26" s="2" t="s">
        <v>48</v>
      </c>
      <c r="L26" s="2" t="s">
        <v>48</v>
      </c>
      <c r="M26" s="2" t="s">
        <v>48</v>
      </c>
      <c r="N26" s="2" t="s">
        <v>16</v>
      </c>
      <c r="O26" s="2">
        <v>29.89</v>
      </c>
      <c r="P26" s="2">
        <v>3.1</v>
      </c>
      <c r="Q26" s="2">
        <v>58.07</v>
      </c>
    </row>
    <row r="27" spans="1:17" ht="30" customHeight="1" x14ac:dyDescent="0.3">
      <c r="B27" s="1">
        <v>12</v>
      </c>
      <c r="C27" s="30" t="s">
        <v>24</v>
      </c>
      <c r="D27" s="30"/>
      <c r="E27" s="30"/>
      <c r="F27" s="30"/>
      <c r="G27" s="2">
        <v>52.15</v>
      </c>
      <c r="H27" s="2">
        <v>2.98</v>
      </c>
      <c r="I27" s="2">
        <v>34.78</v>
      </c>
      <c r="J27" s="2" t="s">
        <v>48</v>
      </c>
      <c r="K27" s="2" t="s">
        <v>48</v>
      </c>
      <c r="L27" s="2" t="s">
        <v>48</v>
      </c>
      <c r="M27" s="2" t="s">
        <v>48</v>
      </c>
      <c r="N27" s="4" t="s">
        <v>17</v>
      </c>
      <c r="O27" s="2">
        <v>30.95</v>
      </c>
      <c r="P27" s="2">
        <v>2.91</v>
      </c>
      <c r="Q27" s="2">
        <v>56.03</v>
      </c>
    </row>
    <row r="28" spans="1:17" ht="30" customHeight="1" x14ac:dyDescent="0.3">
      <c r="B28" s="1">
        <v>13</v>
      </c>
      <c r="C28" s="33" t="s">
        <v>25</v>
      </c>
      <c r="D28" s="34"/>
      <c r="E28" s="35"/>
      <c r="F28" s="10" t="s">
        <v>26</v>
      </c>
      <c r="G28" s="2">
        <v>47.02</v>
      </c>
      <c r="H28" s="2">
        <v>2.84</v>
      </c>
      <c r="I28" s="2">
        <v>42.47</v>
      </c>
      <c r="J28" s="2" t="s">
        <v>48</v>
      </c>
      <c r="K28" s="2" t="s">
        <v>48</v>
      </c>
      <c r="L28" s="2" t="s">
        <v>48</v>
      </c>
      <c r="M28" s="2" t="s">
        <v>48</v>
      </c>
      <c r="N28" s="2" t="s">
        <v>48</v>
      </c>
      <c r="O28" s="2" t="s">
        <v>48</v>
      </c>
      <c r="P28" s="2" t="s">
        <v>48</v>
      </c>
      <c r="Q28" s="2" t="s">
        <v>48</v>
      </c>
    </row>
    <row r="29" spans="1:17" ht="30" customHeight="1" x14ac:dyDescent="0.3">
      <c r="B29" s="1">
        <v>13</v>
      </c>
      <c r="C29" s="33" t="s">
        <v>25</v>
      </c>
      <c r="D29" s="34"/>
      <c r="E29" s="35"/>
      <c r="F29" s="6" t="s">
        <v>28</v>
      </c>
      <c r="G29" s="2">
        <v>20</v>
      </c>
      <c r="H29" s="2">
        <v>2.2400000000000002</v>
      </c>
      <c r="I29" s="2">
        <v>124</v>
      </c>
      <c r="J29" s="2" t="s">
        <v>48</v>
      </c>
      <c r="K29" s="2" t="s">
        <v>48</v>
      </c>
      <c r="L29" s="2" t="s">
        <v>48</v>
      </c>
      <c r="M29" s="2" t="s">
        <v>48</v>
      </c>
      <c r="N29" s="2" t="s">
        <v>48</v>
      </c>
      <c r="O29" s="2" t="s">
        <v>48</v>
      </c>
      <c r="P29" s="2" t="s">
        <v>48</v>
      </c>
      <c r="Q29" s="2" t="s">
        <v>48</v>
      </c>
    </row>
    <row r="30" spans="1:17" ht="30" customHeight="1" x14ac:dyDescent="0.3">
      <c r="B30" s="1">
        <v>13</v>
      </c>
      <c r="C30" s="33" t="s">
        <v>25</v>
      </c>
      <c r="D30" s="34"/>
      <c r="E30" s="35"/>
      <c r="F30" s="6" t="s">
        <v>27</v>
      </c>
      <c r="G30" s="2">
        <v>48.5</v>
      </c>
      <c r="H30" s="2">
        <v>3.16</v>
      </c>
      <c r="I30" s="2">
        <v>37.5</v>
      </c>
      <c r="J30" s="2" t="s">
        <v>48</v>
      </c>
      <c r="K30" s="2" t="s">
        <v>48</v>
      </c>
      <c r="L30" s="2" t="s">
        <v>48</v>
      </c>
      <c r="M30" s="2" t="s">
        <v>48</v>
      </c>
      <c r="N30" s="2" t="s">
        <v>48</v>
      </c>
      <c r="O30" s="2" t="s">
        <v>48</v>
      </c>
      <c r="P30" s="2" t="s">
        <v>48</v>
      </c>
      <c r="Q30" s="2" t="s">
        <v>48</v>
      </c>
    </row>
    <row r="31" spans="1:17" ht="30" customHeight="1" x14ac:dyDescent="0.3">
      <c r="B31" s="1">
        <v>13</v>
      </c>
      <c r="C31" s="33" t="s">
        <v>25</v>
      </c>
      <c r="D31" s="34"/>
      <c r="E31" s="35"/>
      <c r="F31" s="6" t="s">
        <v>29</v>
      </c>
      <c r="G31" s="2">
        <v>30.88</v>
      </c>
      <c r="H31" s="2">
        <v>3.1</v>
      </c>
      <c r="I31" s="2">
        <v>56.16</v>
      </c>
      <c r="J31" s="2" t="s">
        <v>48</v>
      </c>
      <c r="K31" s="2" t="s">
        <v>48</v>
      </c>
      <c r="L31" s="2" t="s">
        <v>48</v>
      </c>
      <c r="M31" s="2" t="s">
        <v>48</v>
      </c>
      <c r="N31" s="2" t="s">
        <v>48</v>
      </c>
      <c r="O31" s="2" t="s">
        <v>48</v>
      </c>
      <c r="P31" s="2" t="s">
        <v>48</v>
      </c>
      <c r="Q31" s="2" t="s">
        <v>48</v>
      </c>
    </row>
    <row r="32" spans="1:17" ht="30" customHeight="1" x14ac:dyDescent="0.3">
      <c r="B32" s="1">
        <v>13</v>
      </c>
      <c r="C32" s="33" t="s">
        <v>25</v>
      </c>
      <c r="D32" s="34"/>
      <c r="E32" s="35"/>
      <c r="F32" s="6" t="s">
        <v>30</v>
      </c>
      <c r="G32" s="2">
        <v>23.94</v>
      </c>
      <c r="H32" s="2">
        <v>3.23</v>
      </c>
      <c r="I32" s="2">
        <v>64.38</v>
      </c>
      <c r="J32" s="2" t="s">
        <v>14</v>
      </c>
      <c r="K32" s="2">
        <v>58.3</v>
      </c>
      <c r="L32" s="2">
        <v>2.4900000000000002</v>
      </c>
      <c r="M32" s="2">
        <v>30.76</v>
      </c>
      <c r="N32" s="2" t="s">
        <v>48</v>
      </c>
      <c r="O32" s="2" t="s">
        <v>48</v>
      </c>
      <c r="P32" s="2" t="s">
        <v>48</v>
      </c>
      <c r="Q32" s="2" t="s">
        <v>48</v>
      </c>
    </row>
    <row r="33" spans="2:18" ht="30" customHeight="1" x14ac:dyDescent="0.3">
      <c r="B33" s="1">
        <v>13</v>
      </c>
      <c r="C33" s="33" t="s">
        <v>25</v>
      </c>
      <c r="D33" s="34"/>
      <c r="E33" s="35"/>
      <c r="F33" s="6" t="s">
        <v>32</v>
      </c>
      <c r="G33" s="2">
        <v>17.760000000000002</v>
      </c>
      <c r="H33" s="2">
        <v>2.84</v>
      </c>
      <c r="I33" s="2">
        <v>69.12</v>
      </c>
      <c r="J33" s="2" t="s">
        <v>48</v>
      </c>
      <c r="K33" s="2" t="s">
        <v>48</v>
      </c>
      <c r="L33" s="2" t="s">
        <v>48</v>
      </c>
      <c r="M33" s="2" t="s">
        <v>48</v>
      </c>
      <c r="N33" s="2" t="s">
        <v>48</v>
      </c>
      <c r="O33" s="2" t="s">
        <v>48</v>
      </c>
      <c r="P33" s="2" t="s">
        <v>48</v>
      </c>
      <c r="Q33" s="2" t="s">
        <v>48</v>
      </c>
    </row>
    <row r="34" spans="2:18" ht="30" customHeight="1" x14ac:dyDescent="0.3">
      <c r="B34" s="1">
        <v>13</v>
      </c>
      <c r="C34" s="33" t="s">
        <v>25</v>
      </c>
      <c r="D34" s="34"/>
      <c r="E34" s="35"/>
      <c r="F34" s="11" t="s">
        <v>34</v>
      </c>
      <c r="G34" s="2">
        <v>27.45</v>
      </c>
      <c r="H34" s="2">
        <v>2.91</v>
      </c>
      <c r="I34" s="2">
        <v>59.46</v>
      </c>
      <c r="J34" s="2" t="s">
        <v>48</v>
      </c>
      <c r="K34" s="2" t="s">
        <v>48</v>
      </c>
      <c r="L34" s="2" t="s">
        <v>48</v>
      </c>
      <c r="M34" s="2" t="s">
        <v>48</v>
      </c>
      <c r="N34" s="2" t="s">
        <v>48</v>
      </c>
      <c r="O34" s="2" t="s">
        <v>48</v>
      </c>
      <c r="P34" s="2" t="s">
        <v>48</v>
      </c>
      <c r="Q34" s="2" t="s">
        <v>48</v>
      </c>
    </row>
    <row r="35" spans="2:18" ht="30" customHeight="1" x14ac:dyDescent="0.3">
      <c r="B35" s="1">
        <v>13</v>
      </c>
      <c r="C35" s="33" t="s">
        <v>25</v>
      </c>
      <c r="D35" s="34"/>
      <c r="E35" s="35"/>
      <c r="F35" s="6" t="s">
        <v>31</v>
      </c>
      <c r="G35" s="2">
        <v>38.409999999999997</v>
      </c>
      <c r="H35" s="2">
        <v>2.73</v>
      </c>
      <c r="I35" s="2">
        <v>48.9</v>
      </c>
      <c r="J35" s="2" t="s">
        <v>48</v>
      </c>
      <c r="K35" s="2" t="s">
        <v>48</v>
      </c>
      <c r="L35" s="2" t="s">
        <v>48</v>
      </c>
      <c r="M35" s="2" t="s">
        <v>48</v>
      </c>
      <c r="N35" s="2" t="s">
        <v>48</v>
      </c>
      <c r="O35" s="2" t="s">
        <v>48</v>
      </c>
      <c r="P35" s="2" t="s">
        <v>48</v>
      </c>
      <c r="Q35" s="2" t="s">
        <v>48</v>
      </c>
    </row>
    <row r="36" spans="2:18" ht="30" customHeight="1" x14ac:dyDescent="0.3">
      <c r="B36" s="1">
        <v>13</v>
      </c>
      <c r="C36" s="33" t="s">
        <v>25</v>
      </c>
      <c r="D36" s="34"/>
      <c r="E36" s="35"/>
      <c r="F36" s="6" t="s">
        <v>33</v>
      </c>
      <c r="G36" s="2">
        <v>43.05</v>
      </c>
      <c r="H36" s="2">
        <v>2.96</v>
      </c>
      <c r="I36" s="2">
        <v>44</v>
      </c>
      <c r="J36" s="2" t="s">
        <v>13</v>
      </c>
      <c r="K36" s="2">
        <v>29.75</v>
      </c>
      <c r="L36" s="2">
        <v>2.8</v>
      </c>
      <c r="M36" s="2">
        <v>58.05</v>
      </c>
      <c r="N36" s="2" t="s">
        <v>48</v>
      </c>
      <c r="O36" s="2" t="s">
        <v>48</v>
      </c>
      <c r="P36" s="2" t="s">
        <v>48</v>
      </c>
      <c r="Q36" s="2" t="s">
        <v>48</v>
      </c>
    </row>
    <row r="37" spans="2:18" ht="30" customHeight="1" x14ac:dyDescent="0.3">
      <c r="B37" s="1">
        <v>13</v>
      </c>
      <c r="C37" s="33" t="s">
        <v>25</v>
      </c>
      <c r="D37" s="34"/>
      <c r="E37" s="35"/>
      <c r="F37" s="11" t="s">
        <v>54</v>
      </c>
      <c r="G37" s="2">
        <v>28.08</v>
      </c>
      <c r="H37" s="2">
        <v>2.8</v>
      </c>
      <c r="I37" s="2">
        <v>58.95</v>
      </c>
      <c r="J37" s="2" t="s">
        <v>48</v>
      </c>
      <c r="K37" s="2" t="s">
        <v>48</v>
      </c>
      <c r="L37" s="2" t="s">
        <v>48</v>
      </c>
      <c r="M37" s="2" t="s">
        <v>48</v>
      </c>
      <c r="N37" s="2" t="s">
        <v>48</v>
      </c>
      <c r="O37" s="2" t="s">
        <v>48</v>
      </c>
      <c r="P37" s="2" t="s">
        <v>48</v>
      </c>
      <c r="Q37" s="2" t="s">
        <v>48</v>
      </c>
    </row>
    <row r="38" spans="2:18" ht="30" customHeight="1" x14ac:dyDescent="0.3">
      <c r="B38" s="1">
        <v>14</v>
      </c>
      <c r="C38" s="30" t="s">
        <v>39</v>
      </c>
      <c r="D38" s="30"/>
      <c r="E38" s="30"/>
      <c r="F38" s="30"/>
      <c r="G38" s="2">
        <v>40.79</v>
      </c>
      <c r="H38" s="2">
        <v>2.87</v>
      </c>
      <c r="I38" s="2">
        <v>48.09</v>
      </c>
      <c r="J38" s="2" t="s">
        <v>48</v>
      </c>
      <c r="K38" s="2" t="s">
        <v>48</v>
      </c>
      <c r="L38" s="2" t="s">
        <v>48</v>
      </c>
      <c r="M38" s="2" t="s">
        <v>48</v>
      </c>
      <c r="N38" s="2" t="s">
        <v>18</v>
      </c>
      <c r="O38" s="2">
        <v>48.09</v>
      </c>
      <c r="P38" s="2">
        <v>2.89</v>
      </c>
      <c r="Q38" s="2">
        <v>55.15</v>
      </c>
    </row>
    <row r="39" spans="2:18" ht="30" customHeight="1" x14ac:dyDescent="0.3">
      <c r="B39" s="31">
        <v>15</v>
      </c>
      <c r="C39" s="24" t="s">
        <v>35</v>
      </c>
      <c r="D39" s="25"/>
      <c r="E39" s="25"/>
      <c r="F39" s="26"/>
      <c r="G39" s="22">
        <v>27.49</v>
      </c>
      <c r="H39" s="22">
        <v>2.89</v>
      </c>
      <c r="I39" s="22">
        <v>74.13</v>
      </c>
      <c r="J39" s="2" t="s">
        <v>48</v>
      </c>
      <c r="K39" s="2" t="s">
        <v>48</v>
      </c>
      <c r="L39" s="2" t="s">
        <v>48</v>
      </c>
      <c r="M39" s="2" t="s">
        <v>48</v>
      </c>
      <c r="N39" s="2" t="s">
        <v>18</v>
      </c>
      <c r="O39" s="2">
        <v>34.840000000000003</v>
      </c>
      <c r="P39" s="2">
        <v>2.89</v>
      </c>
      <c r="Q39" s="2">
        <v>60</v>
      </c>
    </row>
    <row r="40" spans="2:18" ht="30" customHeight="1" x14ac:dyDescent="0.3">
      <c r="B40" s="32"/>
      <c r="C40" s="27"/>
      <c r="D40" s="28"/>
      <c r="E40" s="28"/>
      <c r="F40" s="29"/>
      <c r="G40" s="23"/>
      <c r="H40" s="23"/>
      <c r="I40" s="23"/>
      <c r="J40" s="2" t="s">
        <v>48</v>
      </c>
      <c r="K40" s="2" t="s">
        <v>48</v>
      </c>
      <c r="L40" s="2" t="s">
        <v>48</v>
      </c>
      <c r="M40" s="2" t="s">
        <v>48</v>
      </c>
      <c r="N40" s="2" t="s">
        <v>19</v>
      </c>
      <c r="O40" s="2">
        <v>24.24</v>
      </c>
      <c r="P40" s="2">
        <v>2.88</v>
      </c>
      <c r="Q40" s="2">
        <v>76</v>
      </c>
    </row>
    <row r="41" spans="2:18" ht="30" customHeight="1" x14ac:dyDescent="0.3">
      <c r="B41" s="1">
        <v>16</v>
      </c>
      <c r="C41" s="30" t="s">
        <v>36</v>
      </c>
      <c r="D41" s="30"/>
      <c r="E41" s="30"/>
      <c r="F41" s="30"/>
      <c r="G41" s="2">
        <v>56.68</v>
      </c>
      <c r="H41" s="2">
        <v>2.71</v>
      </c>
      <c r="I41" s="2">
        <v>50.65</v>
      </c>
      <c r="J41" s="2" t="s">
        <v>48</v>
      </c>
      <c r="K41" s="2" t="s">
        <v>48</v>
      </c>
      <c r="L41" s="2" t="s">
        <v>48</v>
      </c>
      <c r="M41" s="2" t="s">
        <v>48</v>
      </c>
      <c r="N41" s="2" t="s">
        <v>18</v>
      </c>
      <c r="O41" s="2">
        <v>47.94</v>
      </c>
      <c r="P41" s="2">
        <v>2.71</v>
      </c>
      <c r="Q41" s="2">
        <v>59.39</v>
      </c>
    </row>
    <row r="42" spans="2:18" ht="30" customHeight="1" x14ac:dyDescent="0.3">
      <c r="B42" s="1">
        <v>17</v>
      </c>
      <c r="C42" s="30" t="s">
        <v>37</v>
      </c>
      <c r="D42" s="30"/>
      <c r="E42" s="30"/>
      <c r="F42" s="30"/>
      <c r="G42" s="2">
        <v>55.37</v>
      </c>
      <c r="H42" s="2">
        <v>2.57</v>
      </c>
      <c r="I42" s="2">
        <v>42.11</v>
      </c>
      <c r="J42" s="2" t="s">
        <v>48</v>
      </c>
      <c r="K42" s="2" t="s">
        <v>48</v>
      </c>
      <c r="L42" s="2" t="s">
        <v>48</v>
      </c>
      <c r="M42" s="2" t="s">
        <v>48</v>
      </c>
      <c r="N42" s="2" t="s">
        <v>19</v>
      </c>
      <c r="O42" s="2">
        <v>39.85</v>
      </c>
      <c r="P42" s="2">
        <v>2.57</v>
      </c>
      <c r="Q42" s="2">
        <v>57.91</v>
      </c>
    </row>
    <row r="43" spans="2:18" ht="30" customHeight="1" x14ac:dyDescent="0.3">
      <c r="B43" s="1">
        <v>18</v>
      </c>
      <c r="C43" s="30" t="s">
        <v>40</v>
      </c>
      <c r="D43" s="30"/>
      <c r="E43" s="30"/>
      <c r="F43" s="30"/>
      <c r="G43" s="2">
        <v>59.07</v>
      </c>
      <c r="H43" s="2">
        <v>2.34</v>
      </c>
      <c r="I43" s="2">
        <v>38.07</v>
      </c>
      <c r="J43" s="2" t="s">
        <v>48</v>
      </c>
      <c r="K43" s="2" t="s">
        <v>48</v>
      </c>
      <c r="L43" s="2" t="s">
        <v>48</v>
      </c>
      <c r="M43" s="2" t="s">
        <v>48</v>
      </c>
      <c r="N43" s="2" t="s">
        <v>18</v>
      </c>
      <c r="O43" s="2">
        <v>35.07</v>
      </c>
      <c r="P43" s="2">
        <v>3</v>
      </c>
      <c r="Q43" s="2">
        <v>61.45</v>
      </c>
      <c r="R43" t="s">
        <v>22</v>
      </c>
    </row>
    <row r="44" spans="2:18" ht="30" customHeight="1" x14ac:dyDescent="0.3">
      <c r="B44" s="1">
        <v>19</v>
      </c>
      <c r="C44" s="30" t="s">
        <v>44</v>
      </c>
      <c r="D44" s="30"/>
      <c r="E44" s="30"/>
      <c r="F44" s="30"/>
      <c r="G44" s="2">
        <v>50.31</v>
      </c>
      <c r="H44" s="2">
        <v>2.15</v>
      </c>
      <c r="I44" s="2">
        <v>57.17</v>
      </c>
      <c r="J44" s="2" t="s">
        <v>48</v>
      </c>
      <c r="K44" s="2" t="s">
        <v>48</v>
      </c>
      <c r="L44" s="2" t="s">
        <v>48</v>
      </c>
      <c r="M44" s="2" t="s">
        <v>48</v>
      </c>
      <c r="N44" s="4" t="s">
        <v>41</v>
      </c>
      <c r="O44" s="2">
        <v>53.06</v>
      </c>
      <c r="P44" s="2">
        <v>2.99</v>
      </c>
      <c r="Q44" s="2">
        <v>52.46</v>
      </c>
    </row>
    <row r="45" spans="2:18" ht="30" customHeight="1" x14ac:dyDescent="0.3">
      <c r="B45" s="1">
        <v>20</v>
      </c>
      <c r="C45" s="33" t="s">
        <v>43</v>
      </c>
      <c r="D45" s="34"/>
      <c r="E45" s="34"/>
      <c r="F45" s="35"/>
      <c r="G45" s="2">
        <v>34.22</v>
      </c>
      <c r="H45" s="2">
        <v>1.64</v>
      </c>
      <c r="I45" s="2">
        <v>72.3</v>
      </c>
      <c r="J45" s="2" t="s">
        <v>48</v>
      </c>
      <c r="K45" s="2" t="s">
        <v>48</v>
      </c>
      <c r="L45" s="2" t="s">
        <v>48</v>
      </c>
      <c r="M45" s="2" t="s">
        <v>48</v>
      </c>
      <c r="N45" s="4" t="s">
        <v>42</v>
      </c>
      <c r="O45" s="2">
        <v>69.3</v>
      </c>
      <c r="P45" s="2">
        <v>3.06</v>
      </c>
      <c r="Q45" s="2">
        <v>35.86</v>
      </c>
      <c r="R45" t="s">
        <v>22</v>
      </c>
    </row>
    <row r="46" spans="2:18" ht="30" customHeight="1" x14ac:dyDescent="0.3">
      <c r="B46" s="31">
        <v>21</v>
      </c>
      <c r="C46" s="24" t="s">
        <v>38</v>
      </c>
      <c r="D46" s="25"/>
      <c r="E46" s="25"/>
      <c r="F46" s="26"/>
      <c r="G46" s="22">
        <v>59.95</v>
      </c>
      <c r="H46" s="22">
        <v>2.83</v>
      </c>
      <c r="I46" s="22">
        <v>80.2</v>
      </c>
      <c r="J46" s="2" t="s">
        <v>13</v>
      </c>
      <c r="K46" s="22">
        <v>28.17</v>
      </c>
      <c r="L46" s="22">
        <v>2.89</v>
      </c>
      <c r="M46" s="22">
        <v>118.04</v>
      </c>
      <c r="N46" s="2" t="s">
        <v>16</v>
      </c>
      <c r="O46" s="2">
        <v>22.83</v>
      </c>
      <c r="P46" s="2">
        <v>2.95</v>
      </c>
      <c r="Q46" s="2">
        <v>117.57</v>
      </c>
    </row>
    <row r="47" spans="2:18" ht="30" customHeight="1" x14ac:dyDescent="0.3">
      <c r="B47" s="32"/>
      <c r="C47" s="27"/>
      <c r="D47" s="28"/>
      <c r="E47" s="28"/>
      <c r="F47" s="29"/>
      <c r="G47" s="23"/>
      <c r="H47" s="23"/>
      <c r="I47" s="23"/>
      <c r="J47" s="2" t="s">
        <v>14</v>
      </c>
      <c r="K47" s="23"/>
      <c r="L47" s="23"/>
      <c r="M47" s="23"/>
      <c r="N47" s="4" t="s">
        <v>17</v>
      </c>
      <c r="O47" s="2">
        <v>22.33</v>
      </c>
      <c r="P47" s="2">
        <v>2.94</v>
      </c>
      <c r="Q47" s="2">
        <v>117.97</v>
      </c>
    </row>
    <row r="48" spans="2:18" ht="44.4" customHeight="1" x14ac:dyDescent="0.3">
      <c r="B48" s="1">
        <v>22</v>
      </c>
      <c r="C48" s="30" t="s">
        <v>45</v>
      </c>
      <c r="D48" s="30"/>
      <c r="E48" s="30"/>
      <c r="F48" s="30"/>
      <c r="G48" s="2">
        <v>59.62</v>
      </c>
      <c r="H48" s="2">
        <v>3.08</v>
      </c>
      <c r="I48" s="2">
        <v>80.44</v>
      </c>
      <c r="J48" s="2" t="s">
        <v>13</v>
      </c>
      <c r="K48" s="2">
        <v>18.11</v>
      </c>
      <c r="L48" s="2">
        <v>2.9</v>
      </c>
      <c r="M48" s="2">
        <v>120.59</v>
      </c>
      <c r="N48" s="2" t="s">
        <v>16</v>
      </c>
      <c r="O48" s="2">
        <v>21.59</v>
      </c>
      <c r="P48" s="2">
        <v>3.48</v>
      </c>
      <c r="Q48" s="2">
        <v>113.51</v>
      </c>
    </row>
    <row r="49" spans="2:18" ht="30" customHeight="1" x14ac:dyDescent="0.3">
      <c r="B49" s="1">
        <v>23</v>
      </c>
      <c r="C49" s="30" t="s">
        <v>46</v>
      </c>
      <c r="D49" s="30"/>
      <c r="E49" s="30"/>
      <c r="F49" s="30"/>
      <c r="G49" s="2">
        <v>23.7</v>
      </c>
      <c r="H49" s="2">
        <v>2.85</v>
      </c>
      <c r="I49" s="2">
        <v>78.540000000000006</v>
      </c>
      <c r="J49" s="2" t="s">
        <v>48</v>
      </c>
      <c r="K49" s="2" t="s">
        <v>48</v>
      </c>
      <c r="L49" s="2" t="s">
        <v>48</v>
      </c>
      <c r="M49" s="2" t="s">
        <v>48</v>
      </c>
      <c r="N49" s="4" t="s">
        <v>42</v>
      </c>
      <c r="O49" s="2">
        <v>75.69</v>
      </c>
      <c r="P49" s="2">
        <v>2.85</v>
      </c>
      <c r="Q49" s="2">
        <v>26.55</v>
      </c>
    </row>
    <row r="50" spans="2:18" ht="30" customHeight="1" x14ac:dyDescent="0.3">
      <c r="B50" s="1">
        <v>24</v>
      </c>
      <c r="C50" s="30" t="s">
        <v>47</v>
      </c>
      <c r="D50" s="30"/>
      <c r="E50" s="30"/>
      <c r="F50" s="30"/>
      <c r="G50" s="2">
        <v>53</v>
      </c>
      <c r="H50" s="2">
        <v>2.84</v>
      </c>
      <c r="I50" s="2">
        <v>54.7</v>
      </c>
      <c r="J50" s="2" t="s">
        <v>48</v>
      </c>
      <c r="K50" s="2" t="s">
        <v>48</v>
      </c>
      <c r="L50" s="2" t="s">
        <v>48</v>
      </c>
      <c r="M50" s="2" t="s">
        <v>48</v>
      </c>
      <c r="N50" s="2" t="s">
        <v>22</v>
      </c>
      <c r="O50" s="2" t="s">
        <v>22</v>
      </c>
      <c r="P50" s="2" t="s">
        <v>22</v>
      </c>
      <c r="Q50" s="2" t="s">
        <v>22</v>
      </c>
      <c r="R50" t="s">
        <v>22</v>
      </c>
    </row>
    <row r="51" spans="2:18" ht="42" customHeight="1" x14ac:dyDescent="0.3">
      <c r="G51">
        <f>AVERAGE(G8:G50)</f>
        <v>47.047142857142845</v>
      </c>
      <c r="H51">
        <f t="shared" ref="H51:Q51" si="0">AVERAGE(H8:H50)</f>
        <v>2.81</v>
      </c>
      <c r="I51">
        <f t="shared" si="0"/>
        <v>58.162000000000006</v>
      </c>
      <c r="K51">
        <f t="shared" si="0"/>
        <v>24.493125000000006</v>
      </c>
      <c r="L51">
        <f t="shared" si="0"/>
        <v>2.5587499999999999</v>
      </c>
      <c r="M51">
        <f t="shared" si="0"/>
        <v>97.68312499999999</v>
      </c>
      <c r="O51">
        <f t="shared" si="0"/>
        <v>31.184642857142858</v>
      </c>
      <c r="P51">
        <f t="shared" si="0"/>
        <v>2.801428571428572</v>
      </c>
      <c r="Q51">
        <f t="shared" si="0"/>
        <v>86.743214285714302</v>
      </c>
    </row>
    <row r="52" spans="2:18" ht="42" customHeight="1" x14ac:dyDescent="0.3"/>
    <row r="53" spans="2:18" ht="42" customHeight="1" x14ac:dyDescent="0.3"/>
    <row r="54" spans="2:18" ht="42" customHeight="1" x14ac:dyDescent="0.3"/>
    <row r="55" spans="2:18" ht="42" customHeight="1" x14ac:dyDescent="0.3"/>
    <row r="56" spans="2:18" ht="42" customHeight="1" x14ac:dyDescent="0.3"/>
    <row r="57" spans="2:18" ht="42" customHeight="1" x14ac:dyDescent="0.3"/>
    <row r="58" spans="2:18" ht="42" customHeight="1" x14ac:dyDescent="0.3"/>
  </sheetData>
  <mergeCells count="91">
    <mergeCell ref="C38:F38"/>
    <mergeCell ref="C41:F41"/>
    <mergeCell ref="B3:Q3"/>
    <mergeCell ref="C27:F27"/>
    <mergeCell ref="C28:E28"/>
    <mergeCell ref="C29:E29"/>
    <mergeCell ref="C30:E30"/>
    <mergeCell ref="C31:E31"/>
    <mergeCell ref="C17:F17"/>
    <mergeCell ref="C26:F26"/>
    <mergeCell ref="C8:F8"/>
    <mergeCell ref="C9:F10"/>
    <mergeCell ref="C5:F7"/>
    <mergeCell ref="B5:B7"/>
    <mergeCell ref="J5:M6"/>
    <mergeCell ref="G5:I6"/>
    <mergeCell ref="N5:Q6"/>
    <mergeCell ref="M9:M10"/>
    <mergeCell ref="B11:B12"/>
    <mergeCell ref="C11:F12"/>
    <mergeCell ref="G11:G12"/>
    <mergeCell ref="H11:H12"/>
    <mergeCell ref="I11:I12"/>
    <mergeCell ref="K11:K12"/>
    <mergeCell ref="L11:L12"/>
    <mergeCell ref="B9:B10"/>
    <mergeCell ref="G9:G10"/>
    <mergeCell ref="H9:H10"/>
    <mergeCell ref="I9:I10"/>
    <mergeCell ref="K9:K10"/>
    <mergeCell ref="L9:L10"/>
    <mergeCell ref="M11:M12"/>
    <mergeCell ref="B13:B14"/>
    <mergeCell ref="C13:F14"/>
    <mergeCell ref="G13:G14"/>
    <mergeCell ref="H13:H14"/>
    <mergeCell ref="I13:I14"/>
    <mergeCell ref="K13:K14"/>
    <mergeCell ref="L13:L14"/>
    <mergeCell ref="M13:M14"/>
    <mergeCell ref="L15:L16"/>
    <mergeCell ref="M15:M16"/>
    <mergeCell ref="K18:K19"/>
    <mergeCell ref="L18:L19"/>
    <mergeCell ref="M18:M19"/>
    <mergeCell ref="B15:B16"/>
    <mergeCell ref="C15:F16"/>
    <mergeCell ref="G15:G16"/>
    <mergeCell ref="H15:H16"/>
    <mergeCell ref="I15:I16"/>
    <mergeCell ref="K15:K16"/>
    <mergeCell ref="B18:B19"/>
    <mergeCell ref="C18:F19"/>
    <mergeCell ref="G18:G19"/>
    <mergeCell ref="H18:H19"/>
    <mergeCell ref="I18:I19"/>
    <mergeCell ref="B20:B21"/>
    <mergeCell ref="C20:E21"/>
    <mergeCell ref="B22:B23"/>
    <mergeCell ref="C22:F23"/>
    <mergeCell ref="G22:G23"/>
    <mergeCell ref="C37:E37"/>
    <mergeCell ref="H22:H23"/>
    <mergeCell ref="I22:I23"/>
    <mergeCell ref="B24:B25"/>
    <mergeCell ref="C24:E25"/>
    <mergeCell ref="C32:E32"/>
    <mergeCell ref="C33:E33"/>
    <mergeCell ref="C34:E34"/>
    <mergeCell ref="C35:E35"/>
    <mergeCell ref="C36:E36"/>
    <mergeCell ref="I39:I40"/>
    <mergeCell ref="H39:H40"/>
    <mergeCell ref="B46:B47"/>
    <mergeCell ref="G46:G47"/>
    <mergeCell ref="H46:H47"/>
    <mergeCell ref="I46:I47"/>
    <mergeCell ref="C42:F42"/>
    <mergeCell ref="C43:F43"/>
    <mergeCell ref="C44:F44"/>
    <mergeCell ref="C45:F45"/>
    <mergeCell ref="C50:F50"/>
    <mergeCell ref="C48:F48"/>
    <mergeCell ref="B39:B40"/>
    <mergeCell ref="C39:F40"/>
    <mergeCell ref="G39:G40"/>
    <mergeCell ref="K46:K47"/>
    <mergeCell ref="L46:L47"/>
    <mergeCell ref="M46:M47"/>
    <mergeCell ref="C46:F47"/>
    <mergeCell ref="C49:F4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A5772-0AAC-44D8-B1FB-3B25DC5BBA38}">
  <dimension ref="A2:N20"/>
  <sheetViews>
    <sheetView workbookViewId="0">
      <selection activeCell="P7" sqref="P7"/>
    </sheetView>
  </sheetViews>
  <sheetFormatPr baseColWidth="10" defaultRowHeight="14.4" x14ac:dyDescent="0.3"/>
  <sheetData>
    <row r="2" spans="1:14" ht="15" thickBot="1" x14ac:dyDescent="0.35">
      <c r="C2" s="20" t="s">
        <v>71</v>
      </c>
      <c r="D2" s="21" t="s">
        <v>72</v>
      </c>
      <c r="E2" s="21" t="s">
        <v>73</v>
      </c>
      <c r="F2" s="21" t="s">
        <v>74</v>
      </c>
      <c r="G2" s="21" t="s">
        <v>75</v>
      </c>
      <c r="H2" s="21" t="s">
        <v>76</v>
      </c>
      <c r="I2" s="21" t="s">
        <v>77</v>
      </c>
      <c r="J2" s="21" t="s">
        <v>78</v>
      </c>
      <c r="K2" s="21" t="s">
        <v>79</v>
      </c>
      <c r="L2" s="21" t="s">
        <v>80</v>
      </c>
      <c r="M2" s="21" t="s">
        <v>81</v>
      </c>
      <c r="N2" s="21" t="s">
        <v>55</v>
      </c>
    </row>
    <row r="3" spans="1:14" ht="15" thickBot="1" x14ac:dyDescent="0.35">
      <c r="A3" s="44" t="s">
        <v>82</v>
      </c>
      <c r="B3" s="19" t="s">
        <v>83</v>
      </c>
      <c r="C3" s="21">
        <v>89.1</v>
      </c>
      <c r="D3" s="21">
        <v>2.1</v>
      </c>
      <c r="E3" s="21">
        <v>1.9</v>
      </c>
      <c r="F3" s="21">
        <v>1.5</v>
      </c>
      <c r="G3" s="21">
        <v>0.7</v>
      </c>
      <c r="H3" s="21">
        <v>0.6</v>
      </c>
      <c r="I3" s="21">
        <v>0.8</v>
      </c>
      <c r="J3" s="21">
        <v>1.4</v>
      </c>
      <c r="K3" s="21">
        <v>1.4</v>
      </c>
      <c r="L3" s="21">
        <v>0.4</v>
      </c>
      <c r="M3" s="21">
        <v>0.1</v>
      </c>
      <c r="N3" s="21">
        <f t="shared" ref="N3:N18" si="0">SUM(C3:M3)</f>
        <v>100</v>
      </c>
    </row>
    <row r="4" spans="1:14" ht="15" thickBot="1" x14ac:dyDescent="0.35">
      <c r="A4" s="45"/>
      <c r="B4" s="19" t="s">
        <v>84</v>
      </c>
      <c r="C4" s="21">
        <v>89.3</v>
      </c>
      <c r="D4" s="21">
        <v>2.8</v>
      </c>
      <c r="E4" s="21">
        <v>1.7</v>
      </c>
      <c r="F4" s="21">
        <v>1.6</v>
      </c>
      <c r="G4" s="21">
        <v>0.8</v>
      </c>
      <c r="H4" s="21">
        <v>0.4</v>
      </c>
      <c r="I4" s="21">
        <v>1.1000000000000001</v>
      </c>
      <c r="J4" s="21">
        <v>1.3</v>
      </c>
      <c r="K4" s="21">
        <v>0.5</v>
      </c>
      <c r="L4" s="21">
        <v>0.4</v>
      </c>
      <c r="M4" s="21">
        <v>0.1</v>
      </c>
      <c r="N4" s="21">
        <f t="shared" si="0"/>
        <v>99.999999999999986</v>
      </c>
    </row>
    <row r="5" spans="1:14" ht="54" customHeight="1" thickBot="1" x14ac:dyDescent="0.35">
      <c r="A5" s="44" t="s">
        <v>85</v>
      </c>
      <c r="B5" s="19" t="s">
        <v>83</v>
      </c>
      <c r="C5" s="21">
        <v>89.3</v>
      </c>
      <c r="D5" s="21">
        <v>2.1</v>
      </c>
      <c r="E5" s="21">
        <v>3.5</v>
      </c>
      <c r="F5" s="21">
        <v>1.2</v>
      </c>
      <c r="G5" s="21">
        <v>0.2</v>
      </c>
      <c r="H5" s="21">
        <v>0.1</v>
      </c>
      <c r="I5" s="21">
        <v>1.1000000000000001</v>
      </c>
      <c r="J5" s="21">
        <v>1.4</v>
      </c>
      <c r="K5" s="21">
        <v>0.5</v>
      </c>
      <c r="L5" s="21">
        <v>0.5</v>
      </c>
      <c r="M5" s="21">
        <v>0.1</v>
      </c>
      <c r="N5" s="21">
        <f t="shared" si="0"/>
        <v>99.999999999999986</v>
      </c>
    </row>
    <row r="6" spans="1:14" ht="15" thickBot="1" x14ac:dyDescent="0.35">
      <c r="A6" s="45"/>
      <c r="B6" s="19" t="s">
        <v>84</v>
      </c>
      <c r="C6" s="21">
        <v>91.5</v>
      </c>
      <c r="D6" s="21">
        <v>2.2000000000000002</v>
      </c>
      <c r="E6" s="21">
        <v>2.9</v>
      </c>
      <c r="F6" s="21">
        <v>0.7</v>
      </c>
      <c r="G6" s="21">
        <v>0.2</v>
      </c>
      <c r="H6" s="21">
        <v>0.1</v>
      </c>
      <c r="I6" s="21">
        <v>0.7</v>
      </c>
      <c r="J6" s="21">
        <v>1.1000000000000001</v>
      </c>
      <c r="K6" s="21">
        <v>0.2</v>
      </c>
      <c r="L6" s="21">
        <v>0.3</v>
      </c>
      <c r="M6" s="21">
        <v>0.1</v>
      </c>
      <c r="N6" s="21">
        <f t="shared" si="0"/>
        <v>100</v>
      </c>
    </row>
    <row r="7" spans="1:14" ht="54" customHeight="1" thickBot="1" x14ac:dyDescent="0.35">
      <c r="A7" s="44" t="s">
        <v>86</v>
      </c>
      <c r="B7" s="19" t="s">
        <v>83</v>
      </c>
      <c r="C7" s="21">
        <v>82.3</v>
      </c>
      <c r="D7" s="21">
        <v>0.1</v>
      </c>
      <c r="E7" s="21">
        <v>1</v>
      </c>
      <c r="F7" s="21">
        <v>15.9</v>
      </c>
      <c r="G7" s="21">
        <v>0.3</v>
      </c>
      <c r="H7" s="21">
        <v>0.2</v>
      </c>
      <c r="I7" s="21">
        <v>0.1</v>
      </c>
      <c r="J7" s="21">
        <v>0.1</v>
      </c>
      <c r="K7" s="21">
        <v>0</v>
      </c>
      <c r="L7" s="21">
        <v>0</v>
      </c>
      <c r="M7" s="21">
        <v>0</v>
      </c>
      <c r="N7" s="21">
        <f t="shared" si="0"/>
        <v>99.999999999999986</v>
      </c>
    </row>
    <row r="8" spans="1:14" ht="15" thickBot="1" x14ac:dyDescent="0.35">
      <c r="A8" s="45"/>
      <c r="B8" s="19" t="s">
        <v>84</v>
      </c>
      <c r="C8" s="21">
        <v>91.6</v>
      </c>
      <c r="D8" s="21">
        <v>0.8</v>
      </c>
      <c r="E8" s="21">
        <v>1</v>
      </c>
      <c r="F8" s="21">
        <v>5.5</v>
      </c>
      <c r="G8" s="21">
        <v>0.2</v>
      </c>
      <c r="H8" s="21">
        <v>0.1</v>
      </c>
      <c r="I8" s="21">
        <v>0.3</v>
      </c>
      <c r="J8" s="21">
        <v>0.3</v>
      </c>
      <c r="K8" s="21">
        <v>0.1</v>
      </c>
      <c r="L8" s="21">
        <v>0.1</v>
      </c>
      <c r="M8" s="21">
        <v>0</v>
      </c>
      <c r="N8" s="21">
        <f t="shared" si="0"/>
        <v>99.999999999999972</v>
      </c>
    </row>
    <row r="9" spans="1:14" ht="67.8" customHeight="1" thickBot="1" x14ac:dyDescent="0.35">
      <c r="A9" s="44" t="s">
        <v>87</v>
      </c>
      <c r="B9" s="19" t="s">
        <v>83</v>
      </c>
      <c r="C9" s="21">
        <v>93.4</v>
      </c>
      <c r="D9" s="21">
        <v>0.3</v>
      </c>
      <c r="E9" s="21">
        <v>0.6</v>
      </c>
      <c r="F9" s="21">
        <v>5.0999999999999996</v>
      </c>
      <c r="G9" s="21">
        <v>0.2</v>
      </c>
      <c r="H9" s="21">
        <v>0</v>
      </c>
      <c r="I9" s="21">
        <v>0.1</v>
      </c>
      <c r="J9" s="21">
        <v>0.2</v>
      </c>
      <c r="K9" s="21">
        <v>0</v>
      </c>
      <c r="L9" s="21">
        <v>0.1</v>
      </c>
      <c r="M9" s="21">
        <v>0</v>
      </c>
      <c r="N9" s="21">
        <f t="shared" si="0"/>
        <v>99.999999999999986</v>
      </c>
    </row>
    <row r="10" spans="1:14" ht="15" thickBot="1" x14ac:dyDescent="0.35">
      <c r="A10" s="45"/>
      <c r="B10" s="19" t="s">
        <v>84</v>
      </c>
      <c r="C10" s="21">
        <v>93.4</v>
      </c>
      <c r="D10" s="21">
        <v>0.5</v>
      </c>
      <c r="E10" s="21">
        <v>1.7</v>
      </c>
      <c r="F10" s="21">
        <v>3.4</v>
      </c>
      <c r="G10" s="21">
        <v>0.1</v>
      </c>
      <c r="H10" s="21">
        <v>0</v>
      </c>
      <c r="I10" s="21">
        <v>0.3</v>
      </c>
      <c r="J10" s="21">
        <v>0.4</v>
      </c>
      <c r="K10" s="21">
        <v>0.1</v>
      </c>
      <c r="L10" s="21">
        <v>0.1</v>
      </c>
      <c r="M10" s="21">
        <v>0</v>
      </c>
      <c r="N10" s="21">
        <f t="shared" si="0"/>
        <v>100</v>
      </c>
    </row>
    <row r="11" spans="1:14" ht="15" thickBot="1" x14ac:dyDescent="0.35">
      <c r="A11" s="44" t="s">
        <v>88</v>
      </c>
      <c r="B11" s="19" t="s">
        <v>83</v>
      </c>
      <c r="C11" s="21">
        <v>93.8</v>
      </c>
      <c r="D11" s="21">
        <v>0</v>
      </c>
      <c r="E11" s="21">
        <v>1.3</v>
      </c>
      <c r="F11" s="21">
        <v>4.5</v>
      </c>
      <c r="G11" s="21">
        <v>0.2</v>
      </c>
      <c r="H11" s="21">
        <v>0.1</v>
      </c>
      <c r="I11" s="21">
        <v>0</v>
      </c>
      <c r="J11" s="21">
        <v>0.1</v>
      </c>
      <c r="K11" s="21">
        <v>0</v>
      </c>
      <c r="L11" s="21">
        <v>0</v>
      </c>
      <c r="M11" s="21">
        <v>0</v>
      </c>
      <c r="N11" s="21">
        <f t="shared" si="0"/>
        <v>99.999999999999986</v>
      </c>
    </row>
    <row r="12" spans="1:14" ht="15" thickBot="1" x14ac:dyDescent="0.35">
      <c r="A12" s="45"/>
      <c r="B12" s="19" t="s">
        <v>84</v>
      </c>
      <c r="C12" s="21">
        <v>94.4</v>
      </c>
      <c r="D12" s="21">
        <v>0</v>
      </c>
      <c r="E12" s="21">
        <v>0.4</v>
      </c>
      <c r="F12" s="21">
        <v>4.8</v>
      </c>
      <c r="G12" s="21">
        <v>0.2</v>
      </c>
      <c r="H12" s="21">
        <v>0.1</v>
      </c>
      <c r="I12" s="21">
        <v>0</v>
      </c>
      <c r="J12" s="21">
        <v>0.1</v>
      </c>
      <c r="K12" s="21">
        <v>0</v>
      </c>
      <c r="L12" s="21">
        <v>0</v>
      </c>
      <c r="M12" s="21">
        <v>0</v>
      </c>
      <c r="N12" s="21">
        <f t="shared" si="0"/>
        <v>100</v>
      </c>
    </row>
    <row r="13" spans="1:14" ht="28.2" thickBot="1" x14ac:dyDescent="0.35">
      <c r="A13" s="18" t="s">
        <v>89</v>
      </c>
      <c r="B13" s="19" t="s">
        <v>83</v>
      </c>
      <c r="C13" s="21">
        <v>92.3</v>
      </c>
      <c r="D13" s="21">
        <v>0.1</v>
      </c>
      <c r="E13" s="21">
        <v>1.3</v>
      </c>
      <c r="F13" s="21">
        <v>4.7</v>
      </c>
      <c r="G13" s="21">
        <v>1.2</v>
      </c>
      <c r="H13" s="21">
        <v>0.1</v>
      </c>
      <c r="I13" s="21">
        <v>0.2</v>
      </c>
      <c r="J13" s="21">
        <v>0.1</v>
      </c>
      <c r="K13" s="21">
        <v>0</v>
      </c>
      <c r="L13" s="21">
        <v>0</v>
      </c>
      <c r="M13" s="21">
        <v>0</v>
      </c>
      <c r="N13" s="21">
        <f t="shared" si="0"/>
        <v>99.999999999999986</v>
      </c>
    </row>
    <row r="14" spans="1:14" ht="67.8" customHeight="1" thickBot="1" x14ac:dyDescent="0.35">
      <c r="A14" s="44" t="s">
        <v>90</v>
      </c>
      <c r="B14" s="19" t="s">
        <v>83</v>
      </c>
      <c r="C14" s="21">
        <v>93.8</v>
      </c>
      <c r="D14" s="21">
        <v>0.1</v>
      </c>
      <c r="E14" s="21">
        <v>1.6</v>
      </c>
      <c r="F14" s="21">
        <v>3.5</v>
      </c>
      <c r="G14" s="21">
        <v>0.5</v>
      </c>
      <c r="H14" s="21">
        <v>0.2</v>
      </c>
      <c r="I14" s="21">
        <v>0.1</v>
      </c>
      <c r="J14" s="21">
        <v>0.2</v>
      </c>
      <c r="K14" s="21">
        <v>0</v>
      </c>
      <c r="L14" s="21">
        <v>0</v>
      </c>
      <c r="M14" s="21">
        <v>0</v>
      </c>
      <c r="N14" s="21">
        <f t="shared" si="0"/>
        <v>99.999999999999986</v>
      </c>
    </row>
    <row r="15" spans="1:14" ht="15" thickBot="1" x14ac:dyDescent="0.35">
      <c r="A15" s="45"/>
      <c r="B15" s="19" t="s">
        <v>84</v>
      </c>
      <c r="C15" s="21">
        <v>95.1</v>
      </c>
      <c r="D15" s="21">
        <v>0</v>
      </c>
      <c r="E15" s="21">
        <v>2.1</v>
      </c>
      <c r="F15" s="21">
        <v>2.2000000000000002</v>
      </c>
      <c r="G15" s="21">
        <v>0.1</v>
      </c>
      <c r="H15" s="21">
        <v>0.1</v>
      </c>
      <c r="I15" s="21">
        <v>0.1</v>
      </c>
      <c r="J15" s="21">
        <v>0.3</v>
      </c>
      <c r="K15" s="21">
        <v>0</v>
      </c>
      <c r="L15" s="21">
        <v>0</v>
      </c>
      <c r="M15" s="21">
        <v>0</v>
      </c>
      <c r="N15" s="21">
        <f t="shared" si="0"/>
        <v>99.999999999999972</v>
      </c>
    </row>
    <row r="16" spans="1:14" ht="15" thickBot="1" x14ac:dyDescent="0.35">
      <c r="A16" s="44" t="s">
        <v>38</v>
      </c>
      <c r="B16" s="19" t="s">
        <v>83</v>
      </c>
      <c r="C16" s="21">
        <v>88.1</v>
      </c>
      <c r="D16" s="21">
        <v>3.1</v>
      </c>
      <c r="E16" s="21">
        <v>1.8</v>
      </c>
      <c r="F16" s="21">
        <v>2.8</v>
      </c>
      <c r="G16" s="21">
        <v>0.7</v>
      </c>
      <c r="H16" s="21">
        <v>0.5</v>
      </c>
      <c r="I16" s="21">
        <v>0.8</v>
      </c>
      <c r="J16" s="21">
        <v>1.4</v>
      </c>
      <c r="K16" s="21">
        <v>0.3</v>
      </c>
      <c r="L16" s="21">
        <v>0.4</v>
      </c>
      <c r="M16" s="21">
        <v>0.1</v>
      </c>
      <c r="N16" s="21">
        <f t="shared" si="0"/>
        <v>99.999999999999986</v>
      </c>
    </row>
    <row r="17" spans="1:14" ht="15" thickBot="1" x14ac:dyDescent="0.35">
      <c r="A17" s="45"/>
      <c r="B17" s="19" t="s">
        <v>84</v>
      </c>
      <c r="C17" s="21">
        <v>88.9</v>
      </c>
      <c r="D17" s="21">
        <v>3.2</v>
      </c>
      <c r="E17" s="21">
        <v>1.7</v>
      </c>
      <c r="F17" s="21">
        <v>1.7</v>
      </c>
      <c r="G17" s="21">
        <v>0.7</v>
      </c>
      <c r="H17" s="21">
        <v>0.4</v>
      </c>
      <c r="I17" s="21">
        <v>1</v>
      </c>
      <c r="J17" s="21">
        <v>1.4</v>
      </c>
      <c r="K17" s="21">
        <v>0.5</v>
      </c>
      <c r="L17" s="21">
        <v>0.4</v>
      </c>
      <c r="M17" s="21">
        <v>0.1</v>
      </c>
      <c r="N17" s="21">
        <f t="shared" si="0"/>
        <v>100.00000000000003</v>
      </c>
    </row>
    <row r="18" spans="1:14" ht="15" thickBot="1" x14ac:dyDescent="0.35">
      <c r="A18" s="18" t="s">
        <v>91</v>
      </c>
      <c r="B18" s="19" t="s">
        <v>84</v>
      </c>
      <c r="C18" s="21">
        <v>95.6</v>
      </c>
      <c r="D18" s="21">
        <v>0</v>
      </c>
      <c r="E18" s="21">
        <v>1.7</v>
      </c>
      <c r="F18" s="21">
        <v>2.1</v>
      </c>
      <c r="G18" s="21">
        <v>0.5</v>
      </c>
      <c r="H18" s="21">
        <v>0.1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f t="shared" si="0"/>
        <v>99.999999999999986</v>
      </c>
    </row>
    <row r="20" spans="1:14" x14ac:dyDescent="0.3">
      <c r="C20">
        <f>AVERAGE(C3:C18)</f>
        <v>91.368749999999977</v>
      </c>
      <c r="D20">
        <f t="shared" ref="D20:M20" si="1">AVERAGE(D3:D18)</f>
        <v>1.0874999999999999</v>
      </c>
      <c r="E20">
        <f t="shared" si="1"/>
        <v>1.6375000000000002</v>
      </c>
      <c r="F20">
        <f t="shared" si="1"/>
        <v>3.8250000000000002</v>
      </c>
      <c r="G20">
        <f t="shared" si="1"/>
        <v>0.42500000000000004</v>
      </c>
      <c r="H20">
        <f t="shared" si="1"/>
        <v>0.19375000000000003</v>
      </c>
      <c r="I20">
        <f t="shared" si="1"/>
        <v>0.41874999999999996</v>
      </c>
      <c r="J20">
        <f t="shared" si="1"/>
        <v>0.61249999999999993</v>
      </c>
      <c r="K20">
        <f t="shared" si="1"/>
        <v>0.22500000000000001</v>
      </c>
      <c r="L20">
        <f t="shared" si="1"/>
        <v>0.16875000000000001</v>
      </c>
      <c r="M20">
        <f t="shared" si="1"/>
        <v>3.7499999999999999E-2</v>
      </c>
    </row>
  </sheetData>
  <mergeCells count="7">
    <mergeCell ref="A16:A17"/>
    <mergeCell ref="A3:A4"/>
    <mergeCell ref="A5:A6"/>
    <mergeCell ref="A7:A8"/>
    <mergeCell ref="A9:A10"/>
    <mergeCell ref="A11:A12"/>
    <mergeCell ref="A14:A1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45DA4-332C-4E40-8A15-D594901B2241}">
  <dimension ref="C2:U20"/>
  <sheetViews>
    <sheetView zoomScale="85" zoomScaleNormal="85" workbookViewId="0">
      <selection activeCell="C4" sqref="C4"/>
    </sheetView>
  </sheetViews>
  <sheetFormatPr baseColWidth="10" defaultRowHeight="14.4" x14ac:dyDescent="0.3"/>
  <sheetData>
    <row r="2" spans="3:21" ht="15" thickBot="1" x14ac:dyDescent="0.35"/>
    <row r="3" spans="3:21" ht="15" thickBot="1" x14ac:dyDescent="0.35">
      <c r="C3" s="12" t="s">
        <v>92</v>
      </c>
      <c r="D3" s="13" t="s">
        <v>56</v>
      </c>
      <c r="E3" s="13" t="s">
        <v>57</v>
      </c>
      <c r="F3" s="13" t="s">
        <v>58</v>
      </c>
      <c r="G3" s="13" t="s">
        <v>59</v>
      </c>
      <c r="H3" s="13" t="s">
        <v>60</v>
      </c>
      <c r="I3" s="13" t="s">
        <v>61</v>
      </c>
      <c r="J3" s="13" t="s">
        <v>62</v>
      </c>
      <c r="K3" s="13" t="s">
        <v>63</v>
      </c>
      <c r="L3" s="13" t="s">
        <v>64</v>
      </c>
      <c r="M3" s="13" t="s">
        <v>65</v>
      </c>
      <c r="N3" s="13" t="s">
        <v>66</v>
      </c>
      <c r="O3" s="13" t="s">
        <v>67</v>
      </c>
      <c r="Q3" s="16" t="s">
        <v>68</v>
      </c>
      <c r="R3" s="16" t="s">
        <v>70</v>
      </c>
      <c r="T3" s="16" t="s">
        <v>69</v>
      </c>
    </row>
    <row r="4" spans="3:21" x14ac:dyDescent="0.3">
      <c r="C4">
        <v>6.1</v>
      </c>
      <c r="D4">
        <v>16.899999999999999</v>
      </c>
      <c r="E4">
        <v>42.7</v>
      </c>
      <c r="F4">
        <v>23.5</v>
      </c>
      <c r="G4">
        <v>9.6</v>
      </c>
      <c r="H4">
        <v>0.8</v>
      </c>
      <c r="I4">
        <v>0.1</v>
      </c>
      <c r="J4">
        <v>0.1</v>
      </c>
      <c r="K4">
        <v>0.1</v>
      </c>
      <c r="L4">
        <v>0</v>
      </c>
      <c r="M4">
        <v>0.1</v>
      </c>
      <c r="N4">
        <v>0</v>
      </c>
      <c r="O4">
        <f t="shared" ref="O4:O5" si="0">SUM(C4:N4)</f>
        <v>99.999999999999972</v>
      </c>
      <c r="Q4" s="46">
        <v>1</v>
      </c>
      <c r="R4" s="14">
        <v>27647</v>
      </c>
      <c r="T4" s="15">
        <f t="shared" ref="T4:T19" si="1">R4/7</f>
        <v>3949.5714285714284</v>
      </c>
      <c r="U4" s="15">
        <f>R4*1.035</f>
        <v>28614.644999999997</v>
      </c>
    </row>
    <row r="5" spans="3:21" x14ac:dyDescent="0.3">
      <c r="C5">
        <v>14.7</v>
      </c>
      <c r="D5">
        <v>42.7</v>
      </c>
      <c r="E5">
        <v>27.1</v>
      </c>
      <c r="F5">
        <v>11.8</v>
      </c>
      <c r="G5">
        <v>2.8</v>
      </c>
      <c r="H5">
        <v>0.6</v>
      </c>
      <c r="I5">
        <v>0.1</v>
      </c>
      <c r="J5">
        <v>0.1</v>
      </c>
      <c r="K5">
        <v>0</v>
      </c>
      <c r="L5">
        <v>0.1</v>
      </c>
      <c r="M5">
        <v>0</v>
      </c>
      <c r="N5">
        <v>0</v>
      </c>
      <c r="O5">
        <f t="shared" si="0"/>
        <v>99.999999999999972</v>
      </c>
      <c r="Q5" s="46"/>
      <c r="R5" s="14">
        <v>29397</v>
      </c>
      <c r="T5" s="15">
        <f t="shared" si="1"/>
        <v>4199.5714285714284</v>
      </c>
      <c r="U5" s="15">
        <f t="shared" ref="U5:U19" si="2">R5*1.035</f>
        <v>30425.894999999997</v>
      </c>
    </row>
    <row r="6" spans="3:21" x14ac:dyDescent="0.3">
      <c r="C6">
        <v>16.3</v>
      </c>
      <c r="D6">
        <v>26</v>
      </c>
      <c r="E6">
        <v>21.2</v>
      </c>
      <c r="F6">
        <v>12.3</v>
      </c>
      <c r="G6">
        <v>12.4</v>
      </c>
      <c r="H6">
        <v>7.8</v>
      </c>
      <c r="I6">
        <v>2.5</v>
      </c>
      <c r="J6">
        <v>0.8</v>
      </c>
      <c r="K6">
        <v>0.3</v>
      </c>
      <c r="L6">
        <v>0.1</v>
      </c>
      <c r="M6">
        <v>0.1</v>
      </c>
      <c r="N6">
        <v>0.1</v>
      </c>
      <c r="O6">
        <v>100</v>
      </c>
      <c r="Q6" s="46">
        <v>2</v>
      </c>
      <c r="R6" s="14">
        <v>18731</v>
      </c>
      <c r="T6" s="15">
        <f t="shared" si="1"/>
        <v>2675.8571428571427</v>
      </c>
      <c r="U6" s="15">
        <f t="shared" si="2"/>
        <v>19386.584999999999</v>
      </c>
    </row>
    <row r="7" spans="3:21" x14ac:dyDescent="0.3">
      <c r="C7">
        <v>15.9</v>
      </c>
      <c r="D7">
        <v>19.600000000000001</v>
      </c>
      <c r="E7">
        <v>13.4</v>
      </c>
      <c r="F7">
        <v>15.6</v>
      </c>
      <c r="G7">
        <v>21.6</v>
      </c>
      <c r="H7">
        <v>10.4</v>
      </c>
      <c r="I7">
        <v>2.7</v>
      </c>
      <c r="J7">
        <v>0.7</v>
      </c>
      <c r="K7">
        <v>0.1</v>
      </c>
      <c r="L7">
        <v>0</v>
      </c>
      <c r="M7">
        <v>0</v>
      </c>
      <c r="N7">
        <v>0</v>
      </c>
      <c r="O7">
        <f t="shared" ref="O7:O19" si="3">SUM(C7:N7)</f>
        <v>100</v>
      </c>
      <c r="Q7" s="46"/>
      <c r="R7" s="14">
        <v>19907</v>
      </c>
      <c r="T7" s="15">
        <f t="shared" si="1"/>
        <v>2843.8571428571427</v>
      </c>
      <c r="U7" s="15">
        <f t="shared" si="2"/>
        <v>20603.744999999999</v>
      </c>
    </row>
    <row r="8" spans="3:21" x14ac:dyDescent="0.3">
      <c r="C8">
        <v>11.9</v>
      </c>
      <c r="D8">
        <v>40.299999999999997</v>
      </c>
      <c r="E8">
        <v>32.1</v>
      </c>
      <c r="F8">
        <v>8.8000000000000007</v>
      </c>
      <c r="G8">
        <v>3.5</v>
      </c>
      <c r="H8">
        <v>1.4</v>
      </c>
      <c r="I8">
        <v>0.8</v>
      </c>
      <c r="J8">
        <v>0.5</v>
      </c>
      <c r="K8">
        <v>0.3</v>
      </c>
      <c r="L8">
        <v>0.2</v>
      </c>
      <c r="M8">
        <v>0.1</v>
      </c>
      <c r="N8">
        <v>0.1</v>
      </c>
      <c r="O8">
        <f t="shared" si="3"/>
        <v>99.999999999999986</v>
      </c>
      <c r="Q8" s="46">
        <v>3</v>
      </c>
      <c r="R8" s="14">
        <v>19699</v>
      </c>
      <c r="T8" s="15">
        <f t="shared" si="1"/>
        <v>2814.1428571428573</v>
      </c>
      <c r="U8" s="15">
        <f t="shared" si="2"/>
        <v>20388.465</v>
      </c>
    </row>
    <row r="9" spans="3:21" x14ac:dyDescent="0.3">
      <c r="C9">
        <v>14.6</v>
      </c>
      <c r="D9">
        <v>26.9</v>
      </c>
      <c r="E9">
        <v>27.3</v>
      </c>
      <c r="F9">
        <v>20.8</v>
      </c>
      <c r="G9">
        <v>8.4</v>
      </c>
      <c r="H9">
        <v>1.6</v>
      </c>
      <c r="I9">
        <v>0.3</v>
      </c>
      <c r="J9">
        <v>0.1</v>
      </c>
      <c r="K9">
        <v>0</v>
      </c>
      <c r="L9">
        <v>0</v>
      </c>
      <c r="M9">
        <v>0</v>
      </c>
      <c r="N9">
        <v>0</v>
      </c>
      <c r="O9">
        <f t="shared" si="3"/>
        <v>99.999999999999986</v>
      </c>
      <c r="Q9" s="46"/>
      <c r="R9" s="14">
        <v>21380</v>
      </c>
      <c r="T9" s="15">
        <f t="shared" si="1"/>
        <v>3054.2857142857142</v>
      </c>
      <c r="U9" s="15">
        <f t="shared" si="2"/>
        <v>22128.3</v>
      </c>
    </row>
    <row r="10" spans="3:21" x14ac:dyDescent="0.3">
      <c r="C10">
        <v>7</v>
      </c>
      <c r="D10">
        <v>32.9</v>
      </c>
      <c r="E10">
        <v>36.200000000000003</v>
      </c>
      <c r="F10">
        <v>16.8</v>
      </c>
      <c r="G10">
        <v>5</v>
      </c>
      <c r="H10">
        <v>1.4</v>
      </c>
      <c r="I10">
        <v>0.4</v>
      </c>
      <c r="J10">
        <v>0.1</v>
      </c>
      <c r="K10">
        <v>0.1</v>
      </c>
      <c r="L10">
        <v>0.1</v>
      </c>
      <c r="M10">
        <v>0</v>
      </c>
      <c r="N10">
        <v>0</v>
      </c>
      <c r="O10">
        <f t="shared" si="3"/>
        <v>99.999999999999986</v>
      </c>
      <c r="Q10" s="46">
        <v>4</v>
      </c>
      <c r="R10" s="14">
        <v>11747</v>
      </c>
      <c r="T10" s="15">
        <f t="shared" si="1"/>
        <v>1678.1428571428571</v>
      </c>
      <c r="U10" s="15">
        <f t="shared" si="2"/>
        <v>12158.144999999999</v>
      </c>
    </row>
    <row r="11" spans="3:21" x14ac:dyDescent="0.3">
      <c r="C11">
        <v>7.3</v>
      </c>
      <c r="D11">
        <v>45.5</v>
      </c>
      <c r="E11">
        <v>32.299999999999997</v>
      </c>
      <c r="F11">
        <v>11.3</v>
      </c>
      <c r="G11">
        <v>2.7</v>
      </c>
      <c r="H11">
        <v>0.6</v>
      </c>
      <c r="I11">
        <v>0.1</v>
      </c>
      <c r="J11">
        <v>0.1</v>
      </c>
      <c r="K11">
        <v>0.1</v>
      </c>
      <c r="L11">
        <v>0</v>
      </c>
      <c r="M11">
        <v>0</v>
      </c>
      <c r="N11">
        <v>0</v>
      </c>
      <c r="O11">
        <f t="shared" si="3"/>
        <v>99.999999999999972</v>
      </c>
      <c r="Q11" s="46"/>
      <c r="R11" s="14">
        <v>12250</v>
      </c>
      <c r="T11" s="15">
        <f t="shared" si="1"/>
        <v>1750</v>
      </c>
      <c r="U11" s="15">
        <f t="shared" si="2"/>
        <v>12678.749999999998</v>
      </c>
    </row>
    <row r="12" spans="3:21" x14ac:dyDescent="0.3">
      <c r="C12">
        <v>22.2</v>
      </c>
      <c r="D12">
        <v>61.1</v>
      </c>
      <c r="E12">
        <v>14.9</v>
      </c>
      <c r="F12">
        <v>1.5</v>
      </c>
      <c r="G12">
        <v>0.1</v>
      </c>
      <c r="H12">
        <v>0.1</v>
      </c>
      <c r="I12">
        <v>0.1</v>
      </c>
      <c r="J12">
        <v>0</v>
      </c>
      <c r="K12">
        <v>0</v>
      </c>
      <c r="L12">
        <v>0</v>
      </c>
      <c r="M12">
        <v>0</v>
      </c>
      <c r="N12">
        <v>0</v>
      </c>
      <c r="O12">
        <f t="shared" si="3"/>
        <v>99.999999999999986</v>
      </c>
      <c r="Q12" s="46">
        <v>5</v>
      </c>
      <c r="R12" s="14">
        <v>4334</v>
      </c>
      <c r="T12" s="15">
        <f t="shared" si="1"/>
        <v>619.14285714285711</v>
      </c>
      <c r="U12" s="15">
        <f t="shared" si="2"/>
        <v>4485.6899999999996</v>
      </c>
    </row>
    <row r="13" spans="3:21" x14ac:dyDescent="0.3">
      <c r="C13">
        <v>19.2</v>
      </c>
      <c r="D13">
        <v>56.8</v>
      </c>
      <c r="E13">
        <v>21.5</v>
      </c>
      <c r="F13">
        <v>2.2999999999999998</v>
      </c>
      <c r="G13">
        <v>0.2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f t="shared" si="3"/>
        <v>100</v>
      </c>
      <c r="Q13" s="46"/>
      <c r="R13" s="14">
        <v>1858</v>
      </c>
      <c r="T13" s="15">
        <f t="shared" si="1"/>
        <v>265.42857142857144</v>
      </c>
      <c r="U13" s="15">
        <f t="shared" si="2"/>
        <v>1923.0299999999997</v>
      </c>
    </row>
    <row r="14" spans="3:21" x14ac:dyDescent="0.3">
      <c r="C14">
        <v>51.5</v>
      </c>
      <c r="D14">
        <v>41.5</v>
      </c>
      <c r="E14">
        <v>6.6</v>
      </c>
      <c r="F14">
        <v>0.4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f t="shared" si="3"/>
        <v>100</v>
      </c>
      <c r="Q14" s="17">
        <v>6</v>
      </c>
      <c r="R14" s="14">
        <v>5370</v>
      </c>
      <c r="T14" s="15">
        <f t="shared" si="1"/>
        <v>767.14285714285711</v>
      </c>
      <c r="U14" s="15">
        <f t="shared" si="2"/>
        <v>5557.95</v>
      </c>
    </row>
    <row r="15" spans="3:21" x14ac:dyDescent="0.3">
      <c r="C15">
        <v>59</v>
      </c>
      <c r="D15">
        <v>29.3</v>
      </c>
      <c r="E15">
        <v>9.4</v>
      </c>
      <c r="F15">
        <v>2</v>
      </c>
      <c r="G15">
        <v>0.3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f t="shared" si="3"/>
        <v>100</v>
      </c>
      <c r="Q15" s="46">
        <v>7</v>
      </c>
      <c r="R15" s="14">
        <v>6457</v>
      </c>
      <c r="T15" s="15">
        <f t="shared" si="1"/>
        <v>922.42857142857144</v>
      </c>
      <c r="U15" s="15">
        <f t="shared" si="2"/>
        <v>6682.9949999999999</v>
      </c>
    </row>
    <row r="16" spans="3:21" x14ac:dyDescent="0.3">
      <c r="C16">
        <v>25.4</v>
      </c>
      <c r="D16">
        <v>52.8</v>
      </c>
      <c r="E16">
        <v>18.899999999999999</v>
      </c>
      <c r="F16">
        <v>2.6</v>
      </c>
      <c r="G16">
        <v>0.3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f t="shared" si="3"/>
        <v>99.999999999999986</v>
      </c>
      <c r="Q16" s="46"/>
      <c r="R16" s="14">
        <v>8477</v>
      </c>
      <c r="T16" s="15">
        <f t="shared" si="1"/>
        <v>1211</v>
      </c>
      <c r="U16" s="15">
        <f t="shared" si="2"/>
        <v>8773.6949999999997</v>
      </c>
    </row>
    <row r="17" spans="3:21" x14ac:dyDescent="0.3">
      <c r="C17">
        <v>6.5</v>
      </c>
      <c r="D17">
        <v>17.399999999999999</v>
      </c>
      <c r="E17">
        <v>42.8</v>
      </c>
      <c r="F17">
        <v>23</v>
      </c>
      <c r="G17">
        <v>9.1</v>
      </c>
      <c r="H17">
        <v>0.9</v>
      </c>
      <c r="I17">
        <v>0.2</v>
      </c>
      <c r="J17">
        <v>0</v>
      </c>
      <c r="K17">
        <v>0</v>
      </c>
      <c r="L17">
        <v>0</v>
      </c>
      <c r="M17">
        <v>0.1</v>
      </c>
      <c r="N17">
        <v>0</v>
      </c>
      <c r="O17">
        <f t="shared" si="3"/>
        <v>99.999999999999986</v>
      </c>
      <c r="Q17" s="46">
        <v>8</v>
      </c>
      <c r="R17" s="14">
        <v>28468</v>
      </c>
      <c r="T17" s="15">
        <f t="shared" si="1"/>
        <v>4066.8571428571427</v>
      </c>
      <c r="U17" s="15">
        <f t="shared" si="2"/>
        <v>29464.379999999997</v>
      </c>
    </row>
    <row r="18" spans="3:21" x14ac:dyDescent="0.3">
      <c r="C18">
        <v>15.1</v>
      </c>
      <c r="D18">
        <v>42.8</v>
      </c>
      <c r="E18">
        <v>27.1</v>
      </c>
      <c r="F18">
        <v>10.8</v>
      </c>
      <c r="G18">
        <v>3.3</v>
      </c>
      <c r="H18">
        <v>0.8</v>
      </c>
      <c r="I18">
        <v>0.1</v>
      </c>
      <c r="J18">
        <v>0</v>
      </c>
      <c r="K18">
        <v>0</v>
      </c>
      <c r="L18">
        <v>0</v>
      </c>
      <c r="M18">
        <v>0</v>
      </c>
      <c r="N18">
        <v>0</v>
      </c>
      <c r="O18">
        <f t="shared" si="3"/>
        <v>99.999999999999986</v>
      </c>
      <c r="Q18" s="46"/>
      <c r="R18" s="14">
        <v>22529</v>
      </c>
      <c r="T18" s="15">
        <f t="shared" si="1"/>
        <v>3218.4285714285716</v>
      </c>
      <c r="U18" s="15">
        <f t="shared" si="2"/>
        <v>23317.514999999999</v>
      </c>
    </row>
    <row r="19" spans="3:21" x14ac:dyDescent="0.3">
      <c r="C19">
        <v>50.7</v>
      </c>
      <c r="D19">
        <v>22</v>
      </c>
      <c r="E19">
        <v>27.3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f t="shared" si="3"/>
        <v>100</v>
      </c>
      <c r="Q19" s="17">
        <v>9</v>
      </c>
      <c r="R19" s="14">
        <v>5075</v>
      </c>
      <c r="T19" s="15">
        <f t="shared" si="1"/>
        <v>725</v>
      </c>
      <c r="U19" s="15">
        <f t="shared" si="2"/>
        <v>5252.625</v>
      </c>
    </row>
    <row r="20" spans="3:21" x14ac:dyDescent="0.3">
      <c r="C20">
        <f>AVERAGE(C4:C19)</f>
        <v>21.462499999999999</v>
      </c>
      <c r="D20">
        <f t="shared" ref="D20:O20" si="4">AVERAGE(D4:D19)</f>
        <v>35.90625</v>
      </c>
      <c r="E20">
        <f t="shared" si="4"/>
        <v>25.050000000000004</v>
      </c>
      <c r="F20">
        <f t="shared" si="4"/>
        <v>10.21875</v>
      </c>
      <c r="G20">
        <f t="shared" si="4"/>
        <v>4.9562499999999989</v>
      </c>
      <c r="H20">
        <f t="shared" si="4"/>
        <v>1.6500000000000001</v>
      </c>
      <c r="I20">
        <f t="shared" si="4"/>
        <v>0.46249999999999997</v>
      </c>
      <c r="J20">
        <f t="shared" si="4"/>
        <v>0.15625000000000003</v>
      </c>
      <c r="K20">
        <f t="shared" si="4"/>
        <v>6.25E-2</v>
      </c>
      <c r="L20">
        <f t="shared" si="4"/>
        <v>3.125E-2</v>
      </c>
      <c r="M20">
        <f t="shared" si="4"/>
        <v>2.5000000000000001E-2</v>
      </c>
      <c r="N20">
        <f t="shared" si="4"/>
        <v>1.2500000000000001E-2</v>
      </c>
      <c r="O20">
        <f t="shared" si="4"/>
        <v>100</v>
      </c>
    </row>
  </sheetData>
  <mergeCells count="7">
    <mergeCell ref="Q17:Q18"/>
    <mergeCell ref="Q4:Q5"/>
    <mergeCell ref="Q6:Q7"/>
    <mergeCell ref="Q8:Q9"/>
    <mergeCell ref="Q10:Q11"/>
    <mergeCell ref="Q12:Q13"/>
    <mergeCell ref="Q15:Q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semaforos</vt:lpstr>
      <vt:lpstr>clases vehiculos</vt:lpstr>
      <vt:lpstr>velociadades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Tovar</dc:creator>
  <cp:lastModifiedBy>Carlos Tovar</cp:lastModifiedBy>
  <dcterms:created xsi:type="dcterms:W3CDTF">2023-07-17T16:48:08Z</dcterms:created>
  <dcterms:modified xsi:type="dcterms:W3CDTF">2024-12-12T23:06:24Z</dcterms:modified>
</cp:coreProperties>
</file>