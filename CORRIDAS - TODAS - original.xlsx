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esktop\"/>
    </mc:Choice>
  </mc:AlternateContent>
  <xr:revisionPtr revIDLastSave="0" documentId="13_ncr:1_{296F2693-F443-41AC-BFB8-D2443EDA9C01}" xr6:coauthVersionLast="47" xr6:coauthVersionMax="47" xr10:uidLastSave="{00000000-0000-0000-0000-000000000000}"/>
  <bookViews>
    <workbookView xWindow="-108" yWindow="-108" windowWidth="23256" windowHeight="12456" xr2:uid="{8ECEA39F-530B-4A86-9AAA-34A7133D92D2}"/>
  </bookViews>
  <sheets>
    <sheet name="DATOS GENERAL" sheetId="1" r:id="rId1"/>
    <sheet name="IDA ORIGINAL" sheetId="5" r:id="rId2"/>
    <sheet name="VUELTA ORIGINAL" sheetId="6" r:id="rId3"/>
    <sheet name="IDA BRT" sheetId="7" r:id="rId4"/>
    <sheet name="VUELTA BRT" sheetId="8" r:id="rId5"/>
    <sheet name="IDA BRT TRANS" sheetId="10" r:id="rId6"/>
    <sheet name="VUELTA BRT TRANS" sheetId="11" r:id="rId7"/>
    <sheet name="emisiones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11" i="1" l="1"/>
  <c r="BH12" i="1"/>
  <c r="BH13" i="1"/>
  <c r="BH14" i="1"/>
  <c r="BH15" i="1"/>
  <c r="BH16" i="1"/>
  <c r="BH17" i="1"/>
  <c r="BH18" i="1"/>
  <c r="BH19" i="1"/>
  <c r="BH20" i="1"/>
  <c r="BH27" i="1"/>
  <c r="BH28" i="1"/>
  <c r="BH29" i="1"/>
  <c r="BH30" i="1"/>
  <c r="BH31" i="1"/>
  <c r="BH32" i="1"/>
  <c r="BH33" i="1"/>
  <c r="BH34" i="1"/>
  <c r="BH35" i="1"/>
  <c r="BH10" i="1"/>
  <c r="BF11" i="1"/>
  <c r="BG11" i="1"/>
  <c r="BF12" i="1"/>
  <c r="BG12" i="1"/>
  <c r="BF13" i="1"/>
  <c r="BG13" i="1"/>
  <c r="BF14" i="1"/>
  <c r="BG14" i="1"/>
  <c r="BF15" i="1"/>
  <c r="BG15" i="1"/>
  <c r="BF16" i="1"/>
  <c r="BG16" i="1"/>
  <c r="BF17" i="1"/>
  <c r="BG17" i="1"/>
  <c r="BF18" i="1"/>
  <c r="BG18" i="1"/>
  <c r="BF19" i="1"/>
  <c r="BG19" i="1"/>
  <c r="BF20" i="1"/>
  <c r="BG20" i="1"/>
  <c r="BF27" i="1"/>
  <c r="BG27" i="1"/>
  <c r="BF28" i="1"/>
  <c r="BG28" i="1"/>
  <c r="BF29" i="1"/>
  <c r="BG29" i="1"/>
  <c r="BF30" i="1"/>
  <c r="BG30" i="1"/>
  <c r="BF31" i="1"/>
  <c r="BG31" i="1"/>
  <c r="BF32" i="1"/>
  <c r="BG32" i="1"/>
  <c r="BF33" i="1"/>
  <c r="BG33" i="1"/>
  <c r="BF34" i="1"/>
  <c r="BG34" i="1"/>
  <c r="BF35" i="1"/>
  <c r="BG35" i="1"/>
  <c r="BG10" i="1"/>
  <c r="BF10" i="1"/>
  <c r="AW16" i="1"/>
  <c r="AW18" i="1"/>
  <c r="AW31" i="1"/>
  <c r="AU16" i="1"/>
  <c r="AV16" i="1"/>
  <c r="AU18" i="1"/>
  <c r="AV18" i="1"/>
  <c r="AU31" i="1"/>
  <c r="AV31" i="1"/>
  <c r="AL16" i="1"/>
  <c r="AL18" i="1"/>
  <c r="AL31" i="1"/>
  <c r="AA16" i="1"/>
  <c r="AA18" i="1"/>
  <c r="AJ16" i="1"/>
  <c r="AK16" i="1"/>
  <c r="AJ18" i="1"/>
  <c r="AK18" i="1"/>
  <c r="AJ31" i="1"/>
  <c r="AK31" i="1"/>
  <c r="Y31" i="1"/>
  <c r="Z31" i="1"/>
  <c r="AA31" i="1"/>
  <c r="Y16" i="1"/>
  <c r="Z16" i="1"/>
  <c r="Y18" i="1"/>
  <c r="Z18" i="1"/>
  <c r="J22" i="9" l="1"/>
  <c r="C219" i="11"/>
  <c r="U33" i="1" s="1"/>
  <c r="AV33" i="1" s="1"/>
  <c r="B219" i="11"/>
  <c r="E218" i="11"/>
  <c r="U17" i="1"/>
  <c r="AV17" i="1" s="1"/>
  <c r="V17" i="1"/>
  <c r="AW17" i="1" s="1"/>
  <c r="T35" i="1"/>
  <c r="AU35" i="1" s="1"/>
  <c r="U32" i="1"/>
  <c r="AV32" i="1" s="1"/>
  <c r="V32" i="1"/>
  <c r="AW32" i="1" s="1"/>
  <c r="T32" i="1"/>
  <c r="AU32" i="1" s="1"/>
  <c r="U29" i="1"/>
  <c r="AV29" i="1" s="1"/>
  <c r="U20" i="1"/>
  <c r="AV20" i="1" s="1"/>
  <c r="V20" i="1"/>
  <c r="AW20" i="1" s="1"/>
  <c r="T20" i="1"/>
  <c r="AU20" i="1" s="1"/>
  <c r="T19" i="1"/>
  <c r="AU19" i="1" s="1"/>
  <c r="U15" i="1"/>
  <c r="AV15" i="1" s="1"/>
  <c r="U14" i="1"/>
  <c r="AV14" i="1" s="1"/>
  <c r="V14" i="1"/>
  <c r="AW14" i="1" s="1"/>
  <c r="T14" i="1"/>
  <c r="AU14" i="1" s="1"/>
  <c r="V12" i="1"/>
  <c r="AW12" i="1" s="1"/>
  <c r="T12" i="1"/>
  <c r="AU12" i="1" s="1"/>
  <c r="V11" i="1"/>
  <c r="AW11" i="1" s="1"/>
  <c r="M35" i="1"/>
  <c r="N35" i="1"/>
  <c r="L35" i="1"/>
  <c r="M33" i="1"/>
  <c r="N33" i="1"/>
  <c r="L33" i="1"/>
  <c r="M32" i="1"/>
  <c r="N32" i="1"/>
  <c r="L32" i="1"/>
  <c r="M30" i="1"/>
  <c r="N30" i="1"/>
  <c r="L30" i="1"/>
  <c r="M29" i="1"/>
  <c r="N29" i="1"/>
  <c r="L29" i="1"/>
  <c r="M27" i="1"/>
  <c r="N27" i="1"/>
  <c r="L27" i="1"/>
  <c r="L12" i="1"/>
  <c r="L20" i="1"/>
  <c r="F17" i="1"/>
  <c r="D17" i="1"/>
  <c r="D14" i="1"/>
  <c r="N17" i="1"/>
  <c r="M17" i="1"/>
  <c r="L11" i="1"/>
  <c r="D11" i="1"/>
  <c r="M20" i="1"/>
  <c r="N20" i="1"/>
  <c r="N19" i="1"/>
  <c r="M15" i="1"/>
  <c r="N15" i="1"/>
  <c r="L15" i="1"/>
  <c r="M14" i="1"/>
  <c r="N14" i="1"/>
  <c r="L14" i="1"/>
  <c r="M13" i="1"/>
  <c r="N13" i="1"/>
  <c r="L13" i="1"/>
  <c r="M12" i="1"/>
  <c r="N12" i="1"/>
  <c r="M11" i="1"/>
  <c r="N11" i="1"/>
  <c r="M10" i="1"/>
  <c r="N10" i="1"/>
  <c r="L10" i="1"/>
  <c r="E35" i="1"/>
  <c r="F35" i="1"/>
  <c r="D35" i="1"/>
  <c r="F33" i="1"/>
  <c r="D33" i="1"/>
  <c r="E32" i="1"/>
  <c r="F32" i="1"/>
  <c r="D32" i="1"/>
  <c r="E31" i="1"/>
  <c r="F31" i="1"/>
  <c r="D31" i="1"/>
  <c r="E30" i="1"/>
  <c r="F30" i="1"/>
  <c r="D30" i="1"/>
  <c r="E29" i="1"/>
  <c r="F29" i="1"/>
  <c r="D29" i="1"/>
  <c r="E27" i="1"/>
  <c r="F27" i="1"/>
  <c r="D27" i="1"/>
  <c r="E20" i="1"/>
  <c r="F20" i="1"/>
  <c r="D20" i="1"/>
  <c r="F19" i="1"/>
  <c r="D19" i="1"/>
  <c r="E17" i="1"/>
  <c r="E15" i="1"/>
  <c r="F15" i="1"/>
  <c r="D15" i="1"/>
  <c r="E14" i="1"/>
  <c r="F14" i="1"/>
  <c r="E13" i="1"/>
  <c r="F13" i="1"/>
  <c r="D13" i="1"/>
  <c r="E12" i="1"/>
  <c r="F12" i="1"/>
  <c r="D12" i="1"/>
  <c r="E11" i="1"/>
  <c r="E10" i="1"/>
  <c r="F10" i="1"/>
  <c r="D10" i="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M218" i="11"/>
  <c r="L218" i="11"/>
  <c r="K218" i="11"/>
  <c r="J218" i="11"/>
  <c r="I218" i="11"/>
  <c r="H218" i="11"/>
  <c r="G218" i="11"/>
  <c r="F218" i="11"/>
  <c r="D218" i="11"/>
  <c r="C218" i="11"/>
  <c r="B218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M170" i="6"/>
  <c r="L170" i="6"/>
  <c r="K170" i="6"/>
  <c r="J170" i="6"/>
  <c r="I170" i="6"/>
  <c r="H170" i="6"/>
  <c r="G170" i="6"/>
  <c r="F170" i="6"/>
  <c r="E170" i="6"/>
  <c r="D170" i="6"/>
  <c r="C170" i="6"/>
  <c r="B170" i="6"/>
  <c r="D145" i="5"/>
  <c r="M278" i="8"/>
  <c r="L278" i="8"/>
  <c r="K278" i="8"/>
  <c r="J278" i="8"/>
  <c r="I278" i="8"/>
  <c r="H278" i="8"/>
  <c r="G278" i="8"/>
  <c r="F278" i="8"/>
  <c r="E278" i="8"/>
  <c r="D278" i="8"/>
  <c r="C278" i="8"/>
  <c r="B278" i="8"/>
  <c r="M250" i="8"/>
  <c r="L250" i="8"/>
  <c r="K250" i="8"/>
  <c r="J250" i="8"/>
  <c r="I250" i="8"/>
  <c r="H250" i="8"/>
  <c r="G250" i="8"/>
  <c r="F250" i="8"/>
  <c r="E250" i="8"/>
  <c r="D250" i="8"/>
  <c r="C250" i="8"/>
  <c r="B250" i="8"/>
  <c r="C218" i="8"/>
  <c r="D218" i="8"/>
  <c r="E218" i="8"/>
  <c r="F218" i="8"/>
  <c r="G218" i="8"/>
  <c r="H218" i="8"/>
  <c r="I218" i="8"/>
  <c r="J218" i="8"/>
  <c r="K218" i="8"/>
  <c r="L218" i="8"/>
  <c r="M218" i="8"/>
  <c r="B218" i="8"/>
  <c r="C186" i="8"/>
  <c r="D186" i="8"/>
  <c r="E186" i="8"/>
  <c r="F186" i="8"/>
  <c r="G186" i="8"/>
  <c r="H186" i="8"/>
  <c r="I186" i="8"/>
  <c r="J186" i="8"/>
  <c r="K186" i="8"/>
  <c r="L186" i="8"/>
  <c r="M186" i="8"/>
  <c r="B186" i="8"/>
  <c r="M142" i="8"/>
  <c r="L142" i="8"/>
  <c r="K142" i="8"/>
  <c r="J142" i="8"/>
  <c r="I142" i="8"/>
  <c r="H142" i="8"/>
  <c r="G142" i="8"/>
  <c r="F142" i="8"/>
  <c r="E142" i="8"/>
  <c r="D142" i="8"/>
  <c r="C142" i="8"/>
  <c r="B142" i="8"/>
  <c r="M110" i="8"/>
  <c r="L110" i="8"/>
  <c r="K110" i="8"/>
  <c r="J110" i="8"/>
  <c r="I110" i="8"/>
  <c r="H110" i="8"/>
  <c r="G110" i="8"/>
  <c r="F110" i="8"/>
  <c r="E110" i="8"/>
  <c r="D110" i="8"/>
  <c r="C110" i="8"/>
  <c r="B110" i="8"/>
  <c r="C82" i="8"/>
  <c r="D82" i="8"/>
  <c r="E82" i="8"/>
  <c r="F82" i="8"/>
  <c r="G82" i="8"/>
  <c r="H82" i="8"/>
  <c r="I82" i="8"/>
  <c r="J82" i="8"/>
  <c r="K82" i="8"/>
  <c r="L82" i="8"/>
  <c r="M82" i="8"/>
  <c r="B82" i="8"/>
  <c r="C50" i="8"/>
  <c r="D50" i="8"/>
  <c r="E50" i="8"/>
  <c r="F50" i="8"/>
  <c r="G50" i="8"/>
  <c r="H50" i="8"/>
  <c r="I50" i="8"/>
  <c r="J50" i="8"/>
  <c r="K50" i="8"/>
  <c r="L50" i="8"/>
  <c r="M50" i="8"/>
  <c r="B50" i="8"/>
  <c r="M306" i="7"/>
  <c r="L306" i="7"/>
  <c r="K306" i="7"/>
  <c r="J306" i="7"/>
  <c r="I306" i="7"/>
  <c r="H306" i="7"/>
  <c r="G306" i="7"/>
  <c r="F306" i="7"/>
  <c r="E306" i="7"/>
  <c r="D306" i="7"/>
  <c r="C306" i="7"/>
  <c r="B306" i="7"/>
  <c r="M278" i="7"/>
  <c r="L278" i="7"/>
  <c r="K278" i="7"/>
  <c r="J278" i="7"/>
  <c r="I278" i="7"/>
  <c r="H278" i="7"/>
  <c r="G278" i="7"/>
  <c r="F278" i="7"/>
  <c r="E278" i="7"/>
  <c r="D278" i="7"/>
  <c r="C278" i="7"/>
  <c r="B278" i="7"/>
  <c r="C246" i="7"/>
  <c r="D246" i="7"/>
  <c r="E246" i="7"/>
  <c r="F246" i="7"/>
  <c r="G246" i="7"/>
  <c r="H246" i="7"/>
  <c r="I246" i="7"/>
  <c r="J246" i="7"/>
  <c r="K246" i="7"/>
  <c r="L246" i="7"/>
  <c r="M246" i="7"/>
  <c r="B246" i="7"/>
  <c r="C214" i="7"/>
  <c r="D214" i="7"/>
  <c r="E214" i="7"/>
  <c r="F214" i="7"/>
  <c r="G214" i="7"/>
  <c r="H214" i="7"/>
  <c r="I214" i="7"/>
  <c r="J214" i="7"/>
  <c r="K214" i="7"/>
  <c r="L214" i="7"/>
  <c r="M214" i="7"/>
  <c r="B214" i="7"/>
  <c r="M170" i="7"/>
  <c r="L170" i="7"/>
  <c r="K170" i="7"/>
  <c r="J170" i="7"/>
  <c r="I170" i="7"/>
  <c r="H170" i="7"/>
  <c r="G170" i="7"/>
  <c r="F170" i="7"/>
  <c r="E170" i="7"/>
  <c r="D170" i="7"/>
  <c r="C170" i="7"/>
  <c r="B170" i="7"/>
  <c r="M142" i="7"/>
  <c r="L142" i="7"/>
  <c r="K142" i="7"/>
  <c r="J142" i="7"/>
  <c r="I142" i="7"/>
  <c r="H142" i="7"/>
  <c r="G142" i="7"/>
  <c r="F142" i="7"/>
  <c r="E142" i="7"/>
  <c r="D142" i="7"/>
  <c r="C142" i="7"/>
  <c r="B142" i="7"/>
  <c r="M110" i="7"/>
  <c r="L110" i="7"/>
  <c r="K110" i="7"/>
  <c r="J110" i="7"/>
  <c r="I110" i="7"/>
  <c r="H110" i="7"/>
  <c r="G110" i="7"/>
  <c r="F110" i="7"/>
  <c r="E110" i="7"/>
  <c r="D110" i="7"/>
  <c r="C110" i="7"/>
  <c r="B110" i="7"/>
  <c r="C82" i="7"/>
  <c r="D82" i="7"/>
  <c r="E82" i="7"/>
  <c r="F82" i="7"/>
  <c r="G82" i="7"/>
  <c r="H82" i="7"/>
  <c r="I82" i="7"/>
  <c r="J82" i="7"/>
  <c r="K82" i="7"/>
  <c r="L82" i="7"/>
  <c r="M82" i="7"/>
  <c r="B82" i="7"/>
  <c r="M306" i="6"/>
  <c r="L306" i="6"/>
  <c r="K306" i="6"/>
  <c r="J306" i="6"/>
  <c r="I306" i="6"/>
  <c r="H306" i="6"/>
  <c r="G306" i="6"/>
  <c r="F306" i="6"/>
  <c r="E306" i="6"/>
  <c r="D306" i="6"/>
  <c r="C306" i="6"/>
  <c r="B306" i="6"/>
  <c r="M278" i="6"/>
  <c r="L278" i="6"/>
  <c r="K278" i="6"/>
  <c r="J278" i="6"/>
  <c r="I278" i="6"/>
  <c r="H278" i="6"/>
  <c r="G278" i="6"/>
  <c r="F278" i="6"/>
  <c r="E278" i="6"/>
  <c r="D278" i="6"/>
  <c r="C278" i="6"/>
  <c r="B278" i="6"/>
  <c r="C246" i="6"/>
  <c r="D246" i="6"/>
  <c r="E246" i="6"/>
  <c r="F246" i="6"/>
  <c r="G246" i="6"/>
  <c r="H246" i="6"/>
  <c r="I246" i="6"/>
  <c r="J246" i="6"/>
  <c r="K246" i="6"/>
  <c r="L246" i="6"/>
  <c r="M246" i="6"/>
  <c r="B246" i="6"/>
  <c r="C214" i="6"/>
  <c r="D214" i="6"/>
  <c r="E214" i="6"/>
  <c r="F214" i="6"/>
  <c r="G214" i="6"/>
  <c r="H214" i="6"/>
  <c r="I214" i="6"/>
  <c r="J214" i="6"/>
  <c r="K214" i="6"/>
  <c r="L214" i="6"/>
  <c r="M214" i="6"/>
  <c r="B214" i="6"/>
  <c r="M142" i="6"/>
  <c r="L142" i="6"/>
  <c r="K142" i="6"/>
  <c r="J142" i="6"/>
  <c r="I142" i="6"/>
  <c r="H142" i="6"/>
  <c r="G142" i="6"/>
  <c r="F142" i="6"/>
  <c r="E142" i="6"/>
  <c r="D142" i="6"/>
  <c r="C142" i="6"/>
  <c r="B142" i="6"/>
  <c r="M110" i="6"/>
  <c r="L110" i="6"/>
  <c r="K110" i="6"/>
  <c r="J110" i="6"/>
  <c r="I110" i="6"/>
  <c r="H110" i="6"/>
  <c r="G110" i="6"/>
  <c r="F110" i="6"/>
  <c r="E110" i="6"/>
  <c r="D110" i="6"/>
  <c r="C110" i="6"/>
  <c r="B110" i="6"/>
  <c r="C82" i="6"/>
  <c r="D82" i="6"/>
  <c r="E82" i="6"/>
  <c r="F82" i="6"/>
  <c r="G82" i="6"/>
  <c r="H82" i="6"/>
  <c r="I82" i="6"/>
  <c r="J82" i="6"/>
  <c r="K82" i="6"/>
  <c r="L82" i="6"/>
  <c r="M82" i="6"/>
  <c r="B82" i="6"/>
  <c r="C50" i="6"/>
  <c r="D50" i="6"/>
  <c r="E50" i="6"/>
  <c r="F50" i="6"/>
  <c r="G50" i="6"/>
  <c r="H50" i="6"/>
  <c r="I50" i="6"/>
  <c r="J50" i="6"/>
  <c r="K50" i="6"/>
  <c r="L50" i="6"/>
  <c r="M50" i="6"/>
  <c r="B50" i="6"/>
  <c r="M309" i="5"/>
  <c r="L309" i="5"/>
  <c r="K309" i="5"/>
  <c r="J309" i="5"/>
  <c r="I309" i="5"/>
  <c r="H309" i="5"/>
  <c r="G309" i="5"/>
  <c r="F309" i="5"/>
  <c r="E309" i="5"/>
  <c r="D309" i="5"/>
  <c r="C309" i="5"/>
  <c r="B309" i="5"/>
  <c r="M281" i="5"/>
  <c r="L281" i="5"/>
  <c r="K281" i="5"/>
  <c r="J281" i="5"/>
  <c r="I281" i="5"/>
  <c r="H281" i="5"/>
  <c r="G281" i="5"/>
  <c r="F281" i="5"/>
  <c r="E281" i="5"/>
  <c r="D281" i="5"/>
  <c r="C281" i="5"/>
  <c r="B281" i="5"/>
  <c r="C249" i="5"/>
  <c r="D249" i="5"/>
  <c r="E249" i="5"/>
  <c r="F249" i="5"/>
  <c r="G249" i="5"/>
  <c r="H249" i="5"/>
  <c r="I249" i="5"/>
  <c r="J249" i="5"/>
  <c r="K249" i="5"/>
  <c r="L249" i="5"/>
  <c r="M249" i="5"/>
  <c r="B249" i="5"/>
  <c r="C217" i="5"/>
  <c r="D217" i="5"/>
  <c r="E217" i="5"/>
  <c r="F217" i="5"/>
  <c r="G217" i="5"/>
  <c r="H217" i="5"/>
  <c r="I217" i="5"/>
  <c r="J217" i="5"/>
  <c r="K217" i="5"/>
  <c r="L217" i="5"/>
  <c r="M217" i="5"/>
  <c r="B217" i="5"/>
  <c r="C173" i="5"/>
  <c r="D173" i="5"/>
  <c r="E173" i="5"/>
  <c r="F173" i="5"/>
  <c r="G173" i="5"/>
  <c r="H173" i="5"/>
  <c r="I173" i="5"/>
  <c r="J173" i="5"/>
  <c r="K173" i="5"/>
  <c r="L173" i="5"/>
  <c r="M173" i="5"/>
  <c r="B173" i="5"/>
  <c r="C145" i="5"/>
  <c r="E145" i="5"/>
  <c r="F145" i="5"/>
  <c r="G145" i="5"/>
  <c r="H145" i="5"/>
  <c r="I145" i="5"/>
  <c r="J145" i="5"/>
  <c r="K145" i="5"/>
  <c r="L145" i="5"/>
  <c r="M145" i="5"/>
  <c r="B145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C85" i="5"/>
  <c r="D85" i="5"/>
  <c r="E85" i="5"/>
  <c r="F85" i="5"/>
  <c r="G85" i="5"/>
  <c r="H85" i="5"/>
  <c r="I85" i="5"/>
  <c r="J85" i="5"/>
  <c r="K85" i="5"/>
  <c r="L85" i="5"/>
  <c r="M85" i="5"/>
  <c r="B85" i="5"/>
  <c r="Z15" i="1" l="1"/>
  <c r="AK15" i="1"/>
  <c r="Z32" i="1"/>
  <c r="AK32" i="1"/>
  <c r="Y19" i="1"/>
  <c r="AJ19" i="1"/>
  <c r="Y35" i="1"/>
  <c r="AJ35" i="1"/>
  <c r="AL20" i="1"/>
  <c r="AA20" i="1"/>
  <c r="AL12" i="1"/>
  <c r="AA12" i="1"/>
  <c r="Z20" i="1"/>
  <c r="AK20" i="1"/>
  <c r="AA17" i="1"/>
  <c r="AL17" i="1"/>
  <c r="Y12" i="1"/>
  <c r="AJ12" i="1"/>
  <c r="Y14" i="1"/>
  <c r="AJ14" i="1"/>
  <c r="Z29" i="1"/>
  <c r="AK29" i="1"/>
  <c r="AL11" i="1"/>
  <c r="AA11" i="1"/>
  <c r="Z17" i="1"/>
  <c r="AK17" i="1"/>
  <c r="AA14" i="1"/>
  <c r="AL14" i="1"/>
  <c r="Y32" i="1"/>
  <c r="AJ32" i="1"/>
  <c r="Z33" i="1"/>
  <c r="AK33" i="1"/>
  <c r="Y20" i="1"/>
  <c r="AJ20" i="1"/>
  <c r="Z14" i="1"/>
  <c r="AK14" i="1"/>
  <c r="AA32" i="1"/>
  <c r="AL32" i="1"/>
  <c r="D219" i="11"/>
  <c r="V33" i="1" s="1"/>
  <c r="AW33" i="1" s="1"/>
  <c r="C279" i="10"/>
  <c r="U19" i="1" s="1"/>
  <c r="AV19" i="1" s="1"/>
  <c r="C279" i="11"/>
  <c r="U35" i="1" s="1"/>
  <c r="AV35" i="1" s="1"/>
  <c r="B111" i="11"/>
  <c r="T29" i="1" s="1"/>
  <c r="AU29" i="1" s="1"/>
  <c r="B279" i="11"/>
  <c r="D279" i="11"/>
  <c r="V35" i="1" s="1"/>
  <c r="AW35" i="1" s="1"/>
  <c r="C251" i="11"/>
  <c r="U34" i="1" s="1"/>
  <c r="AV34" i="1" s="1"/>
  <c r="D251" i="11"/>
  <c r="V34" i="1" s="1"/>
  <c r="AW34" i="1" s="1"/>
  <c r="B187" i="11"/>
  <c r="D187" i="11"/>
  <c r="C143" i="11"/>
  <c r="U30" i="1" s="1"/>
  <c r="AV30" i="1" s="1"/>
  <c r="D143" i="11"/>
  <c r="V30" i="1" s="1"/>
  <c r="AW30" i="1" s="1"/>
  <c r="C111" i="11"/>
  <c r="D111" i="11"/>
  <c r="V29" i="1" s="1"/>
  <c r="AW29" i="1" s="1"/>
  <c r="C83" i="11"/>
  <c r="U28" i="1" s="1"/>
  <c r="AV28" i="1" s="1"/>
  <c r="B83" i="11"/>
  <c r="T28" i="1" s="1"/>
  <c r="AU28" i="1" s="1"/>
  <c r="D83" i="11"/>
  <c r="V28" i="1" s="1"/>
  <c r="AW28" i="1" s="1"/>
  <c r="C51" i="11"/>
  <c r="U27" i="1" s="1"/>
  <c r="AV27" i="1" s="1"/>
  <c r="B51" i="11"/>
  <c r="T27" i="1" s="1"/>
  <c r="AU27" i="1" s="1"/>
  <c r="T33" i="1"/>
  <c r="AU33" i="1" s="1"/>
  <c r="C187" i="11"/>
  <c r="B143" i="11"/>
  <c r="T30" i="1" s="1"/>
  <c r="AU30" i="1" s="1"/>
  <c r="C83" i="10"/>
  <c r="U11" i="1" s="1"/>
  <c r="AV11" i="1" s="1"/>
  <c r="B83" i="10"/>
  <c r="T11" i="1" s="1"/>
  <c r="AU11" i="1" s="1"/>
  <c r="B215" i="10"/>
  <c r="T15" i="1" s="1"/>
  <c r="AU15" i="1" s="1"/>
  <c r="C143" i="10"/>
  <c r="U13" i="1" s="1"/>
  <c r="AV13" i="1" s="1"/>
  <c r="B307" i="10"/>
  <c r="D307" i="10"/>
  <c r="D279" i="10"/>
  <c r="V19" i="1" s="1"/>
  <c r="AW19" i="1" s="1"/>
  <c r="C247" i="10"/>
  <c r="B247" i="10"/>
  <c r="T17" i="1" s="1"/>
  <c r="AU17" i="1" s="1"/>
  <c r="D215" i="10"/>
  <c r="V15" i="1" s="1"/>
  <c r="AW15" i="1" s="1"/>
  <c r="C171" i="10"/>
  <c r="D171" i="10"/>
  <c r="B143" i="10"/>
  <c r="T13" i="1" s="1"/>
  <c r="AU13" i="1" s="1"/>
  <c r="D143" i="10"/>
  <c r="V13" i="1" s="1"/>
  <c r="AW13" i="1" s="1"/>
  <c r="C111" i="10"/>
  <c r="U12" i="1" s="1"/>
  <c r="AV12" i="1" s="1"/>
  <c r="B111" i="10"/>
  <c r="D111" i="10"/>
  <c r="D83" i="10"/>
  <c r="C51" i="10"/>
  <c r="U10" i="1" s="1"/>
  <c r="AV10" i="1" s="1"/>
  <c r="B51" i="10"/>
  <c r="T10" i="1" s="1"/>
  <c r="AU10" i="1" s="1"/>
  <c r="D51" i="10"/>
  <c r="V10" i="1" s="1"/>
  <c r="AW10" i="1" s="1"/>
  <c r="B279" i="10"/>
  <c r="D247" i="10"/>
  <c r="C215" i="10"/>
  <c r="C307" i="10"/>
  <c r="B171" i="10"/>
  <c r="B251" i="11"/>
  <c r="T34" i="1" s="1"/>
  <c r="AU34" i="1" s="1"/>
  <c r="D51" i="11"/>
  <c r="V27" i="1" s="1"/>
  <c r="AW27" i="1" s="1"/>
  <c r="C251" i="8"/>
  <c r="M34" i="1" s="1"/>
  <c r="D251" i="8"/>
  <c r="N34" i="1" s="1"/>
  <c r="C279" i="8"/>
  <c r="C307" i="7"/>
  <c r="B171" i="6"/>
  <c r="C171" i="6"/>
  <c r="B307" i="6"/>
  <c r="B215" i="6"/>
  <c r="D171" i="6"/>
  <c r="C310" i="5"/>
  <c r="B310" i="5"/>
  <c r="C282" i="5"/>
  <c r="E19" i="1" s="1"/>
  <c r="B282" i="5"/>
  <c r="D282" i="5"/>
  <c r="C279" i="7"/>
  <c r="M19" i="1" s="1"/>
  <c r="D310" i="5"/>
  <c r="D279" i="8"/>
  <c r="B279" i="8"/>
  <c r="B251" i="8"/>
  <c r="L34" i="1" s="1"/>
  <c r="B307" i="7"/>
  <c r="D307" i="7"/>
  <c r="B279" i="7"/>
  <c r="L19" i="1" s="1"/>
  <c r="D279" i="7"/>
  <c r="C307" i="6"/>
  <c r="D307" i="6"/>
  <c r="C279" i="6"/>
  <c r="E34" i="1" s="1"/>
  <c r="D279" i="6"/>
  <c r="F34" i="1" s="1"/>
  <c r="B279" i="6"/>
  <c r="D34" i="1" s="1"/>
  <c r="D219" i="8"/>
  <c r="B143" i="8"/>
  <c r="C219" i="8"/>
  <c r="B219" i="8"/>
  <c r="B187" i="8"/>
  <c r="D143" i="8"/>
  <c r="D187" i="8"/>
  <c r="C187" i="8"/>
  <c r="C143" i="8"/>
  <c r="D111" i="8"/>
  <c r="D83" i="8"/>
  <c r="N28" i="1" s="1"/>
  <c r="B111" i="8"/>
  <c r="C83" i="8"/>
  <c r="M28" i="1" s="1"/>
  <c r="C111" i="8"/>
  <c r="B83" i="8"/>
  <c r="L28" i="1" s="1"/>
  <c r="D51" i="8"/>
  <c r="C51" i="8"/>
  <c r="B51" i="8"/>
  <c r="D215" i="7"/>
  <c r="C215" i="7"/>
  <c r="C143" i="7"/>
  <c r="D171" i="7"/>
  <c r="C247" i="7"/>
  <c r="D247" i="7"/>
  <c r="B247" i="7"/>
  <c r="L17" i="1" s="1"/>
  <c r="B215" i="7"/>
  <c r="D143" i="7"/>
  <c r="B171" i="7"/>
  <c r="C171" i="7"/>
  <c r="B143" i="7"/>
  <c r="C111" i="7"/>
  <c r="D111" i="7"/>
  <c r="C83" i="7"/>
  <c r="B111" i="7"/>
  <c r="D83" i="7"/>
  <c r="B83" i="7"/>
  <c r="B247" i="6"/>
  <c r="C215" i="6"/>
  <c r="C247" i="6"/>
  <c r="D247" i="6"/>
  <c r="D143" i="6"/>
  <c r="D215" i="6"/>
  <c r="C143" i="6"/>
  <c r="B143" i="6"/>
  <c r="C111" i="6"/>
  <c r="D111" i="6"/>
  <c r="B111" i="6"/>
  <c r="C83" i="6"/>
  <c r="E28" i="1" s="1"/>
  <c r="D83" i="6"/>
  <c r="F28" i="1" s="1"/>
  <c r="B83" i="6"/>
  <c r="D28" i="1" s="1"/>
  <c r="C51" i="6"/>
  <c r="B51" i="6"/>
  <c r="D51" i="6"/>
  <c r="D250" i="5"/>
  <c r="B250" i="5"/>
  <c r="C250" i="5"/>
  <c r="D174" i="5"/>
  <c r="B146" i="5"/>
  <c r="D146" i="5"/>
  <c r="B174" i="5"/>
  <c r="D218" i="5"/>
  <c r="C146" i="5"/>
  <c r="C218" i="5"/>
  <c r="B218" i="5"/>
  <c r="C174" i="5"/>
  <c r="B86" i="5"/>
  <c r="C114" i="5"/>
  <c r="C86" i="5"/>
  <c r="D86" i="5"/>
  <c r="F11" i="1" s="1"/>
  <c r="D114" i="5"/>
  <c r="B114" i="5"/>
  <c r="C50" i="7"/>
  <c r="D50" i="7"/>
  <c r="E50" i="7"/>
  <c r="F50" i="7"/>
  <c r="G50" i="7"/>
  <c r="H50" i="7"/>
  <c r="I50" i="7"/>
  <c r="J50" i="7"/>
  <c r="K50" i="7"/>
  <c r="L50" i="7"/>
  <c r="M50" i="7"/>
  <c r="B50" i="7"/>
  <c r="C50" i="5"/>
  <c r="D50" i="5"/>
  <c r="E50" i="5"/>
  <c r="F50" i="5"/>
  <c r="G50" i="5"/>
  <c r="H50" i="5"/>
  <c r="I50" i="5"/>
  <c r="J50" i="5"/>
  <c r="K50" i="5"/>
  <c r="L50" i="5"/>
  <c r="M50" i="5"/>
  <c r="B50" i="5"/>
  <c r="Y11" i="1" l="1"/>
  <c r="AJ11" i="1"/>
  <c r="AA27" i="1"/>
  <c r="AL27" i="1"/>
  <c r="Y10" i="1"/>
  <c r="AJ10" i="1"/>
  <c r="Z13" i="1"/>
  <c r="AK13" i="1"/>
  <c r="Z27" i="1"/>
  <c r="AK27" i="1"/>
  <c r="Z19" i="1"/>
  <c r="AK19" i="1"/>
  <c r="Y34" i="1"/>
  <c r="AJ34" i="1"/>
  <c r="Z10" i="1"/>
  <c r="AK10" i="1"/>
  <c r="Y15" i="1"/>
  <c r="AJ15" i="1"/>
  <c r="AA28" i="1"/>
  <c r="AL28" i="1"/>
  <c r="AA33" i="1"/>
  <c r="AL33" i="1"/>
  <c r="Y28" i="1"/>
  <c r="AJ28" i="1"/>
  <c r="Z28" i="1"/>
  <c r="AK28" i="1"/>
  <c r="Y30" i="1"/>
  <c r="AJ30" i="1"/>
  <c r="AA29" i="1"/>
  <c r="AL29" i="1"/>
  <c r="AA35" i="1"/>
  <c r="AL35" i="1"/>
  <c r="Y17" i="1"/>
  <c r="AJ17" i="1"/>
  <c r="Z12" i="1"/>
  <c r="AK12" i="1"/>
  <c r="AL19" i="1"/>
  <c r="AA19" i="1"/>
  <c r="AA34" i="1"/>
  <c r="AL34" i="1"/>
  <c r="Z11" i="1"/>
  <c r="AK11" i="1"/>
  <c r="AL13" i="1"/>
  <c r="AA13" i="1"/>
  <c r="Y33" i="1"/>
  <c r="AJ33" i="1"/>
  <c r="AA30" i="1"/>
  <c r="AL30" i="1"/>
  <c r="Y29" i="1"/>
  <c r="AJ29" i="1"/>
  <c r="AA15" i="1"/>
  <c r="AL15" i="1"/>
  <c r="Z34" i="1"/>
  <c r="AK34" i="1"/>
  <c r="AL10" i="1"/>
  <c r="AA10" i="1"/>
  <c r="Y13" i="1"/>
  <c r="AJ13" i="1"/>
  <c r="Y27" i="1"/>
  <c r="AJ27" i="1"/>
  <c r="Z30" i="1"/>
  <c r="AK30" i="1"/>
  <c r="Z35" i="1"/>
  <c r="AK35" i="1"/>
  <c r="D51" i="7"/>
  <c r="B51" i="7"/>
  <c r="C51" i="7"/>
  <c r="C53" i="5"/>
  <c r="D53" i="5"/>
  <c r="B51" i="5"/>
  <c r="B52" i="5" s="1"/>
  <c r="B53" i="5"/>
  <c r="D51" i="5"/>
  <c r="D52" i="5" s="1"/>
  <c r="C51" i="5"/>
  <c r="C52" i="5" s="1"/>
  <c r="C54" i="5" l="1"/>
  <c r="D54" i="5"/>
  <c r="B5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Tovar</author>
  </authors>
  <commentList>
    <comment ref="F9" authorId="0" shapeId="0" xr:uid="{D7867FBB-93BD-48FB-9EA4-4FBF2EC2655D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Es m/s, multiplicarlo por 3.6~4</t>
        </r>
      </text>
    </comment>
    <comment ref="F26" authorId="0" shapeId="0" xr:uid="{EAACEE7A-7B5E-449A-8FFC-BA0AA227DC68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Es m/s, multiplicarlo por 3.6~4</t>
        </r>
      </text>
    </comment>
    <comment ref="N26" authorId="0" shapeId="0" xr:uid="{C06A1667-953A-4078-A34A-23F3E77C75C0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Es m/s, multiplicarlo por 3.6~4</t>
        </r>
      </text>
    </comment>
    <comment ref="V26" authorId="0" shapeId="0" xr:uid="{68FD2451-F06F-4114-AB89-E6AD69FEE762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Es m/s, multiplicarlo por 3.6~4</t>
        </r>
      </text>
    </comment>
    <comment ref="AG26" authorId="0" shapeId="0" xr:uid="{36EC8145-2583-4A14-BFB5-38F64339DBA1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Es m/s, multiplicarlo por 3.6~4</t>
        </r>
      </text>
    </comment>
    <comment ref="AR26" authorId="0" shapeId="0" xr:uid="{F7A1E563-1906-41F0-A487-AA70E8783C62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Es m/s, multiplicarlo por 3.6~4</t>
        </r>
      </text>
    </comment>
    <comment ref="BC26" authorId="0" shapeId="0" xr:uid="{72A20103-CA7F-4CD0-884D-2F039AC9BD47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Es m/s, multiplicarlo por 3.6~4</t>
        </r>
      </text>
    </comment>
    <comment ref="BN26" authorId="0" shapeId="0" xr:uid="{FDBE09C6-1CD4-46CA-8A6F-DD36E297287D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Es m/s, multiplicarlo por 3.6~4</t>
        </r>
      </text>
    </comment>
    <comment ref="M33" authorId="0" shapeId="0" xr:uid="{A10D3DD1-737F-42FA-9248-3373276DD5DB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igual, 60m mas
</t>
        </r>
      </text>
    </comment>
    <comment ref="U33" authorId="0" shapeId="0" xr:uid="{CC9BECCB-2C82-4691-B454-4BE78CF24D15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igual, 60m mas
</t>
        </r>
      </text>
    </comment>
    <comment ref="AF33" authorId="0" shapeId="0" xr:uid="{4E6C37A6-44DF-41F5-A4BE-162002339766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igual, 60m mas
</t>
        </r>
      </text>
    </comment>
    <comment ref="AQ33" authorId="0" shapeId="0" xr:uid="{BC132476-8CEC-49A2-B04D-ED212E307EE5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igual, 60m mas
</t>
        </r>
      </text>
    </comment>
    <comment ref="BB33" authorId="0" shapeId="0" xr:uid="{D35DBC84-D2D4-4611-878C-1075FBB7D82C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igual, 60m mas
</t>
        </r>
      </text>
    </comment>
    <comment ref="BM33" authorId="0" shapeId="0" xr:uid="{22DD3C61-383E-426F-81D2-47C470E9E95F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igual, 60m mas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Tovar</author>
  </authors>
  <commentList>
    <comment ref="G5" authorId="0" shapeId="0" xr:uid="{3DC52B54-C6AD-4179-82EF-09F71ED2CD55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Vehiculos de viajan desde Salida Quiroga hasta Hospitales.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Tovar</author>
  </authors>
  <commentList>
    <comment ref="G5" authorId="0" shapeId="0" xr:uid="{384E7633-7300-4548-BF9A-4DAF8CFAC133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Vehiculos de viajan desde Salida Quiroga hasta Hospitales.</t>
        </r>
      </text>
    </comment>
    <comment ref="C170" authorId="0" shapeId="0" xr:uid="{C28B8EF7-FEBD-4DBE-BED5-963F8901A8F5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sumarle el tramo</t>
        </r>
      </text>
    </comment>
    <comment ref="C246" authorId="0" shapeId="0" xr:uid="{C81E8D95-DA27-4B7F-AC56-1A90335965D1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sumarle el tramo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Tovar</author>
  </authors>
  <commentList>
    <comment ref="G5" authorId="0" shapeId="0" xr:uid="{20167650-1D22-4AEC-9A73-BD1594EB5F62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Vehiculos de viajan desde Salida Quiroga hasta Hospitales.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Tovar</author>
  </authors>
  <commentList>
    <comment ref="G5" authorId="0" shapeId="0" xr:uid="{AA65A1E3-3848-4EF9-8282-C58F39ACD788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Vehiculos de viajan desde Salida Quiroga hasta Hospitales.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Tovar</author>
  </authors>
  <commentList>
    <comment ref="G5" authorId="0" shapeId="0" xr:uid="{21EC6866-BF11-4FC4-9684-B2AB7587EB94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Vehiculos de viajan desde Salida Quiroga hasta Hospitales.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Tovar</author>
  </authors>
  <commentList>
    <comment ref="G5" authorId="0" shapeId="0" xr:uid="{5F0100BF-FEDF-4209-B637-3D07FE7C2FC4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Vehiculos de viajan desde Salida Quiroga hasta Hospitales.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Tovar</author>
  </authors>
  <commentList>
    <comment ref="B2" authorId="0" shapeId="0" xr:uid="{F513D3B8-549E-41AF-87B3-9326434ABB47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Para estimar las emisiones de CO, CO2, NOx y PMx en Sumo con los datos proporcionados, necesitas tener en cuenta varios factores, como la distancia recorrida por los vehículos, su eficiencia y el tipo de emisión por kilómetro. Sin embargo, dado que no tengo acceso directo a un modelo de emisión específico, puedo ofrecerte una forma de estimar las emisiones utilizando fórmulas generales.
Datos Proporcionados
Longitud del camino: 21 km
Número de vehículos: 13,000
Duración de la simulación: 1 hora
Velocidad máxima: 20 m/s (aprox. 72 km/h)
Estimación de Emisiones
Distancia total recorrida:
Distancia total=Numero de vehiculos×Longitud del camino=13,000×21 km=273000 kmDistancia total=Numero de vehiculos×Longitud del camino=13,000×21 km=273,000 km
Emisiones por tipo (ejemplo aproximado por km)
CO: 0.2 g/km
CO2: 120 g/km
NOx: 0.04 g/km
PMx: 0.01 g/km
Cálculo de emisiones totales
CO:
Emisiones de CO=273,000km×0.2g/km=54,600g=54.6kg
Emisiones de CO=273,000 km×0.2 g/km=54,600 g=54.6 kg
CO2:
Emisiones de CO2=273,000 km×120g/km=32,760,000 g=32,760 kg
Emisiones de CO2=273,000 km×120 g/km=32,760,000 g=32,760 kg
NOx:
Emisiones de NOx=273,000 km×0.04 g/km=10,920 g=10.92 kg
Emisiones de NOx=273,000 km×0.04 g/km=10,920 g=10.92 kg
PMx:
Emisiones de PMx=273,000 km×0.01 g/km=2,730 g=2.73 kg
Emisiones de PMx=273,000 km×0.01 g/km=2,730 g=2.73 kg
Resultados Estimados
Emisiones de CO: 54.6 kg
Emisiones de CO2: 32,760 kg
Emisiones de NOx: 10.92 kg
Emisiones de PMx: 2.73 </t>
        </r>
      </text>
    </comment>
  </commentList>
</comments>
</file>

<file path=xl/sharedStrings.xml><?xml version="1.0" encoding="utf-8"?>
<sst xmlns="http://schemas.openxmlformats.org/spreadsheetml/2006/main" count="1104" uniqueCount="69">
  <si>
    <t xml:space="preserve">Intersecciones </t>
  </si>
  <si>
    <t>Salida Quiroga</t>
  </si>
  <si>
    <t>San Juanito</t>
  </si>
  <si>
    <t>Av. Escuadron</t>
  </si>
  <si>
    <t>Monumento</t>
  </si>
  <si>
    <t>Michelena</t>
  </si>
  <si>
    <t>Pozarica</t>
  </si>
  <si>
    <t>Caballito</t>
  </si>
  <si>
    <t>Salida Charo</t>
  </si>
  <si>
    <t>Detectores IDA</t>
  </si>
  <si>
    <t>Detectores VUELTA</t>
  </si>
  <si>
    <t>Intersecciones IDA</t>
  </si>
  <si>
    <t>Intersecciones VUELTA</t>
  </si>
  <si>
    <t>VELOCIDAD</t>
  </si>
  <si>
    <t>LONG COLA</t>
  </si>
  <si>
    <t>TIEMPO ESPERA</t>
  </si>
  <si>
    <t>TIEMPO VIAJE</t>
  </si>
  <si>
    <t>Corrida 1</t>
  </si>
  <si>
    <t>Corrida 2</t>
  </si>
  <si>
    <t>Corrida 3</t>
  </si>
  <si>
    <t>Corrida 4</t>
  </si>
  <si>
    <t>Tiempos de espera</t>
  </si>
  <si>
    <t>Long. Cola</t>
  </si>
  <si>
    <t>Velocidad</t>
  </si>
  <si>
    <t>Tiempo de Viaje</t>
  </si>
  <si>
    <t>Corridas</t>
  </si>
  <si>
    <t>Segundos</t>
  </si>
  <si>
    <t>principal</t>
  </si>
  <si>
    <t>lateral</t>
  </si>
  <si>
    <t>Av. Ecuadron 201</t>
  </si>
  <si>
    <t>Intersecciones IDA BRT</t>
  </si>
  <si>
    <t>Intersecciones VUELTA BRT</t>
  </si>
  <si>
    <t>ESCENARIO ORIGINAL</t>
  </si>
  <si>
    <t>ESCENARIO BRT</t>
  </si>
  <si>
    <t>PROMEDIOS</t>
  </si>
  <si>
    <t>PROMEDIO 4</t>
  </si>
  <si>
    <t>ERROR AD</t>
  </si>
  <si>
    <t>DESVIAC</t>
  </si>
  <si>
    <t>Nm</t>
  </si>
  <si>
    <t>PROMEDIO</t>
  </si>
  <si>
    <t>PRINCIPAL</t>
  </si>
  <si>
    <t>LATERAL</t>
  </si>
  <si>
    <t xml:space="preserve">PROMEDIO </t>
  </si>
  <si>
    <t>CO</t>
  </si>
  <si>
    <t>CO2</t>
  </si>
  <si>
    <t>Nox</t>
  </si>
  <si>
    <t>PMx</t>
  </si>
  <si>
    <t>g</t>
  </si>
  <si>
    <t>kg</t>
  </si>
  <si>
    <t xml:space="preserve">Datos de 1 vehiculo con todos los parametros de SUMO </t>
  </si>
  <si>
    <t>Esto para 1 vehiculo:</t>
  </si>
  <si>
    <t>Para 26 mil vehiculos aproximadamente:</t>
  </si>
  <si>
    <t>540 transportes</t>
  </si>
  <si>
    <t>Intersecciones VUELTA BRT TRANS</t>
  </si>
  <si>
    <t>Intersecciones IDA BRT TRANS</t>
  </si>
  <si>
    <t>ESCENARIO BRT CON TRANSPORTE</t>
  </si>
  <si>
    <t>g/km</t>
  </si>
  <si>
    <t>gr</t>
  </si>
  <si>
    <t>1BRT/ 21 km/vel 40/21 paradas</t>
  </si>
  <si>
    <t>1 BRT(MERCEDES,diesel)</t>
  </si>
  <si>
    <t>1 automovil</t>
  </si>
  <si>
    <t>1 camion</t>
  </si>
  <si>
    <t>1 brt</t>
  </si>
  <si>
    <t>abajo esta</t>
  </si>
  <si>
    <t>en word</t>
  </si>
  <si>
    <t>ESCENARIO BRT CON TRANSPORTE, MIGRACION AL 6%</t>
  </si>
  <si>
    <t>ESCENARIO BRT CON TRANSPORTE, MIGRACION AL 12%</t>
  </si>
  <si>
    <t>ESCENARIO BRT CON TRANSPORTE, MIGRACION AL 18%</t>
  </si>
  <si>
    <t>ESCENARIO BRT CON TRANSPORTE, MIGRACION AL 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</si>
</sst>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/>
    <xf numFmtId="0" fontId="0" fillId="4" borderId="2" xfId="0" applyFill="1" applyBorder="1"/>
    <xf numFmtId="0" fontId="0" fillId="0" borderId="1" xfId="0" applyBorder="1"/>
    <xf numFmtId="0" fontId="0" fillId="11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0" xfId="0" applyFont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2" borderId="0" xfId="0" applyFill="1"/>
    <xf numFmtId="0" fontId="0" fillId="0" borderId="3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2" fontId="4" fillId="3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2" fontId="4" fillId="2" borderId="1" xfId="0" applyNumberFormat="1" applyFont="1" applyFill="1" applyBorder="1" applyAlignment="1">
      <alignment horizontal="center"/>
    </xf>
    <xf numFmtId="2" fontId="0" fillId="13" borderId="0" xfId="0" applyNumberFormat="1" applyFill="1" applyAlignment="1">
      <alignment vertical="center"/>
    </xf>
    <xf numFmtId="0" fontId="0" fillId="14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4" fillId="3" borderId="4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2" fontId="0" fillId="12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0AF9-8682-49F7-AC89-B668BE9858A7}">
  <dimension ref="B2:BO36"/>
  <sheetViews>
    <sheetView tabSelected="1" topLeftCell="AX1" workbookViewId="0">
      <selection activeCell="BN35" sqref="BN35"/>
    </sheetView>
  </sheetViews>
  <sheetFormatPr baseColWidth="10" defaultRowHeight="14.4" x14ac:dyDescent="0.3"/>
  <cols>
    <col min="1" max="1" width="5" customWidth="1"/>
    <col min="3" max="3" width="13.21875" bestFit="1" customWidth="1"/>
    <col min="4" max="4" width="14.77734375" bestFit="1" customWidth="1"/>
    <col min="5" max="5" width="13.5546875" bestFit="1" customWidth="1"/>
    <col min="6" max="6" width="11.88671875" customWidth="1"/>
    <col min="7" max="7" width="12.44140625" bestFit="1" customWidth="1"/>
    <col min="8" max="8" width="4.5546875" customWidth="1"/>
    <col min="9" max="9" width="4.88671875" customWidth="1"/>
    <col min="11" max="11" width="13.21875" bestFit="1" customWidth="1"/>
    <col min="12" max="12" width="14.77734375" bestFit="1" customWidth="1"/>
    <col min="13" max="13" width="13.5546875" bestFit="1" customWidth="1"/>
    <col min="14" max="14" width="11.6640625" customWidth="1"/>
    <col min="15" max="15" width="12.44140625" bestFit="1" customWidth="1"/>
    <col min="16" max="16" width="5" customWidth="1"/>
    <col min="17" max="17" width="5.33203125" customWidth="1"/>
    <col min="19" max="19" width="13.44140625" bestFit="1" customWidth="1"/>
    <col min="20" max="20" width="14.6640625" bestFit="1" customWidth="1"/>
    <col min="23" max="23" width="12.88671875" bestFit="1" customWidth="1"/>
    <col min="24" max="27" width="5.6640625" customWidth="1"/>
    <col min="28" max="28" width="5.88671875" customWidth="1"/>
    <col min="30" max="30" width="13.44140625" bestFit="1" customWidth="1"/>
    <col min="31" max="31" width="14.6640625" bestFit="1" customWidth="1"/>
    <col min="34" max="34" width="12.88671875" bestFit="1" customWidth="1"/>
    <col min="35" max="38" width="4.88671875" customWidth="1"/>
    <col min="39" max="39" width="5.21875" customWidth="1"/>
    <col min="41" max="41" width="13.44140625" bestFit="1" customWidth="1"/>
    <col min="42" max="42" width="14.6640625" bestFit="1" customWidth="1"/>
    <col min="45" max="45" width="12.88671875" bestFit="1" customWidth="1"/>
    <col min="46" max="49" width="4.77734375" customWidth="1"/>
    <col min="50" max="50" width="5.109375" customWidth="1"/>
    <col min="52" max="52" width="13.44140625" bestFit="1" customWidth="1"/>
    <col min="53" max="53" width="14.6640625" bestFit="1" customWidth="1"/>
    <col min="56" max="56" width="12.88671875" bestFit="1" customWidth="1"/>
    <col min="57" max="60" width="4.88671875" customWidth="1"/>
    <col min="61" max="61" width="5.109375" customWidth="1"/>
    <col min="63" max="63" width="13.44140625" bestFit="1" customWidth="1"/>
    <col min="64" max="64" width="14.6640625" bestFit="1" customWidth="1"/>
    <col min="67" max="67" width="12.88671875" bestFit="1" customWidth="1"/>
  </cols>
  <sheetData>
    <row r="2" spans="2:67" x14ac:dyDescent="0.3">
      <c r="B2" s="25" t="s">
        <v>32</v>
      </c>
      <c r="C2" s="25"/>
      <c r="D2" s="25"/>
      <c r="E2" s="25"/>
      <c r="F2" s="25"/>
      <c r="G2" s="25"/>
      <c r="J2" s="25" t="s">
        <v>33</v>
      </c>
      <c r="K2" s="25"/>
      <c r="L2" s="25"/>
      <c r="M2" s="25"/>
      <c r="N2" s="25"/>
      <c r="O2" s="25"/>
      <c r="R2" s="25" t="s">
        <v>55</v>
      </c>
      <c r="S2" s="25"/>
      <c r="T2" s="25"/>
      <c r="U2" s="25"/>
      <c r="V2" s="25"/>
      <c r="W2" s="25"/>
      <c r="AC2" s="25" t="s">
        <v>65</v>
      </c>
      <c r="AD2" s="25"/>
      <c r="AE2" s="25"/>
      <c r="AF2" s="25"/>
      <c r="AG2" s="25"/>
      <c r="AH2" s="25"/>
      <c r="AN2" s="25" t="s">
        <v>66</v>
      </c>
      <c r="AO2" s="25"/>
      <c r="AP2" s="25"/>
      <c r="AQ2" s="25"/>
      <c r="AR2" s="25"/>
      <c r="AS2" s="25"/>
      <c r="AY2" s="25" t="s">
        <v>67</v>
      </c>
      <c r="AZ2" s="25"/>
      <c r="BA2" s="25"/>
      <c r="BB2" s="25"/>
      <c r="BC2" s="25"/>
      <c r="BD2" s="25"/>
      <c r="BJ2" s="25" t="s">
        <v>68</v>
      </c>
      <c r="BK2" s="25"/>
      <c r="BL2" s="25"/>
      <c r="BM2" s="25"/>
      <c r="BN2" s="25"/>
      <c r="BO2" s="25"/>
    </row>
    <row r="3" spans="2:67" x14ac:dyDescent="0.3">
      <c r="B3" s="25"/>
      <c r="C3" s="25"/>
      <c r="D3" s="25"/>
      <c r="E3" s="25"/>
      <c r="F3" s="25"/>
      <c r="G3" s="25"/>
      <c r="J3" s="25"/>
      <c r="K3" s="25"/>
      <c r="L3" s="25"/>
      <c r="M3" s="25"/>
      <c r="N3" s="25"/>
      <c r="O3" s="25"/>
      <c r="R3" s="25"/>
      <c r="S3" s="25"/>
      <c r="T3" s="25"/>
      <c r="U3" s="25"/>
      <c r="V3" s="25"/>
      <c r="W3" s="25"/>
      <c r="AC3" s="25"/>
      <c r="AD3" s="25"/>
      <c r="AE3" s="25"/>
      <c r="AF3" s="25"/>
      <c r="AG3" s="25"/>
      <c r="AH3" s="25"/>
      <c r="AN3" s="25"/>
      <c r="AO3" s="25"/>
      <c r="AP3" s="25"/>
      <c r="AQ3" s="25"/>
      <c r="AR3" s="25"/>
      <c r="AS3" s="25"/>
      <c r="AY3" s="25"/>
      <c r="AZ3" s="25"/>
      <c r="BA3" s="25"/>
      <c r="BB3" s="25"/>
      <c r="BC3" s="25"/>
      <c r="BD3" s="25"/>
      <c r="BJ3" s="25"/>
      <c r="BK3" s="25"/>
      <c r="BL3" s="25"/>
      <c r="BM3" s="25"/>
      <c r="BN3" s="25"/>
      <c r="BO3" s="25"/>
    </row>
    <row r="4" spans="2:67" x14ac:dyDescent="0.3">
      <c r="B4" s="25"/>
      <c r="C4" s="25"/>
      <c r="D4" s="25"/>
      <c r="E4" s="25"/>
      <c r="F4" s="25"/>
      <c r="G4" s="25"/>
      <c r="J4" s="25"/>
      <c r="K4" s="25"/>
      <c r="L4" s="25"/>
      <c r="M4" s="25"/>
      <c r="N4" s="25"/>
      <c r="O4" s="25"/>
      <c r="R4" s="25"/>
      <c r="S4" s="25"/>
      <c r="T4" s="25"/>
      <c r="U4" s="25"/>
      <c r="V4" s="25"/>
      <c r="W4" s="25"/>
      <c r="AC4" s="25"/>
      <c r="AD4" s="25"/>
      <c r="AE4" s="25"/>
      <c r="AF4" s="25"/>
      <c r="AG4" s="25"/>
      <c r="AH4" s="25"/>
      <c r="AN4" s="25"/>
      <c r="AO4" s="25"/>
      <c r="AP4" s="25"/>
      <c r="AQ4" s="25"/>
      <c r="AR4" s="25"/>
      <c r="AS4" s="25"/>
      <c r="AY4" s="25"/>
      <c r="AZ4" s="25"/>
      <c r="BA4" s="25"/>
      <c r="BB4" s="25"/>
      <c r="BC4" s="25"/>
      <c r="BD4" s="25"/>
      <c r="BJ4" s="25"/>
      <c r="BK4" s="25"/>
      <c r="BL4" s="25"/>
      <c r="BM4" s="25"/>
      <c r="BN4" s="25"/>
      <c r="BO4" s="25"/>
    </row>
    <row r="6" spans="2:67" x14ac:dyDescent="0.3">
      <c r="B6" s="24" t="s">
        <v>9</v>
      </c>
      <c r="C6" s="24"/>
      <c r="D6" s="24"/>
      <c r="E6" s="24"/>
      <c r="F6" s="24"/>
      <c r="G6" s="24"/>
      <c r="J6" s="24" t="s">
        <v>9</v>
      </c>
      <c r="K6" s="24"/>
      <c r="L6" s="24"/>
      <c r="M6" s="24"/>
      <c r="N6" s="24"/>
      <c r="O6" s="24"/>
      <c r="R6" s="24" t="s">
        <v>9</v>
      </c>
      <c r="S6" s="24"/>
      <c r="T6" s="24"/>
      <c r="U6" s="24"/>
      <c r="V6" s="24"/>
      <c r="W6" s="24"/>
      <c r="AC6" s="24" t="s">
        <v>9</v>
      </c>
      <c r="AD6" s="24"/>
      <c r="AE6" s="24"/>
      <c r="AF6" s="24"/>
      <c r="AG6" s="24"/>
      <c r="AH6" s="24"/>
      <c r="AN6" s="24" t="s">
        <v>9</v>
      </c>
      <c r="AO6" s="24"/>
      <c r="AP6" s="24"/>
      <c r="AQ6" s="24"/>
      <c r="AR6" s="24"/>
      <c r="AS6" s="24"/>
      <c r="AY6" s="24" t="s">
        <v>9</v>
      </c>
      <c r="AZ6" s="24"/>
      <c r="BA6" s="24"/>
      <c r="BB6" s="24"/>
      <c r="BC6" s="24"/>
      <c r="BD6" s="24"/>
      <c r="BJ6" s="24" t="s">
        <v>9</v>
      </c>
      <c r="BK6" s="24"/>
      <c r="BL6" s="24"/>
      <c r="BM6" s="24"/>
      <c r="BN6" s="24"/>
      <c r="BO6" s="24"/>
    </row>
    <row r="7" spans="2:67" x14ac:dyDescent="0.3">
      <c r="B7" s="24"/>
      <c r="C7" s="24"/>
      <c r="D7" s="24"/>
      <c r="E7" s="24"/>
      <c r="F7" s="24"/>
      <c r="G7" s="24"/>
      <c r="J7" s="24"/>
      <c r="K7" s="24"/>
      <c r="L7" s="24"/>
      <c r="M7" s="24"/>
      <c r="N7" s="24"/>
      <c r="O7" s="24"/>
      <c r="R7" s="24"/>
      <c r="S7" s="24"/>
      <c r="T7" s="24"/>
      <c r="U7" s="24"/>
      <c r="V7" s="24"/>
      <c r="W7" s="24"/>
      <c r="AC7" s="24"/>
      <c r="AD7" s="24"/>
      <c r="AE7" s="24"/>
      <c r="AF7" s="24"/>
      <c r="AG7" s="24"/>
      <c r="AH7" s="24"/>
      <c r="AN7" s="24"/>
      <c r="AO7" s="24"/>
      <c r="AP7" s="24"/>
      <c r="AQ7" s="24"/>
      <c r="AR7" s="24"/>
      <c r="AS7" s="24"/>
      <c r="AY7" s="24"/>
      <c r="AZ7" s="24"/>
      <c r="BA7" s="24"/>
      <c r="BB7" s="24"/>
      <c r="BC7" s="24"/>
      <c r="BD7" s="24"/>
      <c r="BJ7" s="24"/>
      <c r="BK7" s="24"/>
      <c r="BL7" s="24"/>
      <c r="BM7" s="24"/>
      <c r="BN7" s="24"/>
      <c r="BO7" s="24"/>
    </row>
    <row r="9" spans="2:67" x14ac:dyDescent="0.3">
      <c r="C9" s="7" t="s">
        <v>0</v>
      </c>
      <c r="D9" s="7" t="s">
        <v>15</v>
      </c>
      <c r="E9" s="7" t="s">
        <v>14</v>
      </c>
      <c r="F9" s="7" t="s">
        <v>13</v>
      </c>
      <c r="G9" s="7" t="s">
        <v>16</v>
      </c>
      <c r="K9" s="7" t="s">
        <v>0</v>
      </c>
      <c r="L9" s="7" t="s">
        <v>15</v>
      </c>
      <c r="M9" s="7" t="s">
        <v>14</v>
      </c>
      <c r="N9" s="7" t="s">
        <v>13</v>
      </c>
      <c r="O9" s="7" t="s">
        <v>16</v>
      </c>
      <c r="S9" s="7" t="s">
        <v>0</v>
      </c>
      <c r="T9" s="7" t="s">
        <v>15</v>
      </c>
      <c r="U9" s="7" t="s">
        <v>14</v>
      </c>
      <c r="V9" s="7" t="s">
        <v>13</v>
      </c>
      <c r="W9" s="7" t="s">
        <v>16</v>
      </c>
      <c r="AD9" s="7" t="s">
        <v>0</v>
      </c>
      <c r="AE9" s="7" t="s">
        <v>15</v>
      </c>
      <c r="AF9" s="7" t="s">
        <v>14</v>
      </c>
      <c r="AG9" s="7" t="s">
        <v>13</v>
      </c>
      <c r="AH9" s="7" t="s">
        <v>16</v>
      </c>
      <c r="AO9" s="7" t="s">
        <v>0</v>
      </c>
      <c r="AP9" s="7" t="s">
        <v>15</v>
      </c>
      <c r="AQ9" s="7" t="s">
        <v>14</v>
      </c>
      <c r="AR9" s="7" t="s">
        <v>13</v>
      </c>
      <c r="AS9" s="7" t="s">
        <v>16</v>
      </c>
      <c r="AZ9" s="7" t="s">
        <v>0</v>
      </c>
      <c r="BA9" s="7" t="s">
        <v>15</v>
      </c>
      <c r="BB9" s="7" t="s">
        <v>14</v>
      </c>
      <c r="BC9" s="7" t="s">
        <v>13</v>
      </c>
      <c r="BD9" s="7" t="s">
        <v>16</v>
      </c>
      <c r="BK9" s="7" t="s">
        <v>0</v>
      </c>
      <c r="BL9" s="7" t="s">
        <v>15</v>
      </c>
      <c r="BM9" s="7" t="s">
        <v>14</v>
      </c>
      <c r="BN9" s="7" t="s">
        <v>13</v>
      </c>
      <c r="BO9" s="7" t="s">
        <v>16</v>
      </c>
    </row>
    <row r="10" spans="2:67" ht="30.6" customHeight="1" x14ac:dyDescent="0.3">
      <c r="B10" s="18"/>
      <c r="C10" s="19" t="s">
        <v>1</v>
      </c>
      <c r="D10" s="17">
        <f>'IDA ORIGINAL'!B51</f>
        <v>16.374791666666667</v>
      </c>
      <c r="E10" s="17">
        <f>'IDA ORIGINAL'!C51</f>
        <v>65.101458333333355</v>
      </c>
      <c r="F10" s="17">
        <f>'IDA ORIGINAL'!D51</f>
        <v>6.2702083333333327</v>
      </c>
      <c r="G10" s="27"/>
      <c r="H10" s="20"/>
      <c r="I10" s="22"/>
      <c r="J10" s="20"/>
      <c r="K10" s="19" t="s">
        <v>1</v>
      </c>
      <c r="L10" s="17">
        <f>'IDA BRT'!B51</f>
        <v>13.87597222222222</v>
      </c>
      <c r="M10" s="17">
        <f>'IDA BRT'!C51</f>
        <v>50.439375000000005</v>
      </c>
      <c r="N10" s="17">
        <f>'IDA BRT'!D51</f>
        <v>7.4043055555555553</v>
      </c>
      <c r="O10" s="27"/>
      <c r="R10" s="2"/>
      <c r="S10" s="9" t="s">
        <v>1</v>
      </c>
      <c r="T10" s="17">
        <f>'IDA BRT TRANS'!B51</f>
        <v>13.90388888888889</v>
      </c>
      <c r="U10" s="17">
        <f>'IDA BRT TRANS'!C51</f>
        <v>50.128541666666671</v>
      </c>
      <c r="V10" s="17">
        <f>'IDA BRT TRANS'!D51</f>
        <v>7.372638888888889</v>
      </c>
      <c r="W10" s="32"/>
      <c r="Y10">
        <f>T10-(T10*0.03)</f>
        <v>13.486772222222223</v>
      </c>
      <c r="Z10">
        <f t="shared" ref="Z10:Z20" si="0">U10-(U10*0.03)</f>
        <v>48.624685416666672</v>
      </c>
      <c r="AA10">
        <f>V10+(V10*0.03)</f>
        <v>7.5938180555555554</v>
      </c>
      <c r="AC10" s="2"/>
      <c r="AD10" s="9" t="s">
        <v>1</v>
      </c>
      <c r="AE10" s="17">
        <v>12.952638888888888</v>
      </c>
      <c r="AF10" s="17">
        <v>46.873541666666668</v>
      </c>
      <c r="AG10" s="46">
        <v>7.715416666666667</v>
      </c>
      <c r="AH10" s="32"/>
      <c r="AJ10">
        <f>T10-(T10*0.08)</f>
        <v>12.791577777777778</v>
      </c>
      <c r="AK10">
        <f t="shared" ref="AK10" si="1">U10-(U10*0.08)</f>
        <v>46.118258333333337</v>
      </c>
      <c r="AL10">
        <f>V10+(V10*0.08)</f>
        <v>7.9624500000000005</v>
      </c>
      <c r="AN10" s="2"/>
      <c r="AO10" s="9" t="s">
        <v>1</v>
      </c>
      <c r="AP10" s="45">
        <v>13.62222222222222</v>
      </c>
      <c r="AQ10" s="45">
        <v>46.20708333333333</v>
      </c>
      <c r="AR10" s="45">
        <v>7.4374999999999991</v>
      </c>
      <c r="AS10" s="32"/>
      <c r="AU10">
        <f>T10-(T10*0.14)</f>
        <v>11.957344444444445</v>
      </c>
      <c r="AV10">
        <f>U10-(U10*0.14)</f>
        <v>43.110545833333333</v>
      </c>
      <c r="AW10">
        <f>V10+(V10*0.14)</f>
        <v>8.4048083333333334</v>
      </c>
      <c r="AY10" s="2"/>
      <c r="AZ10" s="9" t="s">
        <v>1</v>
      </c>
      <c r="BA10" s="45">
        <v>12.843402777777779</v>
      </c>
      <c r="BB10" s="17">
        <v>42.29152777777778</v>
      </c>
      <c r="BC10" s="45">
        <v>7.8347222222222213</v>
      </c>
      <c r="BD10" s="32"/>
      <c r="BF10">
        <f>T10-(T10*0.2)</f>
        <v>11.123111111111111</v>
      </c>
      <c r="BG10">
        <f t="shared" ref="BG10:BH10" si="2">U10-(U10*0.2)</f>
        <v>40.102833333333336</v>
      </c>
      <c r="BH10">
        <f>V10+(V10*0.2)</f>
        <v>8.8471666666666664</v>
      </c>
      <c r="BJ10" s="2"/>
      <c r="BK10" s="9" t="s">
        <v>1</v>
      </c>
      <c r="BL10" s="45">
        <v>12.265625</v>
      </c>
      <c r="BM10" s="17">
        <v>39.35381944444444</v>
      </c>
      <c r="BN10" s="45">
        <v>8.102986111111111</v>
      </c>
      <c r="BO10" s="32">
        <v>2294.06</v>
      </c>
    </row>
    <row r="11" spans="2:67" ht="30.6" customHeight="1" x14ac:dyDescent="0.3">
      <c r="B11" s="17" t="s">
        <v>40</v>
      </c>
      <c r="C11" s="30" t="s">
        <v>2</v>
      </c>
      <c r="D11" s="17">
        <f>'IDA ORIGINAL'!B85</f>
        <v>26.159583333333334</v>
      </c>
      <c r="E11" s="17">
        <f>'IDA ORIGINAL'!C86</f>
        <v>104.126875</v>
      </c>
      <c r="F11" s="17">
        <f>'IDA ORIGINAL'!D86</f>
        <v>6.3894791666666668</v>
      </c>
      <c r="G11" s="28"/>
      <c r="H11" s="20"/>
      <c r="I11" s="22"/>
      <c r="J11" s="17" t="s">
        <v>40</v>
      </c>
      <c r="K11" s="30" t="s">
        <v>2</v>
      </c>
      <c r="L11" s="17">
        <f>'IDA BRT'!H82</f>
        <v>26.575416666666666</v>
      </c>
      <c r="M11" s="17">
        <f>'IDA BRT'!C83</f>
        <v>96.517812499999991</v>
      </c>
      <c r="N11" s="17">
        <f>'IDA BRT'!D83</f>
        <v>6.4526041666666671</v>
      </c>
      <c r="O11" s="28"/>
      <c r="R11" s="10" t="s">
        <v>40</v>
      </c>
      <c r="S11" s="35" t="s">
        <v>2</v>
      </c>
      <c r="T11" s="17">
        <f>'IDA BRT TRANS'!B83</f>
        <v>26.705000000000002</v>
      </c>
      <c r="U11" s="17">
        <f>'IDA BRT TRANS'!C83</f>
        <v>97.065104166666671</v>
      </c>
      <c r="V11" s="17">
        <f>'IDA BRT TRANS'!D83</f>
        <v>6.5674999999999999</v>
      </c>
      <c r="W11" s="33"/>
      <c r="Y11">
        <f t="shared" ref="Y11:Y20" si="3">T11-(T11*0.03)</f>
        <v>25.903850000000002</v>
      </c>
      <c r="Z11">
        <f t="shared" si="0"/>
        <v>94.153151041666675</v>
      </c>
      <c r="AA11">
        <f t="shared" ref="AA11:AA20" si="4">V11+(V11*0.03)</f>
        <v>6.7645249999999999</v>
      </c>
      <c r="AC11" s="10" t="s">
        <v>40</v>
      </c>
      <c r="AD11" s="35" t="s">
        <v>2</v>
      </c>
      <c r="AE11" s="45">
        <v>26.486979166666668</v>
      </c>
      <c r="AF11" s="17">
        <v>90.347812499999989</v>
      </c>
      <c r="AG11" s="45">
        <v>6.5071874999999997</v>
      </c>
      <c r="AH11" s="33"/>
      <c r="AJ11">
        <f t="shared" ref="AJ11:AJ35" si="5">T11-(T11*0.08)</f>
        <v>24.568600000000004</v>
      </c>
      <c r="AK11">
        <f t="shared" ref="AK11:AK35" si="6">U11-(U11*0.08)</f>
        <v>89.299895833333338</v>
      </c>
      <c r="AL11">
        <f t="shared" ref="AL11:AL35" si="7">V11+(V11*0.08)</f>
        <v>7.0929000000000002</v>
      </c>
      <c r="AN11" s="10" t="s">
        <v>40</v>
      </c>
      <c r="AO11" s="35" t="s">
        <v>2</v>
      </c>
      <c r="AP11" s="17">
        <v>24.49604166666667</v>
      </c>
      <c r="AQ11" s="17">
        <v>82.527395833333344</v>
      </c>
      <c r="AR11" s="45">
        <v>6.7210416666666664</v>
      </c>
      <c r="AS11" s="33"/>
      <c r="AU11">
        <f t="shared" ref="AU11:AU35" si="8">T11-(T11*0.14)</f>
        <v>22.9663</v>
      </c>
      <c r="AV11">
        <f t="shared" ref="AV11:AV35" si="9">U11-(U11*0.14)</f>
        <v>83.47598958333333</v>
      </c>
      <c r="AW11">
        <f t="shared" ref="AW11:AW35" si="10">V11+(V11*0.14)</f>
        <v>7.4869500000000002</v>
      </c>
      <c r="AY11" s="10" t="s">
        <v>40</v>
      </c>
      <c r="AZ11" s="35" t="s">
        <v>2</v>
      </c>
      <c r="BA11" s="45">
        <v>23.968333333333337</v>
      </c>
      <c r="BB11" s="17">
        <v>75.654062499999995</v>
      </c>
      <c r="BC11" s="45">
        <v>6.7414583333333331</v>
      </c>
      <c r="BD11" s="33"/>
      <c r="BF11">
        <f t="shared" ref="BF11:BF35" si="11">T11-(T11*0.2)</f>
        <v>21.364000000000001</v>
      </c>
      <c r="BG11">
        <f t="shared" ref="BG11:BG35" si="12">U11-(U11*0.2)</f>
        <v>77.652083333333337</v>
      </c>
      <c r="BH11">
        <f t="shared" ref="BH11:BH35" si="13">V11+(V11*0.2)</f>
        <v>7.8810000000000002</v>
      </c>
      <c r="BJ11" s="10" t="s">
        <v>40</v>
      </c>
      <c r="BK11" s="35" t="s">
        <v>2</v>
      </c>
      <c r="BL11" s="45">
        <v>23.736249999999998</v>
      </c>
      <c r="BM11" s="17">
        <v>69.374270833333341</v>
      </c>
      <c r="BN11" s="45">
        <v>6.835</v>
      </c>
      <c r="BO11" s="33"/>
    </row>
    <row r="12" spans="2:67" ht="30.6" customHeight="1" x14ac:dyDescent="0.3">
      <c r="B12" s="17" t="s">
        <v>41</v>
      </c>
      <c r="C12" s="31"/>
      <c r="D12" s="17">
        <f>'IDA ORIGINAL'!B114</f>
        <v>24.137499999999999</v>
      </c>
      <c r="E12" s="17">
        <f>'IDA ORIGINAL'!C114</f>
        <v>88.775104166666665</v>
      </c>
      <c r="F12" s="17">
        <f>'IDA ORIGINAL'!D114</f>
        <v>6.396979166666668</v>
      </c>
      <c r="G12" s="28"/>
      <c r="H12" s="20"/>
      <c r="I12" s="22"/>
      <c r="J12" s="17" t="s">
        <v>41</v>
      </c>
      <c r="K12" s="31"/>
      <c r="L12" s="17">
        <f>'IDA BRT'!B111</f>
        <v>21.234166666666667</v>
      </c>
      <c r="M12" s="17">
        <f>'IDA BRT'!C111</f>
        <v>67.794791666666654</v>
      </c>
      <c r="N12" s="17">
        <f>'IDA BRT'!D111</f>
        <v>6.8181250000000002</v>
      </c>
      <c r="O12" s="28"/>
      <c r="R12" s="10" t="s">
        <v>41</v>
      </c>
      <c r="S12" s="36"/>
      <c r="T12" s="17">
        <f>'IDA BRT TRANS'!B111</f>
        <v>21.031874999999999</v>
      </c>
      <c r="U12" s="17">
        <f>'IDA BRT TRANS'!C111</f>
        <v>67.517812500000005</v>
      </c>
      <c r="V12" s="17">
        <f>'IDA BRT TRANS'!D111</f>
        <v>6.8123958333333343</v>
      </c>
      <c r="W12" s="33"/>
      <c r="Y12">
        <f t="shared" si="3"/>
        <v>20.400918749999999</v>
      </c>
      <c r="Z12">
        <f t="shared" si="0"/>
        <v>65.492278124999999</v>
      </c>
      <c r="AA12">
        <f t="shared" si="4"/>
        <v>7.016767708333334</v>
      </c>
      <c r="AC12" s="10" t="s">
        <v>41</v>
      </c>
      <c r="AD12" s="36"/>
      <c r="AE12" s="45">
        <v>20.920833333333334</v>
      </c>
      <c r="AF12" s="45">
        <v>68.210729166666653</v>
      </c>
      <c r="AG12" s="45">
        <v>6.7777083333333339</v>
      </c>
      <c r="AH12" s="33"/>
      <c r="AJ12">
        <f t="shared" si="5"/>
        <v>19.349325</v>
      </c>
      <c r="AK12">
        <f t="shared" si="6"/>
        <v>62.116387500000002</v>
      </c>
      <c r="AL12">
        <f t="shared" si="7"/>
        <v>7.3573875000000015</v>
      </c>
      <c r="AN12" s="10" t="s">
        <v>41</v>
      </c>
      <c r="AO12" s="36"/>
      <c r="AP12" s="45">
        <v>20.361770833333335</v>
      </c>
      <c r="AQ12" s="17">
        <v>60.537291666666661</v>
      </c>
      <c r="AR12" s="45">
        <v>6.8207291666666663</v>
      </c>
      <c r="AS12" s="33"/>
      <c r="AU12">
        <f t="shared" si="8"/>
        <v>18.087412499999999</v>
      </c>
      <c r="AV12">
        <f t="shared" si="9"/>
        <v>58.065318750000003</v>
      </c>
      <c r="AW12">
        <f t="shared" si="10"/>
        <v>7.7661312500000008</v>
      </c>
      <c r="AY12" s="10" t="s">
        <v>41</v>
      </c>
      <c r="AZ12" s="36"/>
      <c r="BA12" s="45">
        <v>20.241562500000001</v>
      </c>
      <c r="BB12" s="17">
        <v>55.555208333333333</v>
      </c>
      <c r="BC12" s="45">
        <v>6.9302083333333337</v>
      </c>
      <c r="BD12" s="33"/>
      <c r="BF12">
        <f t="shared" si="11"/>
        <v>16.825499999999998</v>
      </c>
      <c r="BG12">
        <f t="shared" si="12"/>
        <v>54.014250000000004</v>
      </c>
      <c r="BH12">
        <f t="shared" si="13"/>
        <v>8.1748750000000019</v>
      </c>
      <c r="BJ12" s="10" t="s">
        <v>41</v>
      </c>
      <c r="BK12" s="36"/>
      <c r="BL12" s="45">
        <v>19.345312499999999</v>
      </c>
      <c r="BM12" s="17">
        <v>52.668437499999989</v>
      </c>
      <c r="BN12" s="45">
        <v>6.938229166666666</v>
      </c>
      <c r="BO12" s="33"/>
    </row>
    <row r="13" spans="2:67" ht="30.6" customHeight="1" x14ac:dyDescent="0.3">
      <c r="B13" s="17" t="s">
        <v>40</v>
      </c>
      <c r="C13" s="30" t="s">
        <v>3</v>
      </c>
      <c r="D13" s="17">
        <f>'IDA ORIGINAL'!B146</f>
        <v>25.092291666666668</v>
      </c>
      <c r="E13" s="17">
        <f>'IDA ORIGINAL'!C146</f>
        <v>101.35052083333335</v>
      </c>
      <c r="F13" s="17">
        <f>'IDA ORIGINAL'!D146</f>
        <v>6.9079166666666669</v>
      </c>
      <c r="G13" s="28"/>
      <c r="H13" s="20"/>
      <c r="I13" s="22"/>
      <c r="J13" s="17" t="s">
        <v>40</v>
      </c>
      <c r="K13" s="30" t="s">
        <v>3</v>
      </c>
      <c r="L13" s="17">
        <f>'IDA BRT'!B143</f>
        <v>21.851249999999997</v>
      </c>
      <c r="M13" s="17">
        <f>'IDA BRT'!C143</f>
        <v>90.562395833333341</v>
      </c>
      <c r="N13" s="17">
        <f>'IDA BRT'!D143</f>
        <v>7.1862500000000011</v>
      </c>
      <c r="O13" s="28"/>
      <c r="R13" s="10" t="s">
        <v>40</v>
      </c>
      <c r="S13" s="35" t="s">
        <v>3</v>
      </c>
      <c r="T13" s="17">
        <f>'IDA BRT TRANS'!B143</f>
        <v>22.209583333333331</v>
      </c>
      <c r="U13" s="17">
        <f>'IDA BRT TRANS'!C143</f>
        <v>91.099791666666661</v>
      </c>
      <c r="V13" s="17">
        <f>'IDA BRT TRANS'!D143</f>
        <v>7.1373958333333345</v>
      </c>
      <c r="W13" s="33"/>
      <c r="Y13">
        <f t="shared" si="3"/>
        <v>21.543295833333332</v>
      </c>
      <c r="Z13">
        <f t="shared" si="0"/>
        <v>88.366797916666656</v>
      </c>
      <c r="AA13">
        <f t="shared" si="4"/>
        <v>7.3515177083333345</v>
      </c>
      <c r="AC13" s="10" t="s">
        <v>40</v>
      </c>
      <c r="AD13" s="35" t="s">
        <v>3</v>
      </c>
      <c r="AE13" s="17">
        <v>21.041145833333335</v>
      </c>
      <c r="AF13" s="17">
        <v>82.441770833333337</v>
      </c>
      <c r="AG13" s="46">
        <v>7.4484375000000007</v>
      </c>
      <c r="AH13" s="33"/>
      <c r="AJ13">
        <f t="shared" si="5"/>
        <v>20.432816666666664</v>
      </c>
      <c r="AK13">
        <f t="shared" si="6"/>
        <v>83.811808333333332</v>
      </c>
      <c r="AL13">
        <f t="shared" si="7"/>
        <v>7.7083875000000015</v>
      </c>
      <c r="AN13" s="10" t="s">
        <v>40</v>
      </c>
      <c r="AO13" s="35" t="s">
        <v>3</v>
      </c>
      <c r="AP13" s="17">
        <v>19.736250000000002</v>
      </c>
      <c r="AQ13" s="17">
        <v>74.259270833333332</v>
      </c>
      <c r="AR13" s="45">
        <v>7.6745833333333335</v>
      </c>
      <c r="AS13" s="33"/>
      <c r="AU13">
        <f t="shared" si="8"/>
        <v>19.100241666666665</v>
      </c>
      <c r="AV13">
        <f t="shared" si="9"/>
        <v>78.345820833333335</v>
      </c>
      <c r="AW13">
        <f t="shared" si="10"/>
        <v>8.1366312500000006</v>
      </c>
      <c r="AY13" s="10" t="s">
        <v>40</v>
      </c>
      <c r="AZ13" s="35" t="s">
        <v>3</v>
      </c>
      <c r="BA13" s="17">
        <v>18.905104166666664</v>
      </c>
      <c r="BB13" s="17">
        <v>68.107500000000002</v>
      </c>
      <c r="BC13" s="45">
        <v>7.7219791666666664</v>
      </c>
      <c r="BD13" s="33"/>
      <c r="BF13">
        <f t="shared" si="11"/>
        <v>17.767666666666663</v>
      </c>
      <c r="BG13">
        <f t="shared" si="12"/>
        <v>72.879833333333323</v>
      </c>
      <c r="BH13">
        <f t="shared" si="13"/>
        <v>8.5648750000000007</v>
      </c>
      <c r="BJ13" s="10" t="s">
        <v>40</v>
      </c>
      <c r="BK13" s="35" t="s">
        <v>3</v>
      </c>
      <c r="BL13" s="45">
        <v>19.346354166666668</v>
      </c>
      <c r="BM13" s="17">
        <v>64.296354166666674</v>
      </c>
      <c r="BN13" s="45">
        <v>7.6452083333333336</v>
      </c>
      <c r="BO13" s="33"/>
    </row>
    <row r="14" spans="2:67" ht="30.6" customHeight="1" x14ac:dyDescent="0.3">
      <c r="B14" s="17" t="s">
        <v>41</v>
      </c>
      <c r="C14" s="31"/>
      <c r="D14" s="17">
        <f>'IDA ORIGINAL'!B174</f>
        <v>23.5434375</v>
      </c>
      <c r="E14" s="17">
        <f>'IDA ORIGINAL'!C174</f>
        <v>130.81135416666666</v>
      </c>
      <c r="F14" s="17">
        <f>'IDA ORIGINAL'!D174</f>
        <v>5.4454166666666683</v>
      </c>
      <c r="G14" s="28"/>
      <c r="H14" s="20"/>
      <c r="I14" s="22"/>
      <c r="J14" s="17" t="s">
        <v>41</v>
      </c>
      <c r="K14" s="31"/>
      <c r="L14" s="17">
        <f>'IDA BRT'!B171</f>
        <v>23.040104166666666</v>
      </c>
      <c r="M14" s="17">
        <f>'IDA BRT'!C171</f>
        <v>67.314166666666679</v>
      </c>
      <c r="N14" s="17">
        <f>'IDA BRT'!D171</f>
        <v>6.4960416666666676</v>
      </c>
      <c r="O14" s="28"/>
      <c r="R14" s="10" t="s">
        <v>41</v>
      </c>
      <c r="S14" s="36"/>
      <c r="T14" s="17">
        <f>'IDA BRT TRANS'!B171</f>
        <v>23.596979166666667</v>
      </c>
      <c r="U14" s="17">
        <f>'IDA BRT TRANS'!C171</f>
        <v>69.753541666666663</v>
      </c>
      <c r="V14" s="17">
        <f>'IDA BRT TRANS'!D171</f>
        <v>6.5045833333333336</v>
      </c>
      <c r="W14" s="33"/>
      <c r="Y14">
        <f t="shared" si="3"/>
        <v>22.889069791666667</v>
      </c>
      <c r="Z14">
        <f t="shared" si="0"/>
        <v>67.660935416666661</v>
      </c>
      <c r="AA14">
        <f t="shared" si="4"/>
        <v>6.699720833333334</v>
      </c>
      <c r="AC14" s="10" t="s">
        <v>41</v>
      </c>
      <c r="AD14" s="36"/>
      <c r="AE14" s="17">
        <v>21.463750000000005</v>
      </c>
      <c r="AF14" s="17">
        <v>62.099062499999995</v>
      </c>
      <c r="AG14" s="45">
        <v>6.6211458333333324</v>
      </c>
      <c r="AH14" s="33"/>
      <c r="AJ14">
        <f t="shared" si="5"/>
        <v>21.709220833333333</v>
      </c>
      <c r="AK14">
        <f t="shared" si="6"/>
        <v>64.173258333333337</v>
      </c>
      <c r="AL14">
        <f t="shared" si="7"/>
        <v>7.0249500000000005</v>
      </c>
      <c r="AN14" s="10" t="s">
        <v>41</v>
      </c>
      <c r="AO14" s="36"/>
      <c r="AP14" s="17">
        <v>21.596979166666664</v>
      </c>
      <c r="AQ14" s="17">
        <v>59.035000000000004</v>
      </c>
      <c r="AR14" s="45">
        <v>6.6990625000000001</v>
      </c>
      <c r="AS14" s="33"/>
      <c r="AU14">
        <f t="shared" si="8"/>
        <v>20.293402083333334</v>
      </c>
      <c r="AV14">
        <f t="shared" si="9"/>
        <v>59.988045833333331</v>
      </c>
      <c r="AW14">
        <f t="shared" si="10"/>
        <v>7.4152250000000004</v>
      </c>
      <c r="AY14" s="10" t="s">
        <v>41</v>
      </c>
      <c r="AZ14" s="36"/>
      <c r="BA14" s="45">
        <v>22.54760416666667</v>
      </c>
      <c r="BB14" s="17">
        <v>58.733958333333341</v>
      </c>
      <c r="BC14" s="45">
        <v>6.605104166666667</v>
      </c>
      <c r="BD14" s="33"/>
      <c r="BF14">
        <f t="shared" si="11"/>
        <v>18.877583333333334</v>
      </c>
      <c r="BG14">
        <f t="shared" si="12"/>
        <v>55.802833333333332</v>
      </c>
      <c r="BH14">
        <f t="shared" si="13"/>
        <v>7.8055000000000003</v>
      </c>
      <c r="BJ14" s="10" t="s">
        <v>41</v>
      </c>
      <c r="BK14" s="36"/>
      <c r="BL14" s="45">
        <v>21.321562499999999</v>
      </c>
      <c r="BM14" s="17">
        <v>53.641354166666666</v>
      </c>
      <c r="BN14" s="45">
        <v>6.8261458333333342</v>
      </c>
      <c r="BO14" s="33"/>
    </row>
    <row r="15" spans="2:67" ht="30.6" customHeight="1" x14ac:dyDescent="0.3">
      <c r="B15" s="18"/>
      <c r="C15" s="19" t="s">
        <v>4</v>
      </c>
      <c r="D15" s="17">
        <f>'IDA ORIGINAL'!B218</f>
        <v>100.79944444444445</v>
      </c>
      <c r="E15" s="17">
        <f>'IDA ORIGINAL'!C218</f>
        <v>223.33131944444443</v>
      </c>
      <c r="F15" s="17">
        <f>'IDA ORIGINAL'!D218</f>
        <v>1.429027777777778</v>
      </c>
      <c r="G15" s="28"/>
      <c r="H15" s="20"/>
      <c r="I15" s="22"/>
      <c r="J15" s="20"/>
      <c r="K15" s="19" t="s">
        <v>4</v>
      </c>
      <c r="L15" s="17">
        <f>'IDA BRT'!B215</f>
        <v>35.041736111111106</v>
      </c>
      <c r="M15" s="17">
        <f>'IDA BRT'!C215</f>
        <v>110.48868055555555</v>
      </c>
      <c r="N15" s="17">
        <f>'IDA BRT'!D215</f>
        <v>3.8206250000000002</v>
      </c>
      <c r="O15" s="28"/>
      <c r="R15" s="2"/>
      <c r="S15" s="9" t="s">
        <v>4</v>
      </c>
      <c r="T15" s="17">
        <f>'IDA BRT TRANS'!B215</f>
        <v>40.572916666666657</v>
      </c>
      <c r="U15" s="17">
        <f>'IDA BRT TRANS'!C215</f>
        <v>126.15361111111112</v>
      </c>
      <c r="V15" s="17">
        <f>'IDA BRT TRANS'!D215</f>
        <v>3.2095833333333328</v>
      </c>
      <c r="W15" s="33"/>
      <c r="Y15">
        <f t="shared" si="3"/>
        <v>39.355729166666656</v>
      </c>
      <c r="Z15">
        <f t="shared" si="0"/>
        <v>122.36900277777778</v>
      </c>
      <c r="AA15">
        <f t="shared" si="4"/>
        <v>3.3058708333333326</v>
      </c>
      <c r="AC15" s="2"/>
      <c r="AD15" s="9" t="s">
        <v>4</v>
      </c>
      <c r="AE15" s="17">
        <v>33.660624999999996</v>
      </c>
      <c r="AF15" s="17">
        <v>105.90701388888888</v>
      </c>
      <c r="AG15" s="46">
        <v>3.9786805555555551</v>
      </c>
      <c r="AH15" s="33"/>
      <c r="AJ15">
        <f t="shared" si="5"/>
        <v>37.327083333333327</v>
      </c>
      <c r="AK15">
        <f t="shared" si="6"/>
        <v>116.06132222222223</v>
      </c>
      <c r="AL15">
        <f t="shared" si="7"/>
        <v>3.4663499999999994</v>
      </c>
      <c r="AN15" s="2"/>
      <c r="AO15" s="9" t="s">
        <v>4</v>
      </c>
      <c r="AP15" s="17">
        <v>33.24388888888889</v>
      </c>
      <c r="AQ15" s="17">
        <v>102.55506944444443</v>
      </c>
      <c r="AR15" s="46">
        <v>3.9955555555555553</v>
      </c>
      <c r="AS15" s="33"/>
      <c r="AU15">
        <f t="shared" si="8"/>
        <v>34.892708333333324</v>
      </c>
      <c r="AV15">
        <f t="shared" si="9"/>
        <v>108.49210555555555</v>
      </c>
      <c r="AW15">
        <f t="shared" si="10"/>
        <v>3.6589249999999995</v>
      </c>
      <c r="AY15" s="2"/>
      <c r="AZ15" s="9" t="s">
        <v>4</v>
      </c>
      <c r="BA15" s="17">
        <v>32.306180555555557</v>
      </c>
      <c r="BB15" s="17">
        <v>95.140694444444421</v>
      </c>
      <c r="BC15" s="17">
        <v>4.0686111111111112</v>
      </c>
      <c r="BD15" s="33"/>
      <c r="BF15">
        <f t="shared" si="11"/>
        <v>32.458333333333329</v>
      </c>
      <c r="BG15">
        <f t="shared" si="12"/>
        <v>100.92288888888889</v>
      </c>
      <c r="BH15">
        <f t="shared" si="13"/>
        <v>3.8514999999999993</v>
      </c>
      <c r="BJ15" s="2"/>
      <c r="BK15" s="9" t="s">
        <v>4</v>
      </c>
      <c r="BL15" s="17">
        <v>32.212777777777774</v>
      </c>
      <c r="BM15" s="17">
        <v>89.028333333333308</v>
      </c>
      <c r="BN15" s="17">
        <v>4.1597222222222214</v>
      </c>
      <c r="BO15" s="33"/>
    </row>
    <row r="16" spans="2:67" ht="30.6" customHeight="1" x14ac:dyDescent="0.3">
      <c r="B16" s="18"/>
      <c r="C16" s="19" t="s">
        <v>5</v>
      </c>
      <c r="D16" s="17">
        <v>36.357500000000002</v>
      </c>
      <c r="E16" s="17">
        <v>80.237916666666678</v>
      </c>
      <c r="F16" s="17">
        <v>1.6670833333333333</v>
      </c>
      <c r="G16" s="28"/>
      <c r="H16" s="20"/>
      <c r="I16" s="22"/>
      <c r="J16" s="20"/>
      <c r="K16" s="19" t="s">
        <v>5</v>
      </c>
      <c r="L16" s="17">
        <v>23.374166666666667</v>
      </c>
      <c r="M16" s="17">
        <v>66.409583333333316</v>
      </c>
      <c r="N16" s="17">
        <v>2.5783333333333336</v>
      </c>
      <c r="O16" s="28"/>
      <c r="R16" s="2"/>
      <c r="S16" s="9" t="s">
        <v>5</v>
      </c>
      <c r="T16" s="17">
        <v>26.945544333333</v>
      </c>
      <c r="U16" s="17">
        <v>72.239166666666705</v>
      </c>
      <c r="V16" s="17">
        <v>2.0655444444439999</v>
      </c>
      <c r="W16" s="33"/>
      <c r="Y16">
        <f t="shared" si="3"/>
        <v>26.137178003333009</v>
      </c>
      <c r="Z16">
        <f t="shared" si="0"/>
        <v>70.071991666666705</v>
      </c>
      <c r="AA16">
        <f t="shared" si="4"/>
        <v>2.1275107777773199</v>
      </c>
      <c r="AC16" s="2"/>
      <c r="AD16" s="9" t="s">
        <v>5</v>
      </c>
      <c r="AE16" s="17">
        <v>24.402083333333334</v>
      </c>
      <c r="AF16" s="17">
        <v>64.809166666666655</v>
      </c>
      <c r="AG16" s="46">
        <v>2.5206249999999999</v>
      </c>
      <c r="AH16" s="33"/>
      <c r="AJ16">
        <f t="shared" si="5"/>
        <v>24.789900786666362</v>
      </c>
      <c r="AK16">
        <f t="shared" si="6"/>
        <v>66.460033333333371</v>
      </c>
      <c r="AL16">
        <f t="shared" si="7"/>
        <v>2.2307879999995199</v>
      </c>
      <c r="AN16" s="2"/>
      <c r="AO16" s="9" t="s">
        <v>5</v>
      </c>
      <c r="AP16" s="17">
        <v>23.686354166666664</v>
      </c>
      <c r="AQ16" s="17">
        <v>63.194166666666675</v>
      </c>
      <c r="AR16" s="46">
        <v>2.5672916666666667</v>
      </c>
      <c r="AS16" s="33"/>
      <c r="AU16">
        <f t="shared" si="8"/>
        <v>23.173168126666379</v>
      </c>
      <c r="AV16">
        <f t="shared" si="9"/>
        <v>62.125683333333363</v>
      </c>
      <c r="AW16">
        <f t="shared" si="10"/>
        <v>2.35472066666616</v>
      </c>
      <c r="AY16" s="2"/>
      <c r="AZ16" s="9" t="s">
        <v>5</v>
      </c>
      <c r="BA16" s="45">
        <v>24.324583333333333</v>
      </c>
      <c r="BB16" s="17">
        <v>61.143229166666664</v>
      </c>
      <c r="BC16" s="17">
        <v>2.5453125000000001</v>
      </c>
      <c r="BD16" s="33"/>
      <c r="BF16">
        <f t="shared" si="11"/>
        <v>21.5564354666664</v>
      </c>
      <c r="BG16">
        <f t="shared" si="12"/>
        <v>57.791333333333363</v>
      </c>
      <c r="BH16">
        <f t="shared" si="13"/>
        <v>2.4786533333328</v>
      </c>
      <c r="BJ16" s="2"/>
      <c r="BK16" s="9" t="s">
        <v>5</v>
      </c>
      <c r="BL16" s="45">
        <v>22.987083333333331</v>
      </c>
      <c r="BM16" s="17">
        <v>55.843749999999979</v>
      </c>
      <c r="BN16" s="17">
        <v>2.66</v>
      </c>
      <c r="BO16" s="33"/>
    </row>
    <row r="17" spans="2:67" ht="30.6" customHeight="1" x14ac:dyDescent="0.3">
      <c r="B17" s="18"/>
      <c r="C17" s="19" t="s">
        <v>6</v>
      </c>
      <c r="D17" s="17">
        <f>'IDA ORIGINAL'!B250</f>
        <v>42.478645833333339</v>
      </c>
      <c r="E17" s="17">
        <f>'IDA ORIGINAL'!C250</f>
        <v>91.87156250000001</v>
      </c>
      <c r="F17" s="17">
        <f>'IDA ORIGINAL'!D250</f>
        <v>2.3206250000000002</v>
      </c>
      <c r="G17" s="28"/>
      <c r="H17" s="20"/>
      <c r="I17" s="22"/>
      <c r="J17" s="20"/>
      <c r="K17" s="19" t="s">
        <v>6</v>
      </c>
      <c r="L17" s="17">
        <f>'IDA BRT'!B247</f>
        <v>40.720937499999998</v>
      </c>
      <c r="M17" s="17">
        <f>'IDA BRT'!C247</f>
        <v>83.375833333333333</v>
      </c>
      <c r="N17" s="17">
        <f>'IDA BRT'!D247</f>
        <v>3.121666666666667</v>
      </c>
      <c r="O17" s="28"/>
      <c r="R17" s="2"/>
      <c r="S17" s="9" t="s">
        <v>6</v>
      </c>
      <c r="T17" s="17">
        <f>'IDA BRT TRANS'!B247</f>
        <v>43.98802083333333</v>
      </c>
      <c r="U17" s="17">
        <f>'IDA BRT TRANS'!C247</f>
        <v>94.376041666666666</v>
      </c>
      <c r="V17" s="17">
        <f>'IDA BRT TRANS'!D247</f>
        <v>2.4482291666666667</v>
      </c>
      <c r="W17" s="33"/>
      <c r="Y17">
        <f t="shared" si="3"/>
        <v>42.668380208333332</v>
      </c>
      <c r="Z17">
        <f t="shared" si="0"/>
        <v>91.544760416666662</v>
      </c>
      <c r="AA17">
        <f t="shared" si="4"/>
        <v>2.5216760416666668</v>
      </c>
      <c r="AC17" s="2"/>
      <c r="AD17" s="9" t="s">
        <v>6</v>
      </c>
      <c r="AE17" s="17">
        <v>39.531458333333333</v>
      </c>
      <c r="AF17" s="17">
        <v>87.222291666666663</v>
      </c>
      <c r="AG17" s="46">
        <v>2.5290625000000002</v>
      </c>
      <c r="AH17" s="33"/>
      <c r="AJ17">
        <f t="shared" si="5"/>
        <v>40.468979166666664</v>
      </c>
      <c r="AK17">
        <f t="shared" si="6"/>
        <v>86.825958333333332</v>
      </c>
      <c r="AL17">
        <f t="shared" si="7"/>
        <v>2.6440874999999999</v>
      </c>
      <c r="AN17" s="2"/>
      <c r="AO17" s="9" t="s">
        <v>6</v>
      </c>
      <c r="AP17" s="17">
        <v>38.684687500000003</v>
      </c>
      <c r="AQ17" s="17">
        <v>79.814583333333331</v>
      </c>
      <c r="AR17" s="46">
        <v>2.5439583333333329</v>
      </c>
      <c r="AS17" s="33"/>
      <c r="AU17">
        <f t="shared" si="8"/>
        <v>37.82969791666666</v>
      </c>
      <c r="AV17">
        <f t="shared" si="9"/>
        <v>81.163395833333325</v>
      </c>
      <c r="AW17">
        <f t="shared" si="10"/>
        <v>2.7909812500000002</v>
      </c>
      <c r="AY17" s="2"/>
      <c r="AZ17" s="9" t="s">
        <v>6</v>
      </c>
      <c r="BA17" s="17">
        <v>37.013020833333336</v>
      </c>
      <c r="BB17" s="17">
        <v>74.040833333333325</v>
      </c>
      <c r="BC17" s="45">
        <v>2.6905208333333333</v>
      </c>
      <c r="BD17" s="33"/>
      <c r="BF17">
        <f t="shared" si="11"/>
        <v>35.190416666666664</v>
      </c>
      <c r="BG17">
        <f t="shared" si="12"/>
        <v>75.500833333333333</v>
      </c>
      <c r="BH17">
        <f t="shared" si="13"/>
        <v>2.937875</v>
      </c>
      <c r="BJ17" s="2"/>
      <c r="BK17" s="9" t="s">
        <v>6</v>
      </c>
      <c r="BL17" s="45">
        <v>36.899791666666665</v>
      </c>
      <c r="BM17" s="17">
        <v>73.586979166666666</v>
      </c>
      <c r="BN17" s="45">
        <v>2.6856249999999999</v>
      </c>
      <c r="BO17" s="33"/>
    </row>
    <row r="18" spans="2:67" ht="30.6" customHeight="1" x14ac:dyDescent="0.3">
      <c r="B18" s="18"/>
      <c r="C18" s="19" t="s">
        <v>7</v>
      </c>
      <c r="D18" s="17">
        <v>20.015833333333337</v>
      </c>
      <c r="E18" s="17">
        <v>64.899166666666659</v>
      </c>
      <c r="F18" s="17">
        <v>6.97</v>
      </c>
      <c r="G18" s="28"/>
      <c r="H18" s="20"/>
      <c r="I18" s="22"/>
      <c r="J18" s="20"/>
      <c r="K18" s="19" t="s">
        <v>7</v>
      </c>
      <c r="L18" s="17">
        <v>13.330833333333336</v>
      </c>
      <c r="M18" s="17">
        <v>54.188333333333333</v>
      </c>
      <c r="N18" s="17">
        <v>7.7616666666666667</v>
      </c>
      <c r="O18" s="28"/>
      <c r="R18" s="2"/>
      <c r="S18" s="9" t="s">
        <v>7</v>
      </c>
      <c r="T18" s="17">
        <v>13.43555555555</v>
      </c>
      <c r="U18" s="17">
        <v>53.416666666666657</v>
      </c>
      <c r="V18" s="17">
        <v>7.6958333333333302</v>
      </c>
      <c r="W18" s="33"/>
      <c r="Y18">
        <f t="shared" si="3"/>
        <v>13.032488888883499</v>
      </c>
      <c r="Z18">
        <f t="shared" si="0"/>
        <v>51.814166666666658</v>
      </c>
      <c r="AA18">
        <f t="shared" si="4"/>
        <v>7.9267083333333304</v>
      </c>
      <c r="AC18" s="2"/>
      <c r="AD18" s="9" t="s">
        <v>7</v>
      </c>
      <c r="AE18" s="17">
        <v>11.570208333333333</v>
      </c>
      <c r="AF18" s="17">
        <v>48.656249999999993</v>
      </c>
      <c r="AG18" s="46">
        <v>8.3938541666666673</v>
      </c>
      <c r="AH18" s="33"/>
      <c r="AJ18">
        <f t="shared" si="5"/>
        <v>12.360711111105999</v>
      </c>
      <c r="AK18">
        <f t="shared" si="6"/>
        <v>49.143333333333324</v>
      </c>
      <c r="AL18">
        <f t="shared" si="7"/>
        <v>8.311499999999997</v>
      </c>
      <c r="AN18" s="2"/>
      <c r="AO18" s="9" t="s">
        <v>7</v>
      </c>
      <c r="AP18" s="17">
        <v>9.0161458333333329</v>
      </c>
      <c r="AQ18" s="17">
        <v>41.963437499999998</v>
      </c>
      <c r="AR18" s="46">
        <v>9.0716666666666672</v>
      </c>
      <c r="AS18" s="33"/>
      <c r="AU18">
        <f t="shared" si="8"/>
        <v>11.554577777773</v>
      </c>
      <c r="AV18">
        <f t="shared" si="9"/>
        <v>45.938333333333325</v>
      </c>
      <c r="AW18">
        <f t="shared" si="10"/>
        <v>8.7732499999999973</v>
      </c>
      <c r="AY18" s="2"/>
      <c r="AZ18" s="9" t="s">
        <v>7</v>
      </c>
      <c r="BA18" s="17">
        <v>6.2585416666666669</v>
      </c>
      <c r="BB18" s="17">
        <v>32.069062500000001</v>
      </c>
      <c r="BC18" s="17">
        <v>10.1840625</v>
      </c>
      <c r="BD18" s="33"/>
      <c r="BF18">
        <f t="shared" si="11"/>
        <v>10.74844444444</v>
      </c>
      <c r="BG18">
        <f t="shared" si="12"/>
        <v>42.733333333333327</v>
      </c>
      <c r="BH18">
        <f t="shared" si="13"/>
        <v>9.2349999999999959</v>
      </c>
      <c r="BJ18" s="2"/>
      <c r="BK18" s="9" t="s">
        <v>7</v>
      </c>
      <c r="BL18" s="17">
        <v>6.7370833333333344</v>
      </c>
      <c r="BM18" s="17">
        <v>31.925416666666674</v>
      </c>
      <c r="BN18" s="17">
        <v>10.085416666666665</v>
      </c>
      <c r="BO18" s="33"/>
    </row>
    <row r="19" spans="2:67" ht="30.6" customHeight="1" x14ac:dyDescent="0.3">
      <c r="B19" s="17" t="s">
        <v>40</v>
      </c>
      <c r="C19" s="30" t="s">
        <v>8</v>
      </c>
      <c r="D19" s="17">
        <f>'IDA ORIGINAL'!B282</f>
        <v>14.291770833333333</v>
      </c>
      <c r="E19" s="17">
        <f>'IDA ORIGINAL'!C282</f>
        <v>67.885729166666664</v>
      </c>
      <c r="F19" s="17">
        <f>'IDA ORIGINAL'!D282</f>
        <v>6.3892708333333346</v>
      </c>
      <c r="G19" s="28"/>
      <c r="H19" s="20"/>
      <c r="I19" s="22"/>
      <c r="J19" s="17" t="s">
        <v>40</v>
      </c>
      <c r="K19" s="30" t="s">
        <v>8</v>
      </c>
      <c r="L19" s="17">
        <f>'IDA BRT'!B279</f>
        <v>13.726145833333335</v>
      </c>
      <c r="M19" s="17">
        <f>'IDA BRT'!C279</f>
        <v>65.273124999999993</v>
      </c>
      <c r="N19" s="17">
        <f>'IDA BRT'!D279</f>
        <v>6.6568750000000003</v>
      </c>
      <c r="O19" s="28"/>
      <c r="R19" s="10" t="s">
        <v>40</v>
      </c>
      <c r="S19" s="35" t="s">
        <v>8</v>
      </c>
      <c r="T19" s="17">
        <f>'IDA BRT TRANS'!B279</f>
        <v>14.274270833333333</v>
      </c>
      <c r="U19" s="17">
        <f>'IDA BRT TRANS'!C279</f>
        <v>66.946770833333332</v>
      </c>
      <c r="V19" s="17">
        <f>'IDA BRT TRANS'!D279</f>
        <v>6.5854166666666654</v>
      </c>
      <c r="W19" s="33"/>
      <c r="Y19">
        <f t="shared" si="3"/>
        <v>13.846042708333332</v>
      </c>
      <c r="Z19">
        <f t="shared" si="0"/>
        <v>64.938367708333331</v>
      </c>
      <c r="AA19">
        <f t="shared" si="4"/>
        <v>6.7829791666666654</v>
      </c>
      <c r="AC19" s="10" t="s">
        <v>40</v>
      </c>
      <c r="AD19" s="35" t="s">
        <v>8</v>
      </c>
      <c r="AE19" s="45">
        <v>14.182708333333331</v>
      </c>
      <c r="AF19" s="17">
        <v>61.078333333333326</v>
      </c>
      <c r="AG19" s="46">
        <v>6.8412499999999996</v>
      </c>
      <c r="AH19" s="33"/>
      <c r="AJ19">
        <f t="shared" si="5"/>
        <v>13.132329166666667</v>
      </c>
      <c r="AK19">
        <f t="shared" si="6"/>
        <v>61.591029166666665</v>
      </c>
      <c r="AL19">
        <f t="shared" si="7"/>
        <v>7.1122499999999986</v>
      </c>
      <c r="AN19" s="10" t="s">
        <v>40</v>
      </c>
      <c r="AO19" s="35" t="s">
        <v>8</v>
      </c>
      <c r="AP19" s="45">
        <v>14.785833333333333</v>
      </c>
      <c r="AQ19" s="17">
        <v>61.117395833333333</v>
      </c>
      <c r="AR19" s="45">
        <v>6.6766666666666667</v>
      </c>
      <c r="AS19" s="33"/>
      <c r="AU19">
        <f t="shared" si="8"/>
        <v>12.275872916666666</v>
      </c>
      <c r="AV19">
        <f t="shared" si="9"/>
        <v>57.574222916666663</v>
      </c>
      <c r="AW19">
        <f t="shared" si="10"/>
        <v>7.5073749999999988</v>
      </c>
      <c r="AY19" s="10" t="s">
        <v>40</v>
      </c>
      <c r="AZ19" s="35" t="s">
        <v>8</v>
      </c>
      <c r="BA19" s="45">
        <v>14.693125000000002</v>
      </c>
      <c r="BB19" s="45">
        <v>59.056145833333332</v>
      </c>
      <c r="BC19" s="45">
        <v>6.7215624999999983</v>
      </c>
      <c r="BD19" s="33"/>
      <c r="BF19">
        <f t="shared" si="11"/>
        <v>11.419416666666667</v>
      </c>
      <c r="BG19">
        <f t="shared" si="12"/>
        <v>53.557416666666668</v>
      </c>
      <c r="BH19">
        <f t="shared" si="13"/>
        <v>7.9024999999999981</v>
      </c>
      <c r="BJ19" s="10" t="s">
        <v>40</v>
      </c>
      <c r="BK19" s="35" t="s">
        <v>8</v>
      </c>
      <c r="BL19" s="45">
        <v>14.617604166666666</v>
      </c>
      <c r="BM19" s="45">
        <v>58.333645833333335</v>
      </c>
      <c r="BN19" s="45">
        <v>6.753541666666667</v>
      </c>
      <c r="BO19" s="33"/>
    </row>
    <row r="20" spans="2:67" ht="30.6" customHeight="1" x14ac:dyDescent="0.3">
      <c r="B20" s="17" t="s">
        <v>41</v>
      </c>
      <c r="C20" s="31"/>
      <c r="D20" s="17">
        <f>'IDA ORIGINAL'!B310</f>
        <v>15.474479166666665</v>
      </c>
      <c r="E20" s="17">
        <f>'IDA ORIGINAL'!C310</f>
        <v>57.231249999999996</v>
      </c>
      <c r="F20" s="17">
        <f>'IDA ORIGINAL'!D310</f>
        <v>4.9884374999999999</v>
      </c>
      <c r="G20" s="29"/>
      <c r="H20" s="20"/>
      <c r="I20" s="22"/>
      <c r="J20" s="17" t="s">
        <v>41</v>
      </c>
      <c r="K20" s="31"/>
      <c r="L20" s="17">
        <f>'IDA BRT'!B307</f>
        <v>15.353854166666666</v>
      </c>
      <c r="M20" s="17">
        <f>'IDA BRT'!C307</f>
        <v>55.444479166666667</v>
      </c>
      <c r="N20" s="17">
        <f>'IDA BRT'!D307</f>
        <v>5.4783333333333335</v>
      </c>
      <c r="O20" s="29"/>
      <c r="R20" s="10" t="s">
        <v>41</v>
      </c>
      <c r="S20" s="36"/>
      <c r="T20" s="17">
        <f>'IDA BRT TRANS'!B307</f>
        <v>16.914062499999996</v>
      </c>
      <c r="U20" s="17">
        <f>'IDA BRT TRANS'!C307</f>
        <v>75.315416666666678</v>
      </c>
      <c r="V20" s="17">
        <f>'IDA BRT TRANS'!D307</f>
        <v>5.1552083333333334</v>
      </c>
      <c r="W20" s="34"/>
      <c r="Y20">
        <f t="shared" si="3"/>
        <v>16.406640624999998</v>
      </c>
      <c r="Z20">
        <f t="shared" si="0"/>
        <v>73.05595416666668</v>
      </c>
      <c r="AA20">
        <f t="shared" si="4"/>
        <v>5.3098645833333338</v>
      </c>
      <c r="AC20" s="10" t="s">
        <v>41</v>
      </c>
      <c r="AD20" s="36"/>
      <c r="AE20" s="17">
        <v>16.209687499999998</v>
      </c>
      <c r="AF20" s="17">
        <v>68.467604166666675</v>
      </c>
      <c r="AG20" s="45">
        <v>5.2796875000000005</v>
      </c>
      <c r="AH20" s="34"/>
      <c r="AJ20">
        <f t="shared" si="5"/>
        <v>15.560937499999996</v>
      </c>
      <c r="AK20">
        <f t="shared" si="6"/>
        <v>69.290183333333346</v>
      </c>
      <c r="AL20">
        <f t="shared" si="7"/>
        <v>5.5676249999999996</v>
      </c>
      <c r="AN20" s="10" t="s">
        <v>41</v>
      </c>
      <c r="AO20" s="36"/>
      <c r="AP20" s="45">
        <v>16.301354166666666</v>
      </c>
      <c r="AQ20" s="17">
        <v>67.59708333333333</v>
      </c>
      <c r="AR20" s="45">
        <v>5.2979166666666675</v>
      </c>
      <c r="AS20" s="34"/>
      <c r="AU20">
        <f t="shared" si="8"/>
        <v>14.546093749999997</v>
      </c>
      <c r="AV20">
        <f t="shared" si="9"/>
        <v>64.77125833333335</v>
      </c>
      <c r="AW20">
        <f t="shared" si="10"/>
        <v>5.8769375000000004</v>
      </c>
      <c r="AY20" s="10" t="s">
        <v>41</v>
      </c>
      <c r="AZ20" s="36"/>
      <c r="BA20" s="45">
        <v>16.1759375</v>
      </c>
      <c r="BB20" s="45">
        <v>71.056041666666673</v>
      </c>
      <c r="BC20" s="45">
        <v>5.2458333333333336</v>
      </c>
      <c r="BD20" s="34"/>
      <c r="BF20">
        <f t="shared" si="11"/>
        <v>13.531249999999996</v>
      </c>
      <c r="BG20">
        <f t="shared" si="12"/>
        <v>60.25233333333334</v>
      </c>
      <c r="BH20">
        <f t="shared" si="13"/>
        <v>6.1862500000000002</v>
      </c>
      <c r="BJ20" s="10" t="s">
        <v>41</v>
      </c>
      <c r="BK20" s="36"/>
      <c r="BL20" s="45">
        <v>16.491458333333334</v>
      </c>
      <c r="BM20" s="45">
        <v>68.708229166666683</v>
      </c>
      <c r="BN20" s="45">
        <v>5.2210416666666664</v>
      </c>
      <c r="BO20" s="34"/>
    </row>
    <row r="21" spans="2:67" x14ac:dyDescent="0.3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spans="2:67" x14ac:dyDescent="0.3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2:67" x14ac:dyDescent="0.3">
      <c r="B23" s="26" t="s">
        <v>10</v>
      </c>
      <c r="C23" s="26"/>
      <c r="D23" s="26"/>
      <c r="E23" s="26"/>
      <c r="F23" s="26"/>
      <c r="G23" s="26"/>
      <c r="H23" s="18"/>
      <c r="I23" s="18"/>
      <c r="J23" s="26" t="s">
        <v>10</v>
      </c>
      <c r="K23" s="26"/>
      <c r="L23" s="26"/>
      <c r="M23" s="26"/>
      <c r="N23" s="26"/>
      <c r="O23" s="26"/>
      <c r="R23" s="24" t="s">
        <v>10</v>
      </c>
      <c r="S23" s="24"/>
      <c r="T23" s="24"/>
      <c r="U23" s="24"/>
      <c r="V23" s="24"/>
      <c r="W23" s="24"/>
      <c r="AC23" s="24" t="s">
        <v>10</v>
      </c>
      <c r="AD23" s="24"/>
      <c r="AE23" s="24"/>
      <c r="AF23" s="24"/>
      <c r="AG23" s="24"/>
      <c r="AH23" s="24"/>
      <c r="AN23" s="24" t="s">
        <v>10</v>
      </c>
      <c r="AO23" s="24"/>
      <c r="AP23" s="24"/>
      <c r="AQ23" s="24"/>
      <c r="AR23" s="24"/>
      <c r="AS23" s="24"/>
      <c r="AY23" s="24" t="s">
        <v>10</v>
      </c>
      <c r="AZ23" s="24"/>
      <c r="BA23" s="24"/>
      <c r="BB23" s="24"/>
      <c r="BC23" s="24"/>
      <c r="BD23" s="24"/>
      <c r="BJ23" s="24" t="s">
        <v>10</v>
      </c>
      <c r="BK23" s="24"/>
      <c r="BL23" s="24"/>
      <c r="BM23" s="24"/>
      <c r="BN23" s="24"/>
      <c r="BO23" s="24"/>
    </row>
    <row r="24" spans="2:67" x14ac:dyDescent="0.3">
      <c r="B24" s="26"/>
      <c r="C24" s="26"/>
      <c r="D24" s="26"/>
      <c r="E24" s="26"/>
      <c r="F24" s="26"/>
      <c r="G24" s="26"/>
      <c r="H24" s="18"/>
      <c r="I24" s="18"/>
      <c r="J24" s="26"/>
      <c r="K24" s="26"/>
      <c r="L24" s="26"/>
      <c r="M24" s="26"/>
      <c r="N24" s="26"/>
      <c r="O24" s="26"/>
      <c r="R24" s="24"/>
      <c r="S24" s="24"/>
      <c r="T24" s="24"/>
      <c r="U24" s="24"/>
      <c r="V24" s="24"/>
      <c r="W24" s="24"/>
      <c r="AC24" s="24"/>
      <c r="AD24" s="24"/>
      <c r="AE24" s="24"/>
      <c r="AF24" s="24"/>
      <c r="AG24" s="24"/>
      <c r="AH24" s="24"/>
      <c r="AN24" s="24"/>
      <c r="AO24" s="24"/>
      <c r="AP24" s="24"/>
      <c r="AQ24" s="24"/>
      <c r="AR24" s="24"/>
      <c r="AS24" s="24"/>
      <c r="AY24" s="24"/>
      <c r="AZ24" s="24"/>
      <c r="BA24" s="24"/>
      <c r="BB24" s="24"/>
      <c r="BC24" s="24"/>
      <c r="BD24" s="24"/>
      <c r="BJ24" s="24"/>
      <c r="BK24" s="24"/>
      <c r="BL24" s="24"/>
      <c r="BM24" s="24"/>
      <c r="BN24" s="24"/>
      <c r="BO24" s="24"/>
    </row>
    <row r="25" spans="2:67" x14ac:dyDescent="0.3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spans="2:67" x14ac:dyDescent="0.3">
      <c r="B26" s="18"/>
      <c r="C26" s="21" t="s">
        <v>0</v>
      </c>
      <c r="D26" s="21" t="s">
        <v>15</v>
      </c>
      <c r="E26" s="21" t="s">
        <v>14</v>
      </c>
      <c r="F26" s="21" t="s">
        <v>13</v>
      </c>
      <c r="G26" s="21" t="s">
        <v>16</v>
      </c>
      <c r="H26" s="18"/>
      <c r="I26" s="18"/>
      <c r="J26" s="18"/>
      <c r="K26" s="21" t="s">
        <v>0</v>
      </c>
      <c r="L26" s="21" t="s">
        <v>15</v>
      </c>
      <c r="M26" s="21" t="s">
        <v>14</v>
      </c>
      <c r="N26" s="21" t="s">
        <v>13</v>
      </c>
      <c r="O26" s="21" t="s">
        <v>16</v>
      </c>
      <c r="S26" s="7" t="s">
        <v>0</v>
      </c>
      <c r="T26" s="7" t="s">
        <v>15</v>
      </c>
      <c r="U26" s="7" t="s">
        <v>14</v>
      </c>
      <c r="V26" s="7" t="s">
        <v>13</v>
      </c>
      <c r="W26" s="7" t="s">
        <v>16</v>
      </c>
      <c r="AD26" s="7" t="s">
        <v>0</v>
      </c>
      <c r="AE26" s="7" t="s">
        <v>15</v>
      </c>
      <c r="AF26" s="7" t="s">
        <v>14</v>
      </c>
      <c r="AG26" s="7" t="s">
        <v>13</v>
      </c>
      <c r="AH26" s="7" t="s">
        <v>16</v>
      </c>
      <c r="AO26" s="7" t="s">
        <v>0</v>
      </c>
      <c r="AP26" s="7" t="s">
        <v>15</v>
      </c>
      <c r="AQ26" s="7" t="s">
        <v>14</v>
      </c>
      <c r="AR26" s="7" t="s">
        <v>13</v>
      </c>
      <c r="AS26" s="7" t="s">
        <v>16</v>
      </c>
      <c r="AZ26" s="7" t="s">
        <v>0</v>
      </c>
      <c r="BA26" s="7" t="s">
        <v>15</v>
      </c>
      <c r="BB26" s="7" t="s">
        <v>14</v>
      </c>
      <c r="BC26" s="7" t="s">
        <v>13</v>
      </c>
      <c r="BD26" s="7" t="s">
        <v>16</v>
      </c>
      <c r="BK26" s="7" t="s">
        <v>0</v>
      </c>
      <c r="BL26" s="7" t="s">
        <v>15</v>
      </c>
      <c r="BM26" s="7" t="s">
        <v>14</v>
      </c>
      <c r="BN26" s="7" t="s">
        <v>13</v>
      </c>
      <c r="BO26" s="7" t="s">
        <v>16</v>
      </c>
    </row>
    <row r="27" spans="2:67" ht="30" customHeight="1" x14ac:dyDescent="0.3">
      <c r="B27" s="18"/>
      <c r="C27" s="19" t="s">
        <v>1</v>
      </c>
      <c r="D27" s="17">
        <f>'VUELTA ORIGINAL'!B51</f>
        <v>42.983750000000001</v>
      </c>
      <c r="E27" s="17">
        <f>'VUELTA ORIGINAL'!C51</f>
        <v>136.823125</v>
      </c>
      <c r="F27" s="17">
        <f>'VUELTA ORIGINAL'!D51</f>
        <v>3.7099305555555553</v>
      </c>
      <c r="G27" s="27"/>
      <c r="H27" s="20"/>
      <c r="I27" s="22"/>
      <c r="J27" s="20"/>
      <c r="K27" s="19" t="s">
        <v>1</v>
      </c>
      <c r="L27" s="17">
        <f>'VUELTA BRT'!B51</f>
        <v>17.593263888888888</v>
      </c>
      <c r="M27" s="17">
        <f>'VUELTA BRT'!C51</f>
        <v>98.302222222222213</v>
      </c>
      <c r="N27" s="17">
        <f>'VUELTA BRT'!D51</f>
        <v>7.2677083333333332</v>
      </c>
      <c r="O27" s="27"/>
      <c r="R27" s="2"/>
      <c r="S27" s="9" t="s">
        <v>1</v>
      </c>
      <c r="T27" s="17">
        <f>'VUELTA BRT TRANS'!B51</f>
        <v>17.361736111111114</v>
      </c>
      <c r="U27" s="17">
        <f>'VUELTA BRT TRANS'!C51</f>
        <v>99.133194444444442</v>
      </c>
      <c r="V27" s="17">
        <f>'VUELTA BRT TRANS'!D51</f>
        <v>7.3414583333333336</v>
      </c>
      <c r="W27" s="32"/>
      <c r="Y27">
        <f>T27-(T27*0.03)</f>
        <v>16.840884027777779</v>
      </c>
      <c r="Z27">
        <f t="shared" ref="Z27:AA27" si="14">U27-(U27*0.03)</f>
        <v>96.159198611111108</v>
      </c>
      <c r="AA27">
        <f t="shared" si="14"/>
        <v>7.1212145833333338</v>
      </c>
      <c r="AC27" s="2"/>
      <c r="AD27" s="9" t="s">
        <v>1</v>
      </c>
      <c r="AE27" s="17">
        <v>16.327708333333334</v>
      </c>
      <c r="AF27" s="45">
        <v>102.03947916666667</v>
      </c>
      <c r="AG27" s="46">
        <v>7.5342708333333333</v>
      </c>
      <c r="AH27" s="32"/>
      <c r="AJ27">
        <f t="shared" si="5"/>
        <v>15.972797222222225</v>
      </c>
      <c r="AK27">
        <f t="shared" si="6"/>
        <v>91.202538888888881</v>
      </c>
      <c r="AL27">
        <f t="shared" si="7"/>
        <v>7.9287749999999999</v>
      </c>
      <c r="AN27" s="2"/>
      <c r="AO27" s="9" t="s">
        <v>1</v>
      </c>
      <c r="AP27" s="17">
        <v>15.921354166666665</v>
      </c>
      <c r="AQ27" s="45">
        <v>92.949999999999989</v>
      </c>
      <c r="AR27" s="45">
        <v>7.6328124999999991</v>
      </c>
      <c r="AS27" s="32"/>
      <c r="AU27">
        <f t="shared" si="8"/>
        <v>14.931093055555557</v>
      </c>
      <c r="AV27">
        <f t="shared" si="9"/>
        <v>85.254547222222214</v>
      </c>
      <c r="AW27">
        <f t="shared" si="10"/>
        <v>8.3692625000000014</v>
      </c>
      <c r="AY27" s="2"/>
      <c r="AZ27" s="9" t="s">
        <v>1</v>
      </c>
      <c r="BA27" s="45">
        <v>15.245104166666666</v>
      </c>
      <c r="BB27" s="45">
        <v>85.661354166666669</v>
      </c>
      <c r="BC27" s="17">
        <v>7.8939583333333339</v>
      </c>
      <c r="BD27" s="32"/>
      <c r="BF27">
        <f t="shared" si="11"/>
        <v>13.889388888888892</v>
      </c>
      <c r="BG27">
        <f t="shared" si="12"/>
        <v>79.306555555555548</v>
      </c>
      <c r="BH27">
        <f t="shared" si="13"/>
        <v>8.8097500000000011</v>
      </c>
      <c r="BJ27" s="2"/>
      <c r="BK27" s="9" t="s">
        <v>1</v>
      </c>
      <c r="BL27" s="45">
        <v>14.124895833333335</v>
      </c>
      <c r="BM27" s="45">
        <v>83.744583333333338</v>
      </c>
      <c r="BN27" s="45">
        <v>8.3163541666666649</v>
      </c>
      <c r="BO27" s="32">
        <v>2250.33</v>
      </c>
    </row>
    <row r="28" spans="2:67" ht="30" customHeight="1" x14ac:dyDescent="0.3">
      <c r="B28" s="17" t="s">
        <v>40</v>
      </c>
      <c r="C28" s="30" t="s">
        <v>2</v>
      </c>
      <c r="D28" s="17">
        <f>'VUELTA ORIGINAL'!B83</f>
        <v>21.654687499999998</v>
      </c>
      <c r="E28" s="17">
        <f>'VUELTA ORIGINAL'!C83</f>
        <v>100.41833333333335</v>
      </c>
      <c r="F28" s="17">
        <f>'VUELTA ORIGINAL'!D83</f>
        <v>6.5380208333333334</v>
      </c>
      <c r="G28" s="28"/>
      <c r="H28" s="20"/>
      <c r="I28" s="22"/>
      <c r="J28" s="17" t="s">
        <v>40</v>
      </c>
      <c r="K28" s="30" t="s">
        <v>2</v>
      </c>
      <c r="L28" s="17">
        <f>'VUELTA BRT'!B83</f>
        <v>18.634062499999999</v>
      </c>
      <c r="M28" s="17">
        <f>'VUELTA BRT'!C83</f>
        <v>98.873333333333335</v>
      </c>
      <c r="N28" s="17">
        <f>'VUELTA BRT'!D83</f>
        <v>7.9078125000000004</v>
      </c>
      <c r="O28" s="28"/>
      <c r="R28" s="10" t="s">
        <v>40</v>
      </c>
      <c r="S28" s="35" t="s">
        <v>2</v>
      </c>
      <c r="T28" s="17">
        <f>'VUELTA BRT TRANS'!B83</f>
        <v>19.49979166666667</v>
      </c>
      <c r="U28" s="17">
        <f>'VUELTA BRT TRANS'!C83</f>
        <v>100.5403125</v>
      </c>
      <c r="V28" s="17">
        <f>'VUELTA BRT TRANS'!D83</f>
        <v>6.9005208333333341</v>
      </c>
      <c r="W28" s="33"/>
      <c r="Y28">
        <f t="shared" ref="Y28:Y35" si="15">T28-(T28*0.03)</f>
        <v>18.914797916666672</v>
      </c>
      <c r="Z28">
        <f t="shared" ref="Z28:Z35" si="16">U28-(U28*0.03)</f>
        <v>97.524103124999996</v>
      </c>
      <c r="AA28">
        <f t="shared" ref="AA28:AA35" si="17">V28-(V28*0.03)</f>
        <v>6.6935052083333337</v>
      </c>
      <c r="AC28" s="10" t="s">
        <v>40</v>
      </c>
      <c r="AD28" s="35" t="s">
        <v>2</v>
      </c>
      <c r="AE28" s="45">
        <v>21.513645833333335</v>
      </c>
      <c r="AF28" s="17">
        <v>95.525000000000006</v>
      </c>
      <c r="AG28" s="45">
        <v>6.5534374999999994</v>
      </c>
      <c r="AH28" s="33"/>
      <c r="AJ28">
        <f t="shared" si="5"/>
        <v>17.939808333333335</v>
      </c>
      <c r="AK28">
        <f t="shared" si="6"/>
        <v>92.497087499999992</v>
      </c>
      <c r="AL28">
        <f t="shared" si="7"/>
        <v>7.4525625000000009</v>
      </c>
      <c r="AN28" s="10" t="s">
        <v>40</v>
      </c>
      <c r="AO28" s="35" t="s">
        <v>2</v>
      </c>
      <c r="AP28" s="45">
        <v>20.535416666666666</v>
      </c>
      <c r="AQ28" s="17">
        <v>89.278124999999989</v>
      </c>
      <c r="AR28" s="45">
        <v>6.6665624999999995</v>
      </c>
      <c r="AS28" s="33"/>
      <c r="AU28">
        <f t="shared" si="8"/>
        <v>16.769820833333338</v>
      </c>
      <c r="AV28">
        <f t="shared" si="9"/>
        <v>86.464668750000001</v>
      </c>
      <c r="AW28">
        <f t="shared" si="10"/>
        <v>7.8665937500000007</v>
      </c>
      <c r="AY28" s="10" t="s">
        <v>40</v>
      </c>
      <c r="AZ28" s="35" t="s">
        <v>2</v>
      </c>
      <c r="BA28" s="45">
        <v>20.684791666666669</v>
      </c>
      <c r="BB28" s="17">
        <v>85.084062500000002</v>
      </c>
      <c r="BC28" s="45">
        <v>6.5751041666666659</v>
      </c>
      <c r="BD28" s="33"/>
      <c r="BF28">
        <f t="shared" si="11"/>
        <v>15.599833333333336</v>
      </c>
      <c r="BG28">
        <f t="shared" si="12"/>
        <v>80.432249999999996</v>
      </c>
      <c r="BH28">
        <f t="shared" si="13"/>
        <v>8.2806250000000006</v>
      </c>
      <c r="BJ28" s="10" t="s">
        <v>40</v>
      </c>
      <c r="BK28" s="35" t="s">
        <v>2</v>
      </c>
      <c r="BL28" s="45">
        <v>20.458333333333336</v>
      </c>
      <c r="BM28" s="17">
        <v>76.780833333333334</v>
      </c>
      <c r="BN28" s="45">
        <v>6.6888541666666663</v>
      </c>
      <c r="BO28" s="33"/>
    </row>
    <row r="29" spans="2:67" ht="30" customHeight="1" x14ac:dyDescent="0.3">
      <c r="B29" s="17" t="s">
        <v>41</v>
      </c>
      <c r="C29" s="31"/>
      <c r="D29" s="17">
        <f>'VUELTA ORIGINAL'!B111</f>
        <v>24.619062500000002</v>
      </c>
      <c r="E29" s="17">
        <f>'VUELTA ORIGINAL'!C111</f>
        <v>51.720312499999999</v>
      </c>
      <c r="F29" s="17">
        <f>'VUELTA ORIGINAL'!D111</f>
        <v>6.4309374999999998</v>
      </c>
      <c r="G29" s="28"/>
      <c r="H29" s="20"/>
      <c r="I29" s="22"/>
      <c r="J29" s="17" t="s">
        <v>41</v>
      </c>
      <c r="K29" s="31"/>
      <c r="L29" s="17">
        <f>'VUELTA BRT'!B111</f>
        <v>22.355729166666666</v>
      </c>
      <c r="M29" s="17">
        <f>'VUELTA BRT'!C111</f>
        <v>48.239270833333336</v>
      </c>
      <c r="N29" s="17">
        <f>'VUELTA BRT'!D111</f>
        <v>7.0587499999999999</v>
      </c>
      <c r="O29" s="28"/>
      <c r="R29" s="10" t="s">
        <v>41</v>
      </c>
      <c r="S29" s="36"/>
      <c r="T29" s="17">
        <f>'VUELTA BRT TRANS'!B111</f>
        <v>22.144166666666671</v>
      </c>
      <c r="U29" s="17">
        <f>'VUELTA BRT TRANS'!C111</f>
        <v>48.691458333333344</v>
      </c>
      <c r="V29" s="17">
        <f>'VUELTA BRT TRANS'!D111</f>
        <v>7.3137499999999998</v>
      </c>
      <c r="W29" s="33"/>
      <c r="Y29">
        <f t="shared" si="15"/>
        <v>21.479841666666669</v>
      </c>
      <c r="Z29">
        <f t="shared" si="16"/>
        <v>47.230714583333345</v>
      </c>
      <c r="AA29">
        <f t="shared" si="17"/>
        <v>7.0943375</v>
      </c>
      <c r="AC29" s="10" t="s">
        <v>41</v>
      </c>
      <c r="AD29" s="36"/>
      <c r="AE29" s="45">
        <v>22.326770833333331</v>
      </c>
      <c r="AF29" s="45">
        <v>49.747083333333329</v>
      </c>
      <c r="AG29" s="45">
        <v>6.8763541666666681</v>
      </c>
      <c r="AH29" s="33"/>
      <c r="AJ29">
        <f t="shared" si="5"/>
        <v>20.372633333333336</v>
      </c>
      <c r="AK29">
        <f t="shared" si="6"/>
        <v>44.796141666666678</v>
      </c>
      <c r="AL29">
        <f t="shared" si="7"/>
        <v>7.8988499999999995</v>
      </c>
      <c r="AN29" s="10" t="s">
        <v>41</v>
      </c>
      <c r="AO29" s="36"/>
      <c r="AP29" s="45">
        <v>21.8628125</v>
      </c>
      <c r="AQ29" s="45">
        <v>46.919687500000002</v>
      </c>
      <c r="AR29" s="45">
        <v>6.9291666666666671</v>
      </c>
      <c r="AS29" s="33"/>
      <c r="AU29">
        <f t="shared" si="8"/>
        <v>19.043983333333337</v>
      </c>
      <c r="AV29">
        <f t="shared" si="9"/>
        <v>41.874654166666673</v>
      </c>
      <c r="AW29">
        <f t="shared" si="10"/>
        <v>8.3376749999999991</v>
      </c>
      <c r="AY29" s="10" t="s">
        <v>41</v>
      </c>
      <c r="AZ29" s="36"/>
      <c r="BA29" s="45">
        <v>21.112708333333334</v>
      </c>
      <c r="BB29" s="45">
        <v>45.280729166666667</v>
      </c>
      <c r="BC29" s="45">
        <v>7.0858333333333334</v>
      </c>
      <c r="BD29" s="33"/>
      <c r="BF29">
        <f t="shared" si="11"/>
        <v>17.715333333333337</v>
      </c>
      <c r="BG29">
        <f t="shared" si="12"/>
        <v>38.953166666666675</v>
      </c>
      <c r="BH29">
        <f t="shared" si="13"/>
        <v>8.7765000000000004</v>
      </c>
      <c r="BJ29" s="10" t="s">
        <v>41</v>
      </c>
      <c r="BK29" s="36"/>
      <c r="BL29" s="45">
        <v>23.023020833333334</v>
      </c>
      <c r="BM29" s="45">
        <v>45.078333333333333</v>
      </c>
      <c r="BN29" s="45">
        <v>6.9014583333333341</v>
      </c>
      <c r="BO29" s="33"/>
    </row>
    <row r="30" spans="2:67" ht="30" customHeight="1" x14ac:dyDescent="0.3">
      <c r="B30" s="17" t="s">
        <v>40</v>
      </c>
      <c r="C30" s="30" t="s">
        <v>3</v>
      </c>
      <c r="D30" s="17">
        <f>'VUELTA ORIGINAL'!B143</f>
        <v>20.804166666666667</v>
      </c>
      <c r="E30" s="17">
        <f>'VUELTA ORIGINAL'!C143</f>
        <v>35.153020833333336</v>
      </c>
      <c r="F30" s="17">
        <f>'VUELTA ORIGINAL'!D143</f>
        <v>7.2818750000000003</v>
      </c>
      <c r="G30" s="28"/>
      <c r="H30" s="20"/>
      <c r="I30" s="22"/>
      <c r="J30" s="17" t="s">
        <v>40</v>
      </c>
      <c r="K30" s="30" t="s">
        <v>3</v>
      </c>
      <c r="L30" s="17">
        <f>'VUELTA BRT'!B143</f>
        <v>20.544479166666669</v>
      </c>
      <c r="M30" s="17">
        <f>'VUELTA BRT'!C143</f>
        <v>35.130104166666669</v>
      </c>
      <c r="N30" s="17">
        <f>'VUELTA BRT'!D143</f>
        <v>7.3109374999999996</v>
      </c>
      <c r="O30" s="28"/>
      <c r="R30" s="10" t="s">
        <v>40</v>
      </c>
      <c r="S30" s="35" t="s">
        <v>3</v>
      </c>
      <c r="T30" s="17">
        <f>'VUELTA BRT TRANS'!B143</f>
        <v>21.393437499999997</v>
      </c>
      <c r="U30" s="17">
        <f>'VUELTA BRT TRANS'!C143</f>
        <v>35.724062499999995</v>
      </c>
      <c r="V30" s="17">
        <f>'VUELTA BRT TRANS'!D143</f>
        <v>7.1269791666666675</v>
      </c>
      <c r="W30" s="33"/>
      <c r="Y30">
        <f t="shared" si="15"/>
        <v>20.751634374999998</v>
      </c>
      <c r="Z30">
        <f t="shared" si="16"/>
        <v>34.652340624999994</v>
      </c>
      <c r="AA30">
        <f t="shared" si="17"/>
        <v>6.9131697916666672</v>
      </c>
      <c r="AC30" s="10" t="s">
        <v>40</v>
      </c>
      <c r="AD30" s="35" t="s">
        <v>3</v>
      </c>
      <c r="AE30" s="17">
        <v>19.684166666666666</v>
      </c>
      <c r="AF30" s="17">
        <v>33.725833333333334</v>
      </c>
      <c r="AG30" s="46">
        <v>7.2995833333333335</v>
      </c>
      <c r="AH30" s="33"/>
      <c r="AJ30">
        <f t="shared" si="5"/>
        <v>19.681962499999997</v>
      </c>
      <c r="AK30">
        <f t="shared" si="6"/>
        <v>32.866137499999994</v>
      </c>
      <c r="AL30">
        <f t="shared" si="7"/>
        <v>7.6971375000000011</v>
      </c>
      <c r="AN30" s="10" t="s">
        <v>40</v>
      </c>
      <c r="AO30" s="35" t="s">
        <v>3</v>
      </c>
      <c r="AP30" s="17">
        <v>18.817708333333336</v>
      </c>
      <c r="AQ30" s="17">
        <v>30.130833333333339</v>
      </c>
      <c r="AR30" s="45">
        <v>7.423750000000001</v>
      </c>
      <c r="AS30" s="33"/>
      <c r="AU30">
        <f t="shared" si="8"/>
        <v>18.398356249999999</v>
      </c>
      <c r="AV30">
        <f t="shared" si="9"/>
        <v>30.722693749999994</v>
      </c>
      <c r="AW30">
        <f t="shared" si="10"/>
        <v>8.1247562500000008</v>
      </c>
      <c r="AY30" s="10" t="s">
        <v>40</v>
      </c>
      <c r="AZ30" s="35" t="s">
        <v>3</v>
      </c>
      <c r="BA30" s="45">
        <v>19.126770833333332</v>
      </c>
      <c r="BB30" s="17">
        <v>28.5815625</v>
      </c>
      <c r="BC30" s="45">
        <v>7.4135416666666663</v>
      </c>
      <c r="BD30" s="33"/>
      <c r="BF30">
        <f t="shared" si="11"/>
        <v>17.114749999999997</v>
      </c>
      <c r="BG30">
        <f t="shared" si="12"/>
        <v>28.579249999999995</v>
      </c>
      <c r="BH30">
        <f t="shared" si="13"/>
        <v>8.5523750000000014</v>
      </c>
      <c r="BJ30" s="10" t="s">
        <v>40</v>
      </c>
      <c r="BK30" s="35" t="s">
        <v>3</v>
      </c>
      <c r="BL30" s="45">
        <v>19.258854166666666</v>
      </c>
      <c r="BM30" s="17">
        <v>26.975729166666667</v>
      </c>
      <c r="BN30" s="45">
        <v>7.2629166666666674</v>
      </c>
      <c r="BO30" s="33"/>
    </row>
    <row r="31" spans="2:67" ht="30" customHeight="1" x14ac:dyDescent="0.3">
      <c r="B31" s="17" t="s">
        <v>41</v>
      </c>
      <c r="C31" s="31"/>
      <c r="D31" s="17">
        <f>'VUELTA ORIGINAL'!B171</f>
        <v>10.341979166666667</v>
      </c>
      <c r="E31" s="17">
        <f>'VUELTA ORIGINAL'!C171</f>
        <v>40.21125</v>
      </c>
      <c r="F31" s="17">
        <f>'VUELTA ORIGINAL'!D171</f>
        <v>10.999374999999999</v>
      </c>
      <c r="G31" s="28"/>
      <c r="H31" s="20"/>
      <c r="I31" s="22"/>
      <c r="J31" s="17" t="s">
        <v>41</v>
      </c>
      <c r="K31" s="31"/>
      <c r="L31" s="17">
        <v>8.2537499999999984</v>
      </c>
      <c r="M31" s="17">
        <v>27.638333333333325</v>
      </c>
      <c r="N31" s="17">
        <v>12.15</v>
      </c>
      <c r="O31" s="28"/>
      <c r="R31" s="10" t="s">
        <v>41</v>
      </c>
      <c r="S31" s="36"/>
      <c r="T31" s="17">
        <v>9.7544333333300006</v>
      </c>
      <c r="U31" s="17">
        <v>29.457666662222</v>
      </c>
      <c r="V31" s="17">
        <v>11.0111111111</v>
      </c>
      <c r="W31" s="33"/>
      <c r="Y31">
        <f t="shared" si="15"/>
        <v>9.4618003333300997</v>
      </c>
      <c r="Z31">
        <f t="shared" si="16"/>
        <v>28.57393666235534</v>
      </c>
      <c r="AA31">
        <f t="shared" si="17"/>
        <v>10.680777777767</v>
      </c>
      <c r="AC31" s="10" t="s">
        <v>41</v>
      </c>
      <c r="AD31" s="36"/>
      <c r="AE31" s="17">
        <v>6.5514583333333336</v>
      </c>
      <c r="AF31" s="17">
        <v>23.242291666666667</v>
      </c>
      <c r="AG31" s="45">
        <v>9.8726041666666671</v>
      </c>
      <c r="AH31" s="33"/>
      <c r="AJ31">
        <f t="shared" si="5"/>
        <v>8.9740786666636012</v>
      </c>
      <c r="AK31">
        <f t="shared" si="6"/>
        <v>27.101053329244241</v>
      </c>
      <c r="AL31">
        <f t="shared" si="7"/>
        <v>11.891999999988</v>
      </c>
      <c r="AN31" s="10" t="s">
        <v>41</v>
      </c>
      <c r="AO31" s="36"/>
      <c r="AP31" s="17">
        <v>7.3467708333333333</v>
      </c>
      <c r="AQ31" s="17">
        <v>22.97</v>
      </c>
      <c r="AR31" s="45">
        <v>9.5255208333333332</v>
      </c>
      <c r="AS31" s="33"/>
      <c r="AU31">
        <f t="shared" si="8"/>
        <v>8.3888126666637994</v>
      </c>
      <c r="AV31">
        <f t="shared" si="9"/>
        <v>25.333593329510919</v>
      </c>
      <c r="AW31">
        <f t="shared" si="10"/>
        <v>12.552666666654</v>
      </c>
      <c r="AY31" s="10" t="s">
        <v>41</v>
      </c>
      <c r="AZ31" s="36"/>
      <c r="BA31" s="17">
        <v>6.7815624999999988</v>
      </c>
      <c r="BB31" s="17">
        <v>20.206979166666663</v>
      </c>
      <c r="BC31" s="45">
        <v>9.8776041666666661</v>
      </c>
      <c r="BD31" s="33"/>
      <c r="BF31">
        <f t="shared" si="11"/>
        <v>7.8035466666640003</v>
      </c>
      <c r="BG31">
        <f t="shared" si="12"/>
        <v>23.5661333297776</v>
      </c>
      <c r="BH31">
        <f t="shared" si="13"/>
        <v>13.21333333332</v>
      </c>
      <c r="BJ31" s="10" t="s">
        <v>41</v>
      </c>
      <c r="BK31" s="36"/>
      <c r="BL31" s="17">
        <v>6.4304166666666669</v>
      </c>
      <c r="BM31" s="17">
        <v>20.34</v>
      </c>
      <c r="BN31" s="45">
        <v>9.9741666666666671</v>
      </c>
      <c r="BO31" s="33"/>
    </row>
    <row r="32" spans="2:67" ht="30" customHeight="1" x14ac:dyDescent="0.3">
      <c r="B32" s="18"/>
      <c r="C32" s="19" t="s">
        <v>4</v>
      </c>
      <c r="D32" s="17">
        <f>'VUELTA ORIGINAL'!B215</f>
        <v>43.229583333333338</v>
      </c>
      <c r="E32" s="17">
        <f>'VUELTA ORIGINAL'!C215</f>
        <v>159.89687499999997</v>
      </c>
      <c r="F32" s="17">
        <f>'VUELTA ORIGINAL'!D215</f>
        <v>1.9968055555555553</v>
      </c>
      <c r="G32" s="28"/>
      <c r="H32" s="20"/>
      <c r="I32" s="22"/>
      <c r="J32" s="20"/>
      <c r="K32" s="19" t="s">
        <v>4</v>
      </c>
      <c r="L32" s="17">
        <f>'VUELTA BRT'!B187</f>
        <v>33.203749999999999</v>
      </c>
      <c r="M32" s="17">
        <f>'VUELTA BRT'!C187</f>
        <v>109.93215277777777</v>
      </c>
      <c r="N32" s="17">
        <f>'VUELTA BRT'!D187</f>
        <v>3.0236111111111112</v>
      </c>
      <c r="O32" s="28"/>
      <c r="R32" s="2"/>
      <c r="S32" s="9" t="s">
        <v>4</v>
      </c>
      <c r="T32" s="17">
        <f>'VUELTA BRT TRANS'!B187</f>
        <v>37.07951388888889</v>
      </c>
      <c r="U32" s="17">
        <f>'VUELTA BRT TRANS'!C187</f>
        <v>126.61784722222224</v>
      </c>
      <c r="V32" s="17">
        <f>'VUELTA BRT TRANS'!D187</f>
        <v>2.643958333333333</v>
      </c>
      <c r="W32" s="33"/>
      <c r="Y32">
        <f t="shared" si="15"/>
        <v>35.967128472222221</v>
      </c>
      <c r="Z32">
        <f t="shared" si="16"/>
        <v>122.81931180555557</v>
      </c>
      <c r="AA32">
        <f t="shared" si="17"/>
        <v>2.5646395833333329</v>
      </c>
      <c r="AC32" s="2"/>
      <c r="AD32" s="9" t="s">
        <v>4</v>
      </c>
      <c r="AE32" s="17">
        <v>33.374791666666667</v>
      </c>
      <c r="AF32" s="17">
        <v>110.68111111111111</v>
      </c>
      <c r="AG32" s="46">
        <v>2.8636805555555549</v>
      </c>
      <c r="AH32" s="33"/>
      <c r="AJ32">
        <f t="shared" si="5"/>
        <v>34.113152777777778</v>
      </c>
      <c r="AK32">
        <f t="shared" si="6"/>
        <v>116.48841944444446</v>
      </c>
      <c r="AL32">
        <f t="shared" si="7"/>
        <v>2.8554749999999998</v>
      </c>
      <c r="AN32" s="2"/>
      <c r="AO32" s="9" t="s">
        <v>4</v>
      </c>
      <c r="AP32" s="17">
        <v>31.707430555555554</v>
      </c>
      <c r="AQ32" s="17">
        <v>104.26354166666668</v>
      </c>
      <c r="AR32" s="17">
        <v>3.0577777777777779</v>
      </c>
      <c r="AS32" s="33"/>
      <c r="AU32">
        <f t="shared" si="8"/>
        <v>31.888381944444447</v>
      </c>
      <c r="AV32">
        <f t="shared" si="9"/>
        <v>108.89134861111113</v>
      </c>
      <c r="AW32">
        <f t="shared" si="10"/>
        <v>3.0141124999999995</v>
      </c>
      <c r="AY32" s="2"/>
      <c r="AZ32" s="9" t="s">
        <v>4</v>
      </c>
      <c r="BA32" s="17">
        <v>31.205208333333339</v>
      </c>
      <c r="BB32" s="17">
        <v>98.469375000000014</v>
      </c>
      <c r="BC32" s="17">
        <v>3.0928472222222219</v>
      </c>
      <c r="BD32" s="33"/>
      <c r="BF32">
        <f t="shared" si="11"/>
        <v>29.663611111111113</v>
      </c>
      <c r="BG32">
        <f t="shared" si="12"/>
        <v>101.29427777777779</v>
      </c>
      <c r="BH32">
        <f t="shared" si="13"/>
        <v>3.1727499999999997</v>
      </c>
      <c r="BJ32" s="2"/>
      <c r="BK32" s="9" t="s">
        <v>4</v>
      </c>
      <c r="BL32" s="45">
        <v>30.676944444444445</v>
      </c>
      <c r="BM32" s="17">
        <v>92.279166666666669</v>
      </c>
      <c r="BN32" s="45">
        <v>3.1363888888888889</v>
      </c>
      <c r="BO32" s="33"/>
    </row>
    <row r="33" spans="2:67" ht="30" customHeight="1" x14ac:dyDescent="0.3">
      <c r="B33" s="18"/>
      <c r="C33" s="19" t="s">
        <v>6</v>
      </c>
      <c r="D33" s="17">
        <f>'VUELTA ORIGINAL'!B247</f>
        <v>12.255520833333332</v>
      </c>
      <c r="E33" s="17">
        <v>106.78156250000001</v>
      </c>
      <c r="F33" s="17">
        <f>'VUELTA ORIGINAL'!D247</f>
        <v>7.1265624999999995</v>
      </c>
      <c r="G33" s="28"/>
      <c r="H33" s="20"/>
      <c r="I33" s="22"/>
      <c r="J33" s="20"/>
      <c r="K33" s="19" t="s">
        <v>6</v>
      </c>
      <c r="L33" s="17">
        <f>'VUELTA BRT'!B219</f>
        <v>8.0503125000000004</v>
      </c>
      <c r="M33" s="17">
        <f>'VUELTA BRT'!C219</f>
        <v>55.055833333333332</v>
      </c>
      <c r="N33" s="17">
        <f>'VUELTA BRT'!D219</f>
        <v>8.7478124999999984</v>
      </c>
      <c r="O33" s="28"/>
      <c r="R33" s="2"/>
      <c r="S33" s="9" t="s">
        <v>6</v>
      </c>
      <c r="T33" s="17">
        <f>'VUELTA BRT TRANS'!B219</f>
        <v>10.011458333333334</v>
      </c>
      <c r="U33" s="17">
        <f>'VUELTA BRT TRANS'!C219</f>
        <v>58.256250000000001</v>
      </c>
      <c r="V33" s="17">
        <f>'VUELTA BRT TRANS'!D219</f>
        <v>8.1906249999999989</v>
      </c>
      <c r="W33" s="33"/>
      <c r="Y33">
        <f t="shared" si="15"/>
        <v>9.7111145833333339</v>
      </c>
      <c r="Z33">
        <f t="shared" si="16"/>
        <v>56.508562500000004</v>
      </c>
      <c r="AA33">
        <f t="shared" si="17"/>
        <v>7.9449062499999989</v>
      </c>
      <c r="AC33" s="2"/>
      <c r="AD33" s="9" t="s">
        <v>6</v>
      </c>
      <c r="AE33" s="17">
        <v>7.2587499999999991</v>
      </c>
      <c r="AF33" s="17">
        <v>51.853333333333332</v>
      </c>
      <c r="AG33" s="46">
        <v>9.1238541666666677</v>
      </c>
      <c r="AH33" s="33"/>
      <c r="AJ33">
        <f t="shared" si="5"/>
        <v>9.2105416666666677</v>
      </c>
      <c r="AK33">
        <f t="shared" si="6"/>
        <v>53.595750000000002</v>
      </c>
      <c r="AL33">
        <f t="shared" si="7"/>
        <v>8.8458749999999995</v>
      </c>
      <c r="AN33" s="2"/>
      <c r="AO33" s="9" t="s">
        <v>6</v>
      </c>
      <c r="AP33" s="17">
        <v>6.3347916666666659</v>
      </c>
      <c r="AQ33" s="17">
        <v>42.313333333333333</v>
      </c>
      <c r="AR33" s="17">
        <v>9.469479166666666</v>
      </c>
      <c r="AS33" s="33"/>
      <c r="AU33">
        <f t="shared" si="8"/>
        <v>8.6098541666666666</v>
      </c>
      <c r="AV33">
        <f t="shared" si="9"/>
        <v>50.100375</v>
      </c>
      <c r="AW33">
        <f t="shared" si="10"/>
        <v>9.3373124999999995</v>
      </c>
      <c r="AY33" s="2"/>
      <c r="AZ33" s="9" t="s">
        <v>6</v>
      </c>
      <c r="BA33" s="17">
        <v>5.3891666666666671</v>
      </c>
      <c r="BB33" s="17">
        <v>41.935000000000002</v>
      </c>
      <c r="BC33" s="17">
        <v>10.118333333333332</v>
      </c>
      <c r="BD33" s="33"/>
      <c r="BF33">
        <f t="shared" si="11"/>
        <v>8.0091666666666672</v>
      </c>
      <c r="BG33">
        <f t="shared" si="12"/>
        <v>46.605000000000004</v>
      </c>
      <c r="BH33">
        <f t="shared" si="13"/>
        <v>9.8287499999999994</v>
      </c>
      <c r="BJ33" s="2"/>
      <c r="BK33" s="9" t="s">
        <v>6</v>
      </c>
      <c r="BL33" s="17">
        <v>4.6293749999999996</v>
      </c>
      <c r="BM33" s="17">
        <v>33.949479166666663</v>
      </c>
      <c r="BN33" s="17">
        <v>10.576770833333333</v>
      </c>
      <c r="BO33" s="33"/>
    </row>
    <row r="34" spans="2:67" ht="30" customHeight="1" x14ac:dyDescent="0.3">
      <c r="B34" s="17" t="s">
        <v>40</v>
      </c>
      <c r="C34" s="30" t="s">
        <v>8</v>
      </c>
      <c r="D34" s="17">
        <f>'VUELTA ORIGINAL'!B279</f>
        <v>18.266874999999999</v>
      </c>
      <c r="E34" s="17">
        <f>'VUELTA ORIGINAL'!C279</f>
        <v>96.500624999999999</v>
      </c>
      <c r="F34" s="17">
        <f>'VUELTA ORIGINAL'!D279</f>
        <v>7.0053124999999996</v>
      </c>
      <c r="G34" s="28"/>
      <c r="H34" s="20"/>
      <c r="I34" s="22"/>
      <c r="J34" s="17" t="s">
        <v>40</v>
      </c>
      <c r="K34" s="30" t="s">
        <v>8</v>
      </c>
      <c r="L34" s="17">
        <f>'VUELTA BRT'!B251</f>
        <v>15.374895833333332</v>
      </c>
      <c r="M34" s="17">
        <f>'VUELTA BRT'!C251</f>
        <v>40.187812500000007</v>
      </c>
      <c r="N34" s="17">
        <f>'VUELTA BRT'!D251</f>
        <v>7.8433333333333346</v>
      </c>
      <c r="O34" s="28"/>
      <c r="R34" s="10" t="s">
        <v>40</v>
      </c>
      <c r="S34" s="35" t="s">
        <v>8</v>
      </c>
      <c r="T34" s="17">
        <f>'VUELTA BRT TRANS'!B251</f>
        <v>18.106666666666666</v>
      </c>
      <c r="U34" s="17">
        <f>'VUELTA BRT TRANS'!C251</f>
        <v>43.885937499999997</v>
      </c>
      <c r="V34" s="17">
        <f>'VUELTA BRT TRANS'!D251</f>
        <v>7.6276041666666661</v>
      </c>
      <c r="W34" s="33"/>
      <c r="Y34">
        <f t="shared" si="15"/>
        <v>17.563466666666667</v>
      </c>
      <c r="Z34">
        <f t="shared" si="16"/>
        <v>42.569359374999998</v>
      </c>
      <c r="AA34">
        <f t="shared" si="17"/>
        <v>7.3987760416666664</v>
      </c>
      <c r="AC34" s="10" t="s">
        <v>40</v>
      </c>
      <c r="AD34" s="35" t="s">
        <v>8</v>
      </c>
      <c r="AE34" s="17">
        <v>12.934687500000001</v>
      </c>
      <c r="AF34" s="17">
        <v>35.989791666666676</v>
      </c>
      <c r="AG34" s="46">
        <v>9.3109374999999996</v>
      </c>
      <c r="AH34" s="33"/>
      <c r="AJ34">
        <f t="shared" si="5"/>
        <v>16.658133333333332</v>
      </c>
      <c r="AK34">
        <f t="shared" si="6"/>
        <v>40.375062499999999</v>
      </c>
      <c r="AL34">
        <f t="shared" si="7"/>
        <v>8.2378124999999986</v>
      </c>
      <c r="AN34" s="10" t="s">
        <v>40</v>
      </c>
      <c r="AO34" s="35" t="s">
        <v>8</v>
      </c>
      <c r="AP34" s="17">
        <v>13.03</v>
      </c>
      <c r="AQ34" s="17">
        <v>35.520416666666669</v>
      </c>
      <c r="AR34" s="17">
        <v>9.1738541666666666</v>
      </c>
      <c r="AS34" s="33"/>
      <c r="AU34">
        <f t="shared" si="8"/>
        <v>15.571733333333333</v>
      </c>
      <c r="AV34">
        <f t="shared" si="9"/>
        <v>37.74190625</v>
      </c>
      <c r="AW34">
        <f t="shared" si="10"/>
        <v>8.6954687499999999</v>
      </c>
      <c r="AY34" s="10" t="s">
        <v>40</v>
      </c>
      <c r="AZ34" s="35" t="s">
        <v>8</v>
      </c>
      <c r="BA34" s="45">
        <v>12.654375000000003</v>
      </c>
      <c r="BB34" s="17">
        <v>31.604791666666664</v>
      </c>
      <c r="BC34" s="17">
        <v>9.2937500000000011</v>
      </c>
      <c r="BD34" s="33"/>
      <c r="BF34">
        <f t="shared" si="11"/>
        <v>14.485333333333333</v>
      </c>
      <c r="BG34">
        <f t="shared" si="12"/>
        <v>35.108750000000001</v>
      </c>
      <c r="BH34">
        <f t="shared" si="13"/>
        <v>9.1531249999999993</v>
      </c>
      <c r="BJ34" s="10" t="s">
        <v>40</v>
      </c>
      <c r="BK34" s="35" t="s">
        <v>8</v>
      </c>
      <c r="BL34" s="17">
        <v>12.2934375</v>
      </c>
      <c r="BM34" s="17">
        <v>29.775312499999998</v>
      </c>
      <c r="BN34" s="17">
        <v>9.3815625000000011</v>
      </c>
      <c r="BO34" s="33"/>
    </row>
    <row r="35" spans="2:67" ht="30" customHeight="1" x14ac:dyDescent="0.3">
      <c r="B35" s="17" t="s">
        <v>41</v>
      </c>
      <c r="C35" s="31"/>
      <c r="D35" s="17">
        <f>'VUELTA ORIGINAL'!B307</f>
        <v>19.971250000000001</v>
      </c>
      <c r="E35" s="17">
        <f>'VUELTA ORIGINAL'!C307</f>
        <v>82.215833333333322</v>
      </c>
      <c r="F35" s="17">
        <f>'VUELTA ORIGINAL'!D307</f>
        <v>6.9885416666666664</v>
      </c>
      <c r="G35" s="29"/>
      <c r="H35" s="20"/>
      <c r="I35" s="22"/>
      <c r="J35" s="17" t="s">
        <v>41</v>
      </c>
      <c r="K35" s="31"/>
      <c r="L35" s="17">
        <f>'VUELTA BRT'!B279</f>
        <v>13.769270833333334</v>
      </c>
      <c r="M35" s="17">
        <f>'VUELTA BRT'!C279</f>
        <v>38.755937500000002</v>
      </c>
      <c r="N35" s="17">
        <f>'VUELTA BRT'!D279</f>
        <v>8.9792708333333326</v>
      </c>
      <c r="O35" s="29"/>
      <c r="R35" s="10" t="s">
        <v>41</v>
      </c>
      <c r="S35" s="36"/>
      <c r="T35" s="17">
        <f>'VUELTA BRT TRANS'!B279</f>
        <v>18.520833333333332</v>
      </c>
      <c r="U35" s="17">
        <f>'VUELTA BRT TRANS'!C279</f>
        <v>43.470937500000005</v>
      </c>
      <c r="V35" s="17">
        <f>'VUELTA BRT TRANS'!D279</f>
        <v>6.8428125</v>
      </c>
      <c r="W35" s="34"/>
      <c r="Y35">
        <f t="shared" si="15"/>
        <v>17.965208333333333</v>
      </c>
      <c r="Z35">
        <f t="shared" si="16"/>
        <v>42.166809375000007</v>
      </c>
      <c r="AA35">
        <f t="shared" si="17"/>
        <v>6.6375281250000002</v>
      </c>
      <c r="AC35" s="10" t="s">
        <v>41</v>
      </c>
      <c r="AD35" s="36"/>
      <c r="AE35" s="17">
        <v>17.771875000000001</v>
      </c>
      <c r="AF35" s="17">
        <v>91.742500000000007</v>
      </c>
      <c r="AG35" s="46">
        <v>7.0205208333333333</v>
      </c>
      <c r="AH35" s="34"/>
      <c r="AJ35">
        <f t="shared" si="5"/>
        <v>17.039166666666667</v>
      </c>
      <c r="AK35">
        <f t="shared" si="6"/>
        <v>39.993262500000007</v>
      </c>
      <c r="AL35">
        <f t="shared" si="7"/>
        <v>7.3902374999999996</v>
      </c>
      <c r="AN35" s="10" t="s">
        <v>41</v>
      </c>
      <c r="AO35" s="36"/>
      <c r="AP35" s="45">
        <v>17.731666666666669</v>
      </c>
      <c r="AQ35" s="45">
        <v>89.76</v>
      </c>
      <c r="AR35" s="45">
        <v>7.0125000000000011</v>
      </c>
      <c r="AS35" s="34"/>
      <c r="AU35">
        <f t="shared" si="8"/>
        <v>15.927916666666665</v>
      </c>
      <c r="AV35">
        <f t="shared" si="9"/>
        <v>37.385006250000004</v>
      </c>
      <c r="AW35">
        <f t="shared" si="10"/>
        <v>7.8008062499999999</v>
      </c>
      <c r="AY35" s="10" t="s">
        <v>41</v>
      </c>
      <c r="AZ35" s="36"/>
      <c r="BA35" s="45">
        <v>17.555208333333336</v>
      </c>
      <c r="BB35" s="45">
        <v>83.6484375</v>
      </c>
      <c r="BC35" s="45">
        <v>7.0733333333333333</v>
      </c>
      <c r="BD35" s="34"/>
      <c r="BF35">
        <f t="shared" si="11"/>
        <v>14.816666666666666</v>
      </c>
      <c r="BG35">
        <f t="shared" si="12"/>
        <v>34.776750000000007</v>
      </c>
      <c r="BH35">
        <f t="shared" si="13"/>
        <v>8.2113750000000003</v>
      </c>
      <c r="BJ35" s="10" t="s">
        <v>41</v>
      </c>
      <c r="BK35" s="36"/>
      <c r="BL35" s="45">
        <v>16.755208333333332</v>
      </c>
      <c r="BM35" s="45">
        <v>81.204791666666665</v>
      </c>
      <c r="BN35" s="45">
        <v>7.1652083333333332</v>
      </c>
      <c r="BO35" s="34"/>
    </row>
    <row r="36" spans="2:67" x14ac:dyDescent="0.3">
      <c r="C36" s="8"/>
    </row>
  </sheetData>
  <mergeCells count="77">
    <mergeCell ref="BO27:BO35"/>
    <mergeCell ref="BK28:BK29"/>
    <mergeCell ref="BK30:BK31"/>
    <mergeCell ref="BK34:BK35"/>
    <mergeCell ref="BO10:BO20"/>
    <mergeCell ref="BK11:BK12"/>
    <mergeCell ref="BK13:BK14"/>
    <mergeCell ref="BK19:BK20"/>
    <mergeCell ref="BJ23:BO24"/>
    <mergeCell ref="AS27:AS35"/>
    <mergeCell ref="AO28:AO29"/>
    <mergeCell ref="AO30:AO31"/>
    <mergeCell ref="AO34:AO35"/>
    <mergeCell ref="AY2:BD4"/>
    <mergeCell ref="AY6:BD7"/>
    <mergeCell ref="BD10:BD20"/>
    <mergeCell ref="AZ11:AZ12"/>
    <mergeCell ref="AZ13:AZ14"/>
    <mergeCell ref="AZ19:AZ20"/>
    <mergeCell ref="AY23:BD24"/>
    <mergeCell ref="BD27:BD35"/>
    <mergeCell ref="AZ28:AZ29"/>
    <mergeCell ref="AZ30:AZ31"/>
    <mergeCell ref="AZ34:AZ35"/>
    <mergeCell ref="AS10:AS20"/>
    <mergeCell ref="AO11:AO12"/>
    <mergeCell ref="AO13:AO14"/>
    <mergeCell ref="AO19:AO20"/>
    <mergeCell ref="AN23:AS24"/>
    <mergeCell ref="AN2:AS4"/>
    <mergeCell ref="AN6:AS7"/>
    <mergeCell ref="BJ2:BO4"/>
    <mergeCell ref="BJ6:BO7"/>
    <mergeCell ref="AC23:AH24"/>
    <mergeCell ref="AH27:AH35"/>
    <mergeCell ref="AD28:AD29"/>
    <mergeCell ref="AD30:AD31"/>
    <mergeCell ref="AD34:AD35"/>
    <mergeCell ref="AC2:AH4"/>
    <mergeCell ref="AC6:AH7"/>
    <mergeCell ref="AH10:AH20"/>
    <mergeCell ref="AD11:AD12"/>
    <mergeCell ref="AD13:AD14"/>
    <mergeCell ref="AD19:AD20"/>
    <mergeCell ref="R23:W24"/>
    <mergeCell ref="W27:W35"/>
    <mergeCell ref="S28:S29"/>
    <mergeCell ref="S30:S31"/>
    <mergeCell ref="S34:S35"/>
    <mergeCell ref="R2:W4"/>
    <mergeCell ref="R6:W7"/>
    <mergeCell ref="W10:W20"/>
    <mergeCell ref="S11:S12"/>
    <mergeCell ref="S13:S14"/>
    <mergeCell ref="S19:S20"/>
    <mergeCell ref="G27:G35"/>
    <mergeCell ref="O27:O35"/>
    <mergeCell ref="C11:C12"/>
    <mergeCell ref="K11:K12"/>
    <mergeCell ref="C13:C14"/>
    <mergeCell ref="K13:K14"/>
    <mergeCell ref="C19:C20"/>
    <mergeCell ref="K19:K20"/>
    <mergeCell ref="C28:C29"/>
    <mergeCell ref="C30:C31"/>
    <mergeCell ref="C34:C35"/>
    <mergeCell ref="K34:K35"/>
    <mergeCell ref="K30:K31"/>
    <mergeCell ref="K28:K29"/>
    <mergeCell ref="B23:G24"/>
    <mergeCell ref="B6:G7"/>
    <mergeCell ref="B2:G4"/>
    <mergeCell ref="J2:O4"/>
    <mergeCell ref="J6:O7"/>
    <mergeCell ref="J23:O24"/>
    <mergeCell ref="G10:G20"/>
    <mergeCell ref="O10:O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B581-790D-4BCB-BA43-D5D41BBF04B2}">
  <dimension ref="A2:Y310"/>
  <sheetViews>
    <sheetView workbookViewId="0">
      <selection activeCell="B2" sqref="B2:D3"/>
    </sheetView>
  </sheetViews>
  <sheetFormatPr baseColWidth="10" defaultRowHeight="14.4" x14ac:dyDescent="0.3"/>
  <cols>
    <col min="2" max="2" width="16.33203125" bestFit="1" customWidth="1"/>
    <col min="5" max="5" width="16.33203125" bestFit="1" customWidth="1"/>
    <col min="8" max="8" width="16.33203125" bestFit="1" customWidth="1"/>
    <col min="11" max="11" width="16.33203125" bestFit="1" customWidth="1"/>
  </cols>
  <sheetData>
    <row r="2" spans="2:13" x14ac:dyDescent="0.3">
      <c r="B2" s="37" t="s">
        <v>11</v>
      </c>
      <c r="C2" s="37"/>
      <c r="D2" s="37"/>
      <c r="I2">
        <v>2750</v>
      </c>
    </row>
    <row r="3" spans="2:13" x14ac:dyDescent="0.3">
      <c r="B3" s="37"/>
      <c r="C3" s="37"/>
      <c r="D3" s="37"/>
    </row>
    <row r="4" spans="2:13" x14ac:dyDescent="0.3">
      <c r="H4" s="6" t="s">
        <v>25</v>
      </c>
      <c r="I4" s="6" t="s">
        <v>26</v>
      </c>
      <c r="J4" s="6" t="s">
        <v>23</v>
      </c>
    </row>
    <row r="5" spans="2:13" x14ac:dyDescent="0.3">
      <c r="G5" s="43" t="s">
        <v>24</v>
      </c>
      <c r="H5" s="5">
        <v>1</v>
      </c>
      <c r="I5" s="5">
        <v>2325.0966666666664</v>
      </c>
      <c r="J5" s="5">
        <v>11.652222222222223</v>
      </c>
    </row>
    <row r="6" spans="2:13" x14ac:dyDescent="0.3">
      <c r="G6" s="43"/>
      <c r="H6" s="5">
        <v>2</v>
      </c>
      <c r="I6" s="5">
        <v>2446</v>
      </c>
      <c r="J6" s="5">
        <v>9.94</v>
      </c>
    </row>
    <row r="7" spans="2:13" x14ac:dyDescent="0.3">
      <c r="G7" s="43"/>
      <c r="H7" s="5">
        <v>3</v>
      </c>
      <c r="I7" s="5">
        <v>2437</v>
      </c>
      <c r="J7" s="5">
        <v>9.89</v>
      </c>
    </row>
    <row r="8" spans="2:13" x14ac:dyDescent="0.3">
      <c r="G8" s="43"/>
      <c r="H8" s="5">
        <v>4</v>
      </c>
      <c r="I8" s="5">
        <v>4552</v>
      </c>
      <c r="J8" s="5"/>
    </row>
    <row r="9" spans="2:13" x14ac:dyDescent="0.3">
      <c r="B9" s="38" t="s">
        <v>1</v>
      </c>
      <c r="C9" s="38"/>
      <c r="D9" s="38"/>
      <c r="E9" s="38"/>
    </row>
    <row r="11" spans="2:13" x14ac:dyDescent="0.3">
      <c r="B11" s="39" t="s">
        <v>17</v>
      </c>
      <c r="C11" s="39"/>
      <c r="D11" s="39"/>
      <c r="E11" s="40" t="s">
        <v>18</v>
      </c>
      <c r="F11" s="40"/>
      <c r="G11" s="40"/>
      <c r="H11" s="41" t="s">
        <v>19</v>
      </c>
      <c r="I11" s="41"/>
      <c r="J11" s="41"/>
      <c r="K11" s="42" t="s">
        <v>20</v>
      </c>
      <c r="L11" s="42"/>
      <c r="M11" s="42"/>
    </row>
    <row r="12" spans="2:13" x14ac:dyDescent="0.3">
      <c r="B12" s="1" t="s">
        <v>21</v>
      </c>
      <c r="C12" s="1" t="s">
        <v>22</v>
      </c>
      <c r="D12" s="1" t="s">
        <v>23</v>
      </c>
      <c r="E12" s="1" t="s">
        <v>21</v>
      </c>
      <c r="F12" s="1" t="s">
        <v>22</v>
      </c>
      <c r="G12" s="1" t="s">
        <v>23</v>
      </c>
      <c r="H12" s="1" t="s">
        <v>21</v>
      </c>
      <c r="I12" s="1" t="s">
        <v>22</v>
      </c>
      <c r="J12" s="1" t="s">
        <v>23</v>
      </c>
      <c r="K12" s="1" t="s">
        <v>21</v>
      </c>
      <c r="L12" s="1" t="s">
        <v>22</v>
      </c>
      <c r="M12" s="1" t="s">
        <v>23</v>
      </c>
    </row>
    <row r="13" spans="2:13" x14ac:dyDescent="0.3">
      <c r="B13" s="3">
        <v>9.26</v>
      </c>
      <c r="C13" s="3">
        <v>41.04</v>
      </c>
      <c r="D13" s="3">
        <v>8.85</v>
      </c>
      <c r="E13" s="3">
        <v>15.85</v>
      </c>
      <c r="F13" s="3">
        <v>73.510000000000005</v>
      </c>
      <c r="G13" s="3">
        <v>6.33</v>
      </c>
      <c r="H13" s="3">
        <v>13.79</v>
      </c>
      <c r="I13" s="3">
        <v>56.29</v>
      </c>
      <c r="J13" s="3">
        <v>6.77</v>
      </c>
      <c r="K13" s="3">
        <v>11.04</v>
      </c>
      <c r="L13" s="3">
        <v>48.52</v>
      </c>
      <c r="M13" s="3">
        <v>7.7</v>
      </c>
    </row>
    <row r="14" spans="2:13" x14ac:dyDescent="0.3">
      <c r="B14" s="4">
        <v>15.27</v>
      </c>
      <c r="C14" s="4">
        <v>56.16</v>
      </c>
      <c r="D14" s="4">
        <v>6.28</v>
      </c>
      <c r="E14" s="4">
        <v>12.41</v>
      </c>
      <c r="F14" s="4">
        <v>66.02</v>
      </c>
      <c r="G14" s="4">
        <v>6.52</v>
      </c>
      <c r="H14" s="4">
        <v>17.010000000000002</v>
      </c>
      <c r="I14" s="4">
        <v>71.22</v>
      </c>
      <c r="J14" s="4">
        <v>5.44</v>
      </c>
      <c r="K14" s="4">
        <v>13.38</v>
      </c>
      <c r="L14" s="4">
        <v>63.63</v>
      </c>
      <c r="M14" s="4">
        <v>6.83</v>
      </c>
    </row>
    <row r="15" spans="2:13" x14ac:dyDescent="0.3">
      <c r="B15" s="3">
        <v>13.41</v>
      </c>
      <c r="C15" s="3">
        <v>41.09</v>
      </c>
      <c r="D15" s="3">
        <v>6.85</v>
      </c>
      <c r="E15" s="3">
        <v>15.36</v>
      </c>
      <c r="F15" s="3">
        <v>48.54</v>
      </c>
      <c r="G15" s="3">
        <v>6.11</v>
      </c>
      <c r="H15" s="3">
        <v>14.07</v>
      </c>
      <c r="I15" s="3">
        <v>56.08</v>
      </c>
      <c r="J15" s="3">
        <v>6.64</v>
      </c>
      <c r="K15" s="3">
        <v>13.57</v>
      </c>
      <c r="L15" s="3">
        <v>56.09</v>
      </c>
      <c r="M15" s="3">
        <v>7.09</v>
      </c>
    </row>
    <row r="16" spans="2:13" x14ac:dyDescent="0.3">
      <c r="B16" s="4">
        <v>17.68</v>
      </c>
      <c r="C16" s="4">
        <v>78.69</v>
      </c>
      <c r="D16" s="4">
        <v>5.13</v>
      </c>
      <c r="E16" s="4">
        <v>21.42</v>
      </c>
      <c r="F16" s="4">
        <v>71.09</v>
      </c>
      <c r="G16" s="4">
        <v>5.13</v>
      </c>
      <c r="H16" s="4">
        <v>16.760000000000002</v>
      </c>
      <c r="I16" s="4">
        <v>59.12</v>
      </c>
      <c r="J16" s="4">
        <v>5.74</v>
      </c>
      <c r="K16" s="4">
        <v>18.760000000000002</v>
      </c>
      <c r="L16" s="4">
        <v>80.989999999999995</v>
      </c>
      <c r="M16" s="4">
        <v>5.09</v>
      </c>
    </row>
    <row r="17" spans="2:13" x14ac:dyDescent="0.3">
      <c r="B17" s="3">
        <v>14.81</v>
      </c>
      <c r="C17" s="3">
        <v>71.069999999999993</v>
      </c>
      <c r="D17" s="3">
        <v>6.36</v>
      </c>
      <c r="E17" s="3">
        <v>11.94</v>
      </c>
      <c r="F17" s="3">
        <v>56.15</v>
      </c>
      <c r="G17" s="3">
        <v>6.95</v>
      </c>
      <c r="H17" s="3">
        <v>14.04</v>
      </c>
      <c r="I17" s="3">
        <v>63.5</v>
      </c>
      <c r="J17" s="3">
        <v>6.52</v>
      </c>
      <c r="K17" s="3">
        <v>14</v>
      </c>
      <c r="L17" s="3">
        <v>56.06</v>
      </c>
      <c r="M17" s="3">
        <v>6.52</v>
      </c>
    </row>
    <row r="18" spans="2:13" x14ac:dyDescent="0.3">
      <c r="B18" s="4">
        <v>14.61</v>
      </c>
      <c r="C18" s="4">
        <v>48.73</v>
      </c>
      <c r="D18" s="4">
        <v>6.56</v>
      </c>
      <c r="E18" s="4">
        <v>13.94</v>
      </c>
      <c r="F18" s="4">
        <v>41.15</v>
      </c>
      <c r="G18" s="4">
        <v>6.72</v>
      </c>
      <c r="H18" s="4">
        <v>12.8</v>
      </c>
      <c r="I18" s="4">
        <v>48.88</v>
      </c>
      <c r="J18" s="4">
        <v>6.24</v>
      </c>
      <c r="K18" s="4">
        <v>14.8</v>
      </c>
      <c r="L18" s="4">
        <v>48.7</v>
      </c>
      <c r="M18" s="4">
        <v>6.34</v>
      </c>
    </row>
    <row r="19" spans="2:13" x14ac:dyDescent="0.3">
      <c r="B19" s="3">
        <v>21.24</v>
      </c>
      <c r="C19" s="3">
        <v>78.55</v>
      </c>
      <c r="D19" s="3">
        <v>4.79</v>
      </c>
      <c r="E19" s="3">
        <v>18.489999999999998</v>
      </c>
      <c r="F19" s="3">
        <v>71.14</v>
      </c>
      <c r="G19" s="3">
        <v>5.58</v>
      </c>
      <c r="H19" s="3">
        <v>19.239999999999998</v>
      </c>
      <c r="I19" s="3">
        <v>65.3</v>
      </c>
      <c r="J19" s="3">
        <v>5.7</v>
      </c>
      <c r="K19" s="3">
        <v>14.77</v>
      </c>
      <c r="L19" s="3">
        <v>57.02</v>
      </c>
      <c r="M19" s="3">
        <v>6.51</v>
      </c>
    </row>
    <row r="20" spans="2:13" x14ac:dyDescent="0.3">
      <c r="B20" s="4">
        <v>11.94</v>
      </c>
      <c r="C20" s="4">
        <v>41</v>
      </c>
      <c r="D20" s="4">
        <v>7.49</v>
      </c>
      <c r="E20" s="4">
        <v>17.79</v>
      </c>
      <c r="F20" s="4">
        <v>56</v>
      </c>
      <c r="G20" s="4">
        <v>5.48</v>
      </c>
      <c r="H20" s="4">
        <v>17.66</v>
      </c>
      <c r="I20" s="4">
        <v>71.19</v>
      </c>
      <c r="J20" s="4">
        <v>5.78</v>
      </c>
      <c r="K20" s="4">
        <v>13.56</v>
      </c>
      <c r="L20" s="4">
        <v>63.65</v>
      </c>
      <c r="M20" s="4">
        <v>6.59</v>
      </c>
    </row>
    <row r="21" spans="2:13" x14ac:dyDescent="0.3">
      <c r="B21" s="3">
        <v>10.17</v>
      </c>
      <c r="C21" s="3">
        <v>48.67</v>
      </c>
      <c r="D21" s="3">
        <v>7.6</v>
      </c>
      <c r="E21" s="3">
        <v>10.199999999999999</v>
      </c>
      <c r="F21" s="3">
        <v>48.49</v>
      </c>
      <c r="G21" s="3">
        <v>7.67</v>
      </c>
      <c r="H21" s="3">
        <v>9.93</v>
      </c>
      <c r="I21" s="3">
        <v>48.59</v>
      </c>
      <c r="J21" s="3">
        <v>7.78</v>
      </c>
      <c r="K21" s="3">
        <v>8.2200000000000006</v>
      </c>
      <c r="L21" s="3">
        <v>63.32</v>
      </c>
      <c r="M21" s="3">
        <v>8.93</v>
      </c>
    </row>
    <row r="22" spans="2:13" x14ac:dyDescent="0.3">
      <c r="B22" s="4">
        <v>14.34</v>
      </c>
      <c r="C22" s="4">
        <v>51.06</v>
      </c>
      <c r="D22" s="4">
        <v>6.1</v>
      </c>
      <c r="E22" s="4">
        <v>21.78</v>
      </c>
      <c r="F22" s="4">
        <v>71.11</v>
      </c>
      <c r="G22" s="4">
        <v>4.97</v>
      </c>
      <c r="H22" s="4">
        <v>18.12</v>
      </c>
      <c r="I22" s="4">
        <v>88.41</v>
      </c>
      <c r="J22" s="4">
        <v>5.66</v>
      </c>
      <c r="K22" s="4">
        <v>17.52</v>
      </c>
      <c r="L22" s="4">
        <v>71.17</v>
      </c>
      <c r="M22" s="4">
        <v>5.73</v>
      </c>
    </row>
    <row r="23" spans="2:13" x14ac:dyDescent="0.3">
      <c r="B23" s="3">
        <v>20.190000000000001</v>
      </c>
      <c r="C23" s="3">
        <v>71.14</v>
      </c>
      <c r="D23" s="3">
        <v>5.7</v>
      </c>
      <c r="E23" s="3">
        <v>15.2</v>
      </c>
      <c r="F23" s="3">
        <v>48.65</v>
      </c>
      <c r="G23" s="3">
        <v>6.13</v>
      </c>
      <c r="H23" s="3">
        <v>15.83</v>
      </c>
      <c r="I23" s="3">
        <v>70.959999999999994</v>
      </c>
      <c r="J23" s="3">
        <v>6.07</v>
      </c>
      <c r="K23" s="3">
        <v>23.41</v>
      </c>
      <c r="L23" s="3">
        <v>93.56</v>
      </c>
      <c r="M23" s="3">
        <v>4.88</v>
      </c>
    </row>
    <row r="24" spans="2:13" x14ac:dyDescent="0.3">
      <c r="B24" s="4">
        <v>11.56</v>
      </c>
      <c r="C24" s="4">
        <v>41.31</v>
      </c>
      <c r="D24" s="4">
        <v>7.33</v>
      </c>
      <c r="E24" s="4">
        <v>11.88</v>
      </c>
      <c r="F24" s="4">
        <v>48.54</v>
      </c>
      <c r="G24" s="4">
        <v>7.34</v>
      </c>
      <c r="H24" s="4">
        <v>9.91</v>
      </c>
      <c r="I24" s="4">
        <v>41.2</v>
      </c>
      <c r="J24" s="4">
        <v>8.11</v>
      </c>
      <c r="K24" s="4">
        <v>8.08</v>
      </c>
      <c r="L24" s="4">
        <v>33.61</v>
      </c>
      <c r="M24" s="4">
        <v>8.92</v>
      </c>
    </row>
    <row r="25" spans="2:13" x14ac:dyDescent="0.3">
      <c r="B25" s="3">
        <v>8.1300000000000008</v>
      </c>
      <c r="C25" s="3">
        <v>56.71</v>
      </c>
      <c r="D25" s="3">
        <v>9.2899999999999991</v>
      </c>
      <c r="E25" s="3">
        <v>14.35</v>
      </c>
      <c r="F25" s="3">
        <v>79.2</v>
      </c>
      <c r="G25" s="3">
        <v>6.4</v>
      </c>
      <c r="H25" s="3">
        <v>12.82</v>
      </c>
      <c r="I25" s="3">
        <v>96.42</v>
      </c>
      <c r="J25" s="3">
        <v>7.25</v>
      </c>
      <c r="K25" s="3">
        <v>11.22</v>
      </c>
      <c r="L25" s="3">
        <v>79.16</v>
      </c>
      <c r="M25" s="3">
        <v>7.64</v>
      </c>
    </row>
    <row r="26" spans="2:13" x14ac:dyDescent="0.3">
      <c r="B26" s="4">
        <v>13</v>
      </c>
      <c r="C26" s="4">
        <v>71.739999999999995</v>
      </c>
      <c r="D26" s="4">
        <v>7.03</v>
      </c>
      <c r="E26" s="4">
        <v>11.12</v>
      </c>
      <c r="F26" s="4">
        <v>64.27</v>
      </c>
      <c r="G26" s="4">
        <v>7.25</v>
      </c>
      <c r="H26" s="4">
        <v>11.89</v>
      </c>
      <c r="I26" s="4">
        <v>94.18</v>
      </c>
      <c r="J26" s="4">
        <v>7.38</v>
      </c>
      <c r="K26" s="4">
        <v>12.92</v>
      </c>
      <c r="L26" s="4">
        <v>58.75</v>
      </c>
      <c r="M26" s="4">
        <v>6.94</v>
      </c>
    </row>
    <row r="27" spans="2:13" x14ac:dyDescent="0.3">
      <c r="B27" s="3">
        <v>10.79</v>
      </c>
      <c r="C27" s="3">
        <v>41.75</v>
      </c>
      <c r="D27" s="3">
        <v>7.25</v>
      </c>
      <c r="E27" s="3">
        <v>10.16</v>
      </c>
      <c r="F27" s="3">
        <v>41.63</v>
      </c>
      <c r="G27" s="3">
        <v>7.12</v>
      </c>
      <c r="H27" s="3">
        <v>10.58</v>
      </c>
      <c r="I27" s="3">
        <v>35.53</v>
      </c>
      <c r="J27" s="3">
        <v>6.79</v>
      </c>
      <c r="K27" s="3">
        <v>12.71</v>
      </c>
      <c r="L27" s="3">
        <v>51</v>
      </c>
      <c r="M27" s="3">
        <v>5.91</v>
      </c>
    </row>
    <row r="28" spans="2:13" x14ac:dyDescent="0.3">
      <c r="B28" s="4">
        <v>13.99</v>
      </c>
      <c r="C28" s="4">
        <v>103.76</v>
      </c>
      <c r="D28" s="4">
        <v>5.79</v>
      </c>
      <c r="E28" s="4">
        <v>17.53</v>
      </c>
      <c r="F28" s="4">
        <v>101.64</v>
      </c>
      <c r="G28" s="4">
        <v>5.81</v>
      </c>
      <c r="H28" s="4">
        <v>14.13</v>
      </c>
      <c r="I28" s="4">
        <v>79.25</v>
      </c>
      <c r="J28" s="4">
        <v>6.23</v>
      </c>
      <c r="K28" s="4">
        <v>16.66</v>
      </c>
      <c r="L28" s="4">
        <v>102.92</v>
      </c>
      <c r="M28" s="4">
        <v>5.54</v>
      </c>
    </row>
    <row r="29" spans="2:13" x14ac:dyDescent="0.3">
      <c r="B29" s="3">
        <v>15.61</v>
      </c>
      <c r="C29" s="3">
        <v>101.64</v>
      </c>
      <c r="D29" s="3">
        <v>6.08</v>
      </c>
      <c r="E29" s="3">
        <v>9.3699999999999992</v>
      </c>
      <c r="F29" s="3">
        <v>49.15</v>
      </c>
      <c r="G29" s="3">
        <v>7.96</v>
      </c>
      <c r="H29" s="3">
        <v>16.27</v>
      </c>
      <c r="I29" s="3">
        <v>109.15</v>
      </c>
      <c r="J29" s="3">
        <v>5.7</v>
      </c>
      <c r="K29" s="3">
        <v>12.23</v>
      </c>
      <c r="L29" s="3">
        <v>79.22</v>
      </c>
      <c r="M29" s="3">
        <v>7.45</v>
      </c>
    </row>
    <row r="30" spans="2:13" x14ac:dyDescent="0.3">
      <c r="B30" s="4">
        <v>14.11</v>
      </c>
      <c r="C30" s="4">
        <v>56.56</v>
      </c>
      <c r="D30" s="4">
        <v>5.56</v>
      </c>
      <c r="E30" s="4">
        <v>9</v>
      </c>
      <c r="F30" s="4">
        <v>34.159999999999997</v>
      </c>
      <c r="G30" s="4">
        <v>7.9</v>
      </c>
      <c r="H30" s="4">
        <v>8.94</v>
      </c>
      <c r="I30" s="4">
        <v>36.08</v>
      </c>
      <c r="J30" s="4">
        <v>7.69</v>
      </c>
      <c r="K30" s="4">
        <v>13.43</v>
      </c>
      <c r="L30" s="4">
        <v>49.18</v>
      </c>
      <c r="M30" s="4">
        <v>6.1</v>
      </c>
    </row>
    <row r="31" spans="2:13" x14ac:dyDescent="0.3">
      <c r="B31" s="3">
        <v>13.39</v>
      </c>
      <c r="C31" s="3">
        <v>87.12</v>
      </c>
      <c r="D31" s="3">
        <v>6.43</v>
      </c>
      <c r="E31" s="3">
        <v>13.16</v>
      </c>
      <c r="F31" s="3">
        <v>80.989999999999995</v>
      </c>
      <c r="G31" s="3">
        <v>6.83</v>
      </c>
      <c r="H31" s="3">
        <v>19.149999999999999</v>
      </c>
      <c r="I31" s="3">
        <v>79.2</v>
      </c>
      <c r="J31" s="3">
        <v>5.34</v>
      </c>
      <c r="K31" s="3">
        <v>15.94</v>
      </c>
      <c r="L31" s="3">
        <v>101.72</v>
      </c>
      <c r="M31" s="3">
        <v>5.97</v>
      </c>
    </row>
    <row r="32" spans="2:13" x14ac:dyDescent="0.3">
      <c r="B32" s="4">
        <v>13.5</v>
      </c>
      <c r="C32" s="4">
        <v>79.099999999999994</v>
      </c>
      <c r="D32" s="4">
        <v>6.76</v>
      </c>
      <c r="E32" s="4">
        <v>12.11</v>
      </c>
      <c r="F32" s="4">
        <v>56.73</v>
      </c>
      <c r="G32" s="4">
        <v>6.54</v>
      </c>
      <c r="H32" s="4">
        <v>16.39</v>
      </c>
      <c r="I32" s="4">
        <v>79.150000000000006</v>
      </c>
      <c r="J32" s="4">
        <v>5.89</v>
      </c>
      <c r="K32" s="4">
        <v>12.8</v>
      </c>
      <c r="L32" s="4">
        <v>64.48</v>
      </c>
      <c r="M32" s="4">
        <v>7.27</v>
      </c>
    </row>
    <row r="33" spans="2:13" x14ac:dyDescent="0.3">
      <c r="B33" s="3">
        <v>9.61</v>
      </c>
      <c r="C33" s="3">
        <v>63.92</v>
      </c>
      <c r="D33" s="3">
        <v>6.9</v>
      </c>
      <c r="E33" s="3">
        <v>7.67</v>
      </c>
      <c r="F33" s="3">
        <v>34.090000000000003</v>
      </c>
      <c r="G33" s="3">
        <v>8.59</v>
      </c>
      <c r="H33" s="3">
        <v>9.86</v>
      </c>
      <c r="I33" s="3">
        <v>49.21</v>
      </c>
      <c r="J33" s="3">
        <v>7.4</v>
      </c>
      <c r="K33" s="3">
        <v>9.19</v>
      </c>
      <c r="L33" s="3">
        <v>63.92</v>
      </c>
      <c r="M33" s="3">
        <v>7.83</v>
      </c>
    </row>
    <row r="34" spans="2:13" x14ac:dyDescent="0.3">
      <c r="B34" s="4">
        <v>10.7</v>
      </c>
      <c r="C34" s="4">
        <v>79.56</v>
      </c>
      <c r="D34" s="4">
        <v>6.91</v>
      </c>
      <c r="E34" s="4">
        <v>18.329999999999998</v>
      </c>
      <c r="F34" s="4">
        <v>94.2</v>
      </c>
      <c r="G34" s="4">
        <v>5.5</v>
      </c>
      <c r="H34" s="4">
        <v>13.01</v>
      </c>
      <c r="I34" s="4">
        <v>79.13</v>
      </c>
      <c r="J34" s="4">
        <v>6.93</v>
      </c>
      <c r="K34" s="4">
        <v>13.97</v>
      </c>
      <c r="L34" s="4">
        <v>71.680000000000007</v>
      </c>
      <c r="M34" s="4">
        <v>6.19</v>
      </c>
    </row>
    <row r="35" spans="2:13" x14ac:dyDescent="0.3">
      <c r="B35" s="3">
        <v>19.399999999999999</v>
      </c>
      <c r="C35" s="3">
        <v>101.81</v>
      </c>
      <c r="D35" s="3">
        <v>5.66</v>
      </c>
      <c r="E35" s="3">
        <v>12.34</v>
      </c>
      <c r="F35" s="3">
        <v>41.69</v>
      </c>
      <c r="G35" s="3">
        <v>6.71</v>
      </c>
      <c r="H35" s="3">
        <v>13.53</v>
      </c>
      <c r="I35" s="3">
        <v>71.69</v>
      </c>
      <c r="J35" s="3">
        <v>6.46</v>
      </c>
      <c r="K35" s="3">
        <v>20.61</v>
      </c>
      <c r="L35" s="3">
        <v>94.31</v>
      </c>
      <c r="M35" s="3">
        <v>5.42</v>
      </c>
    </row>
    <row r="36" spans="2:13" x14ac:dyDescent="0.3">
      <c r="B36" s="4">
        <v>9.02</v>
      </c>
      <c r="C36" s="4">
        <v>34.11</v>
      </c>
      <c r="D36" s="4">
        <v>7.25</v>
      </c>
      <c r="E36" s="4">
        <v>8.2899999999999991</v>
      </c>
      <c r="F36" s="4">
        <v>41.66</v>
      </c>
      <c r="G36" s="4">
        <v>8.75</v>
      </c>
      <c r="H36" s="4">
        <v>8.06</v>
      </c>
      <c r="I36" s="4">
        <v>34.14</v>
      </c>
      <c r="J36" s="4">
        <v>8.1</v>
      </c>
      <c r="K36" s="4">
        <v>5.4</v>
      </c>
      <c r="L36" s="4">
        <v>19.13</v>
      </c>
      <c r="M36" s="4">
        <v>10.67</v>
      </c>
    </row>
    <row r="37" spans="2:13" x14ac:dyDescent="0.3">
      <c r="B37" s="3">
        <v>31.56</v>
      </c>
      <c r="C37" s="3">
        <v>88.56</v>
      </c>
      <c r="D37" s="3">
        <v>3.63</v>
      </c>
      <c r="E37" s="3">
        <v>13.99</v>
      </c>
      <c r="F37" s="3">
        <v>59.02</v>
      </c>
      <c r="G37" s="3">
        <v>5.84</v>
      </c>
      <c r="H37" s="3">
        <v>15.05</v>
      </c>
      <c r="I37" s="3">
        <v>35.56</v>
      </c>
      <c r="J37" s="3">
        <v>6.03</v>
      </c>
      <c r="K37" s="3">
        <v>17.940000000000001</v>
      </c>
      <c r="L37" s="3">
        <v>59.51</v>
      </c>
      <c r="M37" s="3">
        <v>5.45</v>
      </c>
    </row>
    <row r="38" spans="2:13" x14ac:dyDescent="0.3">
      <c r="B38" s="4">
        <v>9.02</v>
      </c>
      <c r="C38" s="4">
        <v>34.11</v>
      </c>
      <c r="D38" s="4">
        <v>7.25</v>
      </c>
      <c r="E38" s="4">
        <v>8.2899999999999991</v>
      </c>
      <c r="F38" s="4">
        <v>41.66</v>
      </c>
      <c r="G38" s="4">
        <v>8.75</v>
      </c>
      <c r="H38" s="4">
        <v>8.06</v>
      </c>
      <c r="I38" s="4">
        <v>34.14</v>
      </c>
      <c r="J38" s="4">
        <v>8.1</v>
      </c>
      <c r="K38" s="4">
        <v>5.4</v>
      </c>
      <c r="L38" s="4">
        <v>19.13</v>
      </c>
      <c r="M38" s="4">
        <v>10.67</v>
      </c>
    </row>
    <row r="39" spans="2:13" x14ac:dyDescent="0.3">
      <c r="B39" s="3">
        <v>22.86</v>
      </c>
      <c r="C39" s="3">
        <v>79.209999999999994</v>
      </c>
      <c r="D39" s="3">
        <v>5.2</v>
      </c>
      <c r="E39" s="3">
        <v>23.4</v>
      </c>
      <c r="F39" s="3">
        <v>73.52</v>
      </c>
      <c r="G39" s="3">
        <v>5.04</v>
      </c>
      <c r="H39" s="3">
        <v>24.31</v>
      </c>
      <c r="I39" s="3">
        <v>88.32</v>
      </c>
      <c r="J39" s="3">
        <v>5</v>
      </c>
      <c r="K39" s="3">
        <v>24.26</v>
      </c>
      <c r="L39" s="3">
        <v>87.89</v>
      </c>
      <c r="M39" s="3">
        <v>5.0199999999999996</v>
      </c>
    </row>
    <row r="40" spans="2:13" x14ac:dyDescent="0.3">
      <c r="B40" s="4">
        <v>28.18</v>
      </c>
      <c r="C40" s="4">
        <v>86.71</v>
      </c>
      <c r="D40" s="4">
        <v>4.3</v>
      </c>
      <c r="E40" s="4">
        <v>27.56</v>
      </c>
      <c r="F40" s="4">
        <v>25.29</v>
      </c>
      <c r="G40" s="4">
        <v>4.62</v>
      </c>
      <c r="H40" s="4">
        <v>19.61</v>
      </c>
      <c r="I40" s="4">
        <v>79.150000000000006</v>
      </c>
      <c r="J40" s="4">
        <v>5.26</v>
      </c>
      <c r="K40" s="4">
        <v>32.19</v>
      </c>
      <c r="L40" s="4">
        <v>86.75</v>
      </c>
      <c r="M40" s="4">
        <v>4.1100000000000003</v>
      </c>
    </row>
    <row r="41" spans="2:13" x14ac:dyDescent="0.3">
      <c r="B41" s="3">
        <v>17.2</v>
      </c>
      <c r="C41" s="3">
        <v>13.14</v>
      </c>
      <c r="D41" s="3">
        <v>6.55</v>
      </c>
      <c r="E41" s="3">
        <v>20.32</v>
      </c>
      <c r="F41" s="3">
        <v>79.19</v>
      </c>
      <c r="G41" s="3">
        <v>5.74</v>
      </c>
      <c r="H41" s="3">
        <v>9.2200000000000006</v>
      </c>
      <c r="I41" s="3">
        <v>41.84</v>
      </c>
      <c r="J41" s="3">
        <v>9.17</v>
      </c>
      <c r="K41" s="3">
        <v>19.260000000000002</v>
      </c>
      <c r="L41" s="3">
        <v>25.29</v>
      </c>
      <c r="M41" s="3">
        <v>5.76</v>
      </c>
    </row>
    <row r="42" spans="2:13" x14ac:dyDescent="0.3">
      <c r="B42" s="4">
        <v>25.46</v>
      </c>
      <c r="C42" s="4">
        <v>109.39</v>
      </c>
      <c r="D42" s="4">
        <v>4.83</v>
      </c>
      <c r="E42" s="4">
        <v>24.61</v>
      </c>
      <c r="F42" s="4">
        <v>94.37</v>
      </c>
      <c r="G42" s="4">
        <v>4.7699999999999996</v>
      </c>
      <c r="H42" s="4">
        <v>17.09</v>
      </c>
      <c r="I42" s="4">
        <v>73.47</v>
      </c>
      <c r="J42" s="4">
        <v>6.14</v>
      </c>
      <c r="K42" s="4">
        <v>24.26</v>
      </c>
      <c r="L42" s="4">
        <v>101.99</v>
      </c>
      <c r="M42" s="4">
        <v>4.9800000000000004</v>
      </c>
    </row>
    <row r="43" spans="2:13" x14ac:dyDescent="0.3">
      <c r="B43" s="3">
        <v>25.95</v>
      </c>
      <c r="C43" s="3">
        <v>79.569999999999993</v>
      </c>
      <c r="D43" s="3">
        <v>4.7699999999999996</v>
      </c>
      <c r="E43" s="3">
        <v>28.54</v>
      </c>
      <c r="F43" s="3">
        <v>34.33</v>
      </c>
      <c r="G43" s="3">
        <v>4.54</v>
      </c>
      <c r="H43" s="3">
        <v>21.72</v>
      </c>
      <c r="I43" s="3">
        <v>49.14</v>
      </c>
      <c r="J43" s="3">
        <v>5.41</v>
      </c>
      <c r="K43" s="3">
        <v>30.84</v>
      </c>
      <c r="L43" s="3">
        <v>74.33</v>
      </c>
      <c r="M43" s="3">
        <v>4.25</v>
      </c>
    </row>
    <row r="44" spans="2:13" x14ac:dyDescent="0.3">
      <c r="B44" s="4">
        <v>13.84</v>
      </c>
      <c r="C44" s="4">
        <v>34.22</v>
      </c>
      <c r="D44" s="4">
        <v>6.45</v>
      </c>
      <c r="E44" s="4">
        <v>26.31</v>
      </c>
      <c r="F44" s="4">
        <v>101.91</v>
      </c>
      <c r="G44" s="4">
        <v>4.49</v>
      </c>
      <c r="H44" s="4">
        <v>17.89</v>
      </c>
      <c r="I44" s="4">
        <v>79.61</v>
      </c>
      <c r="J44" s="4">
        <v>5.48</v>
      </c>
      <c r="K44" s="4">
        <v>22.05</v>
      </c>
      <c r="L44" s="4">
        <v>34.61</v>
      </c>
      <c r="M44" s="4">
        <v>5.24</v>
      </c>
    </row>
    <row r="45" spans="2:13" x14ac:dyDescent="0.3">
      <c r="B45" s="3">
        <v>25.89</v>
      </c>
      <c r="C45" s="3">
        <v>101.69</v>
      </c>
      <c r="D45" s="3">
        <v>4.3899999999999997</v>
      </c>
      <c r="E45" s="3">
        <v>25.25</v>
      </c>
      <c r="F45" s="3">
        <v>101.76</v>
      </c>
      <c r="G45" s="3">
        <v>4.3099999999999996</v>
      </c>
      <c r="H45" s="3">
        <v>21.51</v>
      </c>
      <c r="I45" s="3">
        <v>94.39</v>
      </c>
      <c r="J45" s="3">
        <v>4.96</v>
      </c>
      <c r="K45" s="3">
        <v>16.34</v>
      </c>
      <c r="L45" s="3">
        <v>79.47</v>
      </c>
      <c r="M45" s="3">
        <v>6.27</v>
      </c>
    </row>
    <row r="46" spans="2:13" x14ac:dyDescent="0.3">
      <c r="B46" s="4">
        <v>31.32</v>
      </c>
      <c r="C46" s="4">
        <v>92.66</v>
      </c>
      <c r="D46" s="4">
        <v>3.93</v>
      </c>
      <c r="E46" s="4">
        <v>35.83</v>
      </c>
      <c r="F46" s="4">
        <v>5</v>
      </c>
      <c r="G46" s="4">
        <v>3.76</v>
      </c>
      <c r="H46" s="4">
        <v>25.56</v>
      </c>
      <c r="I46" s="4">
        <v>81.150000000000006</v>
      </c>
      <c r="J46" s="4">
        <v>3.84</v>
      </c>
      <c r="K46" s="4">
        <v>27.5</v>
      </c>
      <c r="L46" s="4">
        <v>109.33</v>
      </c>
      <c r="M46" s="4">
        <v>4.05</v>
      </c>
    </row>
    <row r="47" spans="2:13" x14ac:dyDescent="0.3">
      <c r="B47" s="3">
        <v>12.12</v>
      </c>
      <c r="C47" s="3">
        <v>25.29</v>
      </c>
      <c r="D47" s="3">
        <v>7.3</v>
      </c>
      <c r="E47" s="3">
        <v>19.989999999999998</v>
      </c>
      <c r="F47" s="3">
        <v>71.78</v>
      </c>
      <c r="G47" s="3">
        <v>5.71</v>
      </c>
      <c r="H47" s="3">
        <v>21.65</v>
      </c>
      <c r="I47" s="3">
        <v>64.260000000000005</v>
      </c>
      <c r="J47" s="3">
        <v>5.42</v>
      </c>
      <c r="K47" s="3">
        <v>28.87</v>
      </c>
      <c r="L47" s="3">
        <v>49.17</v>
      </c>
      <c r="M47" s="3">
        <v>4.28</v>
      </c>
    </row>
    <row r="48" spans="2:13" x14ac:dyDescent="0.3">
      <c r="B48" s="4">
        <v>23.51</v>
      </c>
      <c r="C48" s="4">
        <v>96.57</v>
      </c>
      <c r="D48" s="4">
        <v>4.96</v>
      </c>
      <c r="E48" s="4">
        <v>25.96</v>
      </c>
      <c r="F48" s="4">
        <v>101.69</v>
      </c>
      <c r="G48" s="4">
        <v>4.53</v>
      </c>
      <c r="H48" s="4">
        <v>21.97</v>
      </c>
      <c r="I48" s="4">
        <v>94.38</v>
      </c>
      <c r="J48" s="4">
        <v>5.14</v>
      </c>
      <c r="K48" s="4">
        <v>21.06</v>
      </c>
      <c r="L48" s="4">
        <v>79.34</v>
      </c>
      <c r="M48" s="4">
        <v>5.31</v>
      </c>
    </row>
    <row r="50" spans="1:13" x14ac:dyDescent="0.3">
      <c r="A50" s="5" t="s">
        <v>34</v>
      </c>
      <c r="B50" s="5">
        <f>AVERAGE(B13:B48)</f>
        <v>16.462222222222223</v>
      </c>
      <c r="C50" s="5">
        <f t="shared" ref="C50:M50" si="0">AVERAGE(C13:C48)</f>
        <v>66.316944444444445</v>
      </c>
      <c r="D50" s="5">
        <f t="shared" si="0"/>
        <v>6.2086111111111126</v>
      </c>
      <c r="E50" s="5">
        <f t="shared" si="0"/>
        <v>16.937222222222225</v>
      </c>
      <c r="F50" s="5">
        <f t="shared" si="0"/>
        <v>61.370000000000019</v>
      </c>
      <c r="G50" s="5">
        <f t="shared" si="0"/>
        <v>6.1775000000000011</v>
      </c>
      <c r="H50" s="5">
        <f t="shared" si="0"/>
        <v>15.484166666666665</v>
      </c>
      <c r="I50" s="5">
        <f t="shared" si="0"/>
        <v>66.64666666666669</v>
      </c>
      <c r="J50" s="5">
        <f t="shared" si="0"/>
        <v>6.3211111111111098</v>
      </c>
      <c r="K50" s="5">
        <f t="shared" si="0"/>
        <v>16.615555555555556</v>
      </c>
      <c r="L50" s="5">
        <f t="shared" si="0"/>
        <v>66.072222222222237</v>
      </c>
      <c r="M50" s="5">
        <f t="shared" si="0"/>
        <v>6.3736111111111109</v>
      </c>
    </row>
    <row r="51" spans="1:13" x14ac:dyDescent="0.3">
      <c r="A51" s="5" t="s">
        <v>35</v>
      </c>
      <c r="B51" s="12">
        <f>AVERAGE(B50,E50,H50,K50)</f>
        <v>16.374791666666667</v>
      </c>
      <c r="C51" s="12">
        <f t="shared" ref="C51:D51" si="1">AVERAGE(C50,F50,I50,L50)</f>
        <v>65.101458333333355</v>
      </c>
      <c r="D51" s="12">
        <f t="shared" si="1"/>
        <v>6.2702083333333327</v>
      </c>
    </row>
    <row r="52" spans="1:13" x14ac:dyDescent="0.3">
      <c r="A52" s="5" t="s">
        <v>36</v>
      </c>
      <c r="B52" s="5">
        <f>B51*0.05</f>
        <v>0.81873958333333341</v>
      </c>
      <c r="C52" s="5">
        <f t="shared" ref="C52:D52" si="2">C51*0.05</f>
        <v>3.2550729166666681</v>
      </c>
      <c r="D52" s="5">
        <f t="shared" si="2"/>
        <v>0.31351041666666668</v>
      </c>
    </row>
    <row r="53" spans="1:13" x14ac:dyDescent="0.3">
      <c r="A53" s="5" t="s">
        <v>37</v>
      </c>
      <c r="B53" s="5">
        <f>_xlfn.STDEV.S(B50,E50,H50,K50)</f>
        <v>0.62587335584903314</v>
      </c>
      <c r="C53" s="5">
        <f t="shared" ref="C53:D53" si="3">_xlfn.STDEV.S(C50,F50,I50,L50)</f>
        <v>2.4987489603853237</v>
      </c>
      <c r="D53" s="5">
        <f t="shared" si="3"/>
        <v>9.2506360308525132E-2</v>
      </c>
    </row>
    <row r="54" spans="1:13" x14ac:dyDescent="0.3">
      <c r="A54" s="5" t="s">
        <v>38</v>
      </c>
      <c r="B54" s="5">
        <f>((2.92)*(B53/B52))^2</f>
        <v>4.9824971020635171</v>
      </c>
      <c r="C54" s="5">
        <f t="shared" ref="C54:D54" si="4">((2.92)*(C53/C52))^2</f>
        <v>5.0244613814587931</v>
      </c>
      <c r="D54" s="5">
        <f t="shared" si="4"/>
        <v>0.74234355116979411</v>
      </c>
    </row>
    <row r="56" spans="1:13" x14ac:dyDescent="0.3">
      <c r="B56" s="38" t="s">
        <v>2</v>
      </c>
      <c r="C56" s="38"/>
      <c r="D56" s="38"/>
      <c r="E56" s="38"/>
    </row>
    <row r="58" spans="1:13" x14ac:dyDescent="0.3">
      <c r="B58" s="39" t="s">
        <v>17</v>
      </c>
      <c r="C58" s="39"/>
      <c r="D58" s="39"/>
      <c r="E58" s="40" t="s">
        <v>18</v>
      </c>
      <c r="F58" s="40"/>
      <c r="G58" s="40"/>
      <c r="H58" s="41" t="s">
        <v>19</v>
      </c>
      <c r="I58" s="41"/>
      <c r="J58" s="41"/>
      <c r="K58" s="42" t="s">
        <v>20</v>
      </c>
      <c r="L58" s="42"/>
      <c r="M58" s="42"/>
    </row>
    <row r="59" spans="1:13" x14ac:dyDescent="0.3">
      <c r="B59" s="1" t="s">
        <v>21</v>
      </c>
      <c r="C59" s="1" t="s">
        <v>22</v>
      </c>
      <c r="D59" s="1" t="s">
        <v>23</v>
      </c>
      <c r="E59" s="1" t="s">
        <v>21</v>
      </c>
      <c r="F59" s="1" t="s">
        <v>22</v>
      </c>
      <c r="G59" s="1" t="s">
        <v>23</v>
      </c>
      <c r="H59" s="1" t="s">
        <v>21</v>
      </c>
      <c r="I59" s="1" t="s">
        <v>22</v>
      </c>
      <c r="J59" s="1" t="s">
        <v>23</v>
      </c>
      <c r="K59" s="1" t="s">
        <v>21</v>
      </c>
      <c r="L59" s="1" t="s">
        <v>22</v>
      </c>
      <c r="M59" s="1" t="s">
        <v>23</v>
      </c>
    </row>
    <row r="60" spans="1:13" x14ac:dyDescent="0.3">
      <c r="A60" t="s">
        <v>27</v>
      </c>
      <c r="B60" s="3">
        <v>11.73</v>
      </c>
      <c r="C60" s="3">
        <v>87.61</v>
      </c>
      <c r="D60" s="3">
        <v>8.57</v>
      </c>
      <c r="E60" s="3">
        <v>8.16</v>
      </c>
      <c r="F60" s="3">
        <v>49.77</v>
      </c>
      <c r="G60" s="3">
        <v>8.41</v>
      </c>
      <c r="H60" s="3">
        <v>9.99</v>
      </c>
      <c r="I60" s="3">
        <v>80.09</v>
      </c>
      <c r="J60" s="3">
        <v>8.32</v>
      </c>
      <c r="K60" s="3">
        <v>9.92</v>
      </c>
      <c r="L60" s="3">
        <v>72.59</v>
      </c>
      <c r="M60" s="3">
        <v>8.11</v>
      </c>
    </row>
    <row r="61" spans="1:13" x14ac:dyDescent="0.3">
      <c r="B61" s="4">
        <v>32.43</v>
      </c>
      <c r="C61" s="4">
        <v>147.75</v>
      </c>
      <c r="D61" s="4">
        <v>6.01</v>
      </c>
      <c r="E61" s="4">
        <v>32.5</v>
      </c>
      <c r="F61" s="4">
        <v>147.79</v>
      </c>
      <c r="G61" s="4">
        <v>6.01</v>
      </c>
      <c r="H61" s="4">
        <v>31.89</v>
      </c>
      <c r="I61" s="4">
        <v>162.88999999999999</v>
      </c>
      <c r="J61" s="4">
        <v>6.04</v>
      </c>
      <c r="K61" s="4">
        <v>33.35</v>
      </c>
      <c r="L61" s="4">
        <v>148.18</v>
      </c>
      <c r="M61" s="4">
        <v>5.85</v>
      </c>
    </row>
    <row r="62" spans="1:13" x14ac:dyDescent="0.3">
      <c r="B62" s="3">
        <v>42.05</v>
      </c>
      <c r="C62" s="3">
        <v>147.57</v>
      </c>
      <c r="D62" s="3">
        <v>4.43</v>
      </c>
      <c r="E62" s="3">
        <v>40.380000000000003</v>
      </c>
      <c r="F62" s="3">
        <v>147.80000000000001</v>
      </c>
      <c r="G62" s="3">
        <v>4.54</v>
      </c>
      <c r="H62" s="3">
        <v>39.299999999999997</v>
      </c>
      <c r="I62" s="3">
        <v>148.18</v>
      </c>
      <c r="J62" s="3">
        <v>4.47</v>
      </c>
      <c r="K62" s="3">
        <v>36.61</v>
      </c>
      <c r="L62" s="3">
        <v>139.44999999999999</v>
      </c>
      <c r="M62" s="3">
        <v>4.74</v>
      </c>
    </row>
    <row r="63" spans="1:13" x14ac:dyDescent="0.3">
      <c r="B63" s="4">
        <v>44.02</v>
      </c>
      <c r="C63" s="4">
        <v>131.9</v>
      </c>
      <c r="D63" s="4">
        <v>4.87</v>
      </c>
      <c r="E63" s="4">
        <v>49.69</v>
      </c>
      <c r="F63" s="4">
        <v>131.81</v>
      </c>
      <c r="G63" s="4">
        <v>4.71</v>
      </c>
      <c r="H63" s="4">
        <v>56.07</v>
      </c>
      <c r="I63" s="4">
        <v>117.56</v>
      </c>
      <c r="J63" s="4">
        <v>4.53</v>
      </c>
      <c r="K63" s="4">
        <v>53.43</v>
      </c>
      <c r="L63" s="4">
        <v>132.11000000000001</v>
      </c>
      <c r="M63" s="4">
        <v>4.38</v>
      </c>
    </row>
    <row r="64" spans="1:13" x14ac:dyDescent="0.3">
      <c r="B64" s="3">
        <v>13.53</v>
      </c>
      <c r="C64" s="3">
        <v>64.72</v>
      </c>
      <c r="D64" s="3">
        <v>6.41</v>
      </c>
      <c r="E64" s="3">
        <v>12.28</v>
      </c>
      <c r="F64" s="3">
        <v>64.709999999999994</v>
      </c>
      <c r="G64" s="3">
        <v>8.57</v>
      </c>
      <c r="H64" s="3">
        <v>12.82</v>
      </c>
      <c r="I64" s="3">
        <v>64.62</v>
      </c>
      <c r="J64" s="3">
        <v>6.41</v>
      </c>
      <c r="K64" s="3">
        <v>11.43</v>
      </c>
      <c r="L64" s="3">
        <v>64.69</v>
      </c>
      <c r="M64" s="3">
        <v>6.41</v>
      </c>
    </row>
    <row r="65" spans="2:14" x14ac:dyDescent="0.3">
      <c r="B65" s="4">
        <v>9.4700000000000006</v>
      </c>
      <c r="C65" s="4">
        <v>35.14</v>
      </c>
      <c r="D65" s="4">
        <v>8.4499999999999993</v>
      </c>
      <c r="E65" s="4">
        <v>9.4700000000000006</v>
      </c>
      <c r="F65" s="4">
        <v>35.14</v>
      </c>
      <c r="G65" s="4">
        <v>8.4499999999999993</v>
      </c>
      <c r="H65" s="4">
        <v>9.4700000000000006</v>
      </c>
      <c r="I65" s="4">
        <v>35.14</v>
      </c>
      <c r="J65" s="4">
        <v>8.4499999999999993</v>
      </c>
      <c r="K65" s="4">
        <v>9.4700000000000006</v>
      </c>
      <c r="L65" s="4">
        <v>35.14</v>
      </c>
      <c r="M65" s="4">
        <v>8.4499999999999993</v>
      </c>
    </row>
    <row r="66" spans="2:14" x14ac:dyDescent="0.3">
      <c r="B66" s="3">
        <v>13.53</v>
      </c>
      <c r="C66" s="3">
        <v>64.72</v>
      </c>
      <c r="D66" s="3">
        <v>8.57</v>
      </c>
      <c r="E66" s="3">
        <v>4.76</v>
      </c>
      <c r="F66" s="3">
        <v>4.12</v>
      </c>
      <c r="G66" s="3">
        <v>6.41</v>
      </c>
      <c r="H66" s="3">
        <v>10.14</v>
      </c>
      <c r="I66" s="3">
        <v>19.41</v>
      </c>
      <c r="J66" s="3">
        <v>6.41</v>
      </c>
      <c r="K66" s="3">
        <v>9.74</v>
      </c>
      <c r="L66" s="3">
        <v>19.37</v>
      </c>
      <c r="M66" s="3">
        <v>6.41</v>
      </c>
    </row>
    <row r="67" spans="2:14" x14ac:dyDescent="0.3">
      <c r="B67" s="4">
        <v>9.4700000000000006</v>
      </c>
      <c r="C67" s="4">
        <v>35.14</v>
      </c>
      <c r="D67" s="4">
        <v>8.4499999999999993</v>
      </c>
      <c r="E67" s="4">
        <v>1.65</v>
      </c>
      <c r="F67" s="4">
        <v>11.83</v>
      </c>
      <c r="G67" s="4">
        <v>8.4499999999999993</v>
      </c>
      <c r="H67" s="4">
        <v>8.18</v>
      </c>
      <c r="I67" s="4">
        <v>11.97</v>
      </c>
      <c r="J67" s="4">
        <v>8.4499999999999993</v>
      </c>
      <c r="K67" s="4">
        <v>5.85</v>
      </c>
      <c r="L67" s="4">
        <v>34.58</v>
      </c>
      <c r="M67" s="4">
        <v>8.4499999999999993</v>
      </c>
    </row>
    <row r="68" spans="2:14" x14ac:dyDescent="0.3">
      <c r="B68" s="3">
        <v>23.74</v>
      </c>
      <c r="C68" s="3">
        <v>95</v>
      </c>
      <c r="D68" s="3">
        <v>6.41</v>
      </c>
      <c r="E68" s="3">
        <v>24.03</v>
      </c>
      <c r="F68" s="3">
        <v>95.22</v>
      </c>
      <c r="G68" s="3">
        <v>8.5399999999999991</v>
      </c>
      <c r="H68" s="3">
        <v>24.23</v>
      </c>
      <c r="I68" s="3">
        <v>102.57</v>
      </c>
      <c r="J68" s="3">
        <v>8.5399999999999991</v>
      </c>
      <c r="K68" s="3">
        <v>24.62</v>
      </c>
      <c r="L68" s="3">
        <v>110.42</v>
      </c>
      <c r="M68" s="3">
        <v>6.41</v>
      </c>
    </row>
    <row r="69" spans="2:14" x14ac:dyDescent="0.3">
      <c r="B69" s="4">
        <v>34.869999999999997</v>
      </c>
      <c r="C69" s="4">
        <v>140.29</v>
      </c>
      <c r="D69" s="4">
        <v>6.58</v>
      </c>
      <c r="E69" s="4">
        <v>34.47</v>
      </c>
      <c r="F69" s="4">
        <v>132.81</v>
      </c>
      <c r="G69" s="4">
        <v>6.47</v>
      </c>
      <c r="H69" s="4">
        <v>31.81</v>
      </c>
      <c r="I69" s="4">
        <v>155.94999999999999</v>
      </c>
      <c r="J69" s="4">
        <v>6.64</v>
      </c>
      <c r="K69" s="4">
        <v>32.549999999999997</v>
      </c>
      <c r="L69" s="4">
        <v>140.44</v>
      </c>
      <c r="M69" s="4">
        <v>6.57</v>
      </c>
    </row>
    <row r="70" spans="2:14" x14ac:dyDescent="0.3">
      <c r="B70" s="3">
        <v>29.51</v>
      </c>
      <c r="C70" s="3">
        <v>132.57</v>
      </c>
      <c r="D70" s="3">
        <v>6.46</v>
      </c>
      <c r="E70" s="3">
        <v>31.21</v>
      </c>
      <c r="F70" s="3">
        <v>154.75</v>
      </c>
      <c r="G70" s="3">
        <v>5.94</v>
      </c>
      <c r="H70" s="3">
        <v>29.21</v>
      </c>
      <c r="I70" s="3">
        <v>139.91999999999999</v>
      </c>
      <c r="J70" s="3">
        <v>6.23</v>
      </c>
      <c r="K70" s="3">
        <v>31.11</v>
      </c>
      <c r="L70" s="3">
        <v>155.38</v>
      </c>
      <c r="M70" s="3">
        <v>5.93</v>
      </c>
    </row>
    <row r="71" spans="2:14" x14ac:dyDescent="0.3">
      <c r="B71" s="4">
        <v>26.1</v>
      </c>
      <c r="C71" s="4">
        <v>126.22</v>
      </c>
      <c r="D71" s="4">
        <v>5.84</v>
      </c>
      <c r="E71" s="4">
        <v>24.51</v>
      </c>
      <c r="F71" s="4">
        <v>148.47</v>
      </c>
      <c r="G71" s="4">
        <v>6.09</v>
      </c>
      <c r="H71" s="4">
        <v>25.34</v>
      </c>
      <c r="I71" s="4">
        <v>133.85</v>
      </c>
      <c r="J71" s="4">
        <v>6.14</v>
      </c>
      <c r="K71" s="4">
        <v>25.86</v>
      </c>
      <c r="L71" s="4">
        <v>148.37</v>
      </c>
      <c r="M71" s="4">
        <v>5.96</v>
      </c>
      <c r="N71" s="11"/>
    </row>
    <row r="72" spans="2:14" x14ac:dyDescent="0.3">
      <c r="B72" s="3">
        <v>9.66</v>
      </c>
      <c r="C72" s="3">
        <v>79.819999999999993</v>
      </c>
      <c r="D72" s="3">
        <v>6.41</v>
      </c>
      <c r="E72" s="3">
        <v>8.2200000000000006</v>
      </c>
      <c r="F72" s="3">
        <v>49.64</v>
      </c>
      <c r="G72" s="3">
        <v>6.41</v>
      </c>
      <c r="H72" s="3">
        <v>10.43</v>
      </c>
      <c r="I72" s="3">
        <v>79.77</v>
      </c>
      <c r="J72" s="3">
        <v>8.57</v>
      </c>
      <c r="K72" s="3">
        <v>10.050000000000001</v>
      </c>
      <c r="L72" s="3">
        <v>72.53</v>
      </c>
      <c r="M72" s="3">
        <v>8.57</v>
      </c>
    </row>
    <row r="73" spans="2:14" x14ac:dyDescent="0.3">
      <c r="B73" s="4">
        <v>32.869999999999997</v>
      </c>
      <c r="C73" s="4">
        <v>155.24</v>
      </c>
      <c r="D73" s="4">
        <v>6.02</v>
      </c>
      <c r="E73" s="4">
        <v>32.83</v>
      </c>
      <c r="F73" s="4">
        <v>147.69999999999999</v>
      </c>
      <c r="G73" s="4">
        <v>5.9</v>
      </c>
      <c r="H73" s="4">
        <v>33</v>
      </c>
      <c r="I73" s="4">
        <v>163.11000000000001</v>
      </c>
      <c r="J73" s="4">
        <v>5.94</v>
      </c>
      <c r="K73" s="4">
        <v>32.75</v>
      </c>
      <c r="L73" s="4">
        <v>140.47</v>
      </c>
      <c r="M73" s="4">
        <v>5.97</v>
      </c>
    </row>
    <row r="74" spans="2:14" x14ac:dyDescent="0.3">
      <c r="B74" s="3">
        <v>43.25</v>
      </c>
      <c r="C74" s="3">
        <v>155.75</v>
      </c>
      <c r="D74" s="3">
        <v>4.2</v>
      </c>
      <c r="E74" s="3">
        <v>41.08</v>
      </c>
      <c r="F74" s="3">
        <v>140.78</v>
      </c>
      <c r="G74" s="3">
        <v>4.4800000000000004</v>
      </c>
      <c r="H74" s="3">
        <v>43.07</v>
      </c>
      <c r="I74" s="3">
        <v>154.38</v>
      </c>
      <c r="J74" s="3">
        <v>4.3600000000000003</v>
      </c>
      <c r="K74" s="3">
        <v>38.83</v>
      </c>
      <c r="L74" s="3">
        <v>146.9</v>
      </c>
      <c r="M74" s="3">
        <v>4.2699999999999996</v>
      </c>
    </row>
    <row r="75" spans="2:14" x14ac:dyDescent="0.3">
      <c r="B75" s="4">
        <v>51.98</v>
      </c>
      <c r="C75" s="4">
        <v>139.74</v>
      </c>
      <c r="D75" s="4">
        <v>4.28</v>
      </c>
      <c r="E75" s="4">
        <v>53.36</v>
      </c>
      <c r="F75" s="4">
        <v>147.16</v>
      </c>
      <c r="G75" s="4">
        <v>4.5999999999999996</v>
      </c>
      <c r="H75" s="4">
        <v>55.05</v>
      </c>
      <c r="I75" s="4">
        <v>124.65</v>
      </c>
      <c r="J75" s="4">
        <v>4.58</v>
      </c>
      <c r="K75" s="4">
        <v>58.42</v>
      </c>
      <c r="L75" s="4">
        <v>132.08000000000001</v>
      </c>
      <c r="M75" s="4">
        <v>4.0999999999999996</v>
      </c>
    </row>
    <row r="76" spans="2:14" x14ac:dyDescent="0.3">
      <c r="B76" s="3">
        <v>15.44</v>
      </c>
      <c r="C76" s="3">
        <v>64.739999999999995</v>
      </c>
      <c r="D76" s="3">
        <v>6.41</v>
      </c>
      <c r="E76" s="3">
        <v>11.73</v>
      </c>
      <c r="F76" s="3">
        <v>64.819999999999993</v>
      </c>
      <c r="G76" s="3">
        <v>6.41</v>
      </c>
      <c r="H76" s="3">
        <v>14.14</v>
      </c>
      <c r="I76" s="3">
        <v>72.47</v>
      </c>
      <c r="J76" s="3">
        <v>6.23</v>
      </c>
      <c r="K76" s="3">
        <v>11.31</v>
      </c>
      <c r="L76" s="3">
        <v>64.83</v>
      </c>
      <c r="M76" s="3">
        <v>6.41</v>
      </c>
    </row>
    <row r="77" spans="2:14" x14ac:dyDescent="0.3">
      <c r="B77" s="4">
        <v>26.1</v>
      </c>
      <c r="C77" s="4">
        <v>126.22</v>
      </c>
      <c r="D77" s="4">
        <v>5.84</v>
      </c>
      <c r="E77" s="4">
        <v>26.1</v>
      </c>
      <c r="F77" s="4">
        <v>126.22</v>
      </c>
      <c r="G77" s="4">
        <v>5.84</v>
      </c>
      <c r="H77" s="4">
        <v>26.1</v>
      </c>
      <c r="I77" s="4">
        <v>126.22</v>
      </c>
      <c r="J77" s="4">
        <v>5.84</v>
      </c>
      <c r="K77" s="4">
        <v>26.1</v>
      </c>
      <c r="L77" s="4">
        <v>126.22</v>
      </c>
      <c r="M77" s="4">
        <v>5.84</v>
      </c>
    </row>
    <row r="78" spans="2:14" x14ac:dyDescent="0.3">
      <c r="B78" s="3">
        <v>13.53</v>
      </c>
      <c r="C78" s="3">
        <v>64.72</v>
      </c>
      <c r="D78" s="3">
        <v>8.57</v>
      </c>
      <c r="E78" s="3">
        <v>13.53</v>
      </c>
      <c r="F78" s="3">
        <v>64.72</v>
      </c>
      <c r="G78" s="3">
        <v>8.57</v>
      </c>
      <c r="H78" s="3">
        <v>13.41</v>
      </c>
      <c r="I78" s="3">
        <v>19.55</v>
      </c>
      <c r="J78" s="3">
        <v>8.57</v>
      </c>
      <c r="K78" s="3">
        <v>9.1300000000000008</v>
      </c>
      <c r="L78" s="3">
        <v>11.96</v>
      </c>
      <c r="M78" s="3">
        <v>6.41</v>
      </c>
    </row>
    <row r="79" spans="2:14" x14ac:dyDescent="0.3">
      <c r="B79" s="4">
        <v>26.1</v>
      </c>
      <c r="C79" s="4">
        <v>126.22</v>
      </c>
      <c r="D79" s="4">
        <v>5.84</v>
      </c>
      <c r="E79" s="4">
        <v>2.42</v>
      </c>
      <c r="F79" s="4">
        <v>11.9</v>
      </c>
      <c r="G79" s="4">
        <v>6.09</v>
      </c>
      <c r="H79" s="4">
        <v>6.21</v>
      </c>
      <c r="I79" s="4">
        <v>12.03</v>
      </c>
      <c r="J79" s="4">
        <v>6.09</v>
      </c>
      <c r="K79" s="4">
        <v>3.57</v>
      </c>
      <c r="L79" s="4">
        <v>34.619999999999997</v>
      </c>
      <c r="M79" s="4">
        <v>6.09</v>
      </c>
    </row>
    <row r="80" spans="2:14" x14ac:dyDescent="0.3">
      <c r="B80" s="3">
        <v>24.4</v>
      </c>
      <c r="C80" s="3">
        <v>102.7</v>
      </c>
      <c r="D80" s="3">
        <v>6.41</v>
      </c>
      <c r="E80" s="3">
        <v>25.35</v>
      </c>
      <c r="F80" s="3">
        <v>102.45</v>
      </c>
      <c r="G80" s="3">
        <v>6.41</v>
      </c>
      <c r="H80" s="3">
        <v>26.06</v>
      </c>
      <c r="I80" s="3">
        <v>110.61</v>
      </c>
      <c r="J80" s="3">
        <v>6.41</v>
      </c>
      <c r="K80" s="3">
        <v>25.08</v>
      </c>
      <c r="L80" s="3">
        <v>102.89</v>
      </c>
      <c r="M80" s="3">
        <v>6.41</v>
      </c>
    </row>
    <row r="81" spans="1:14" x14ac:dyDescent="0.3">
      <c r="B81" s="4">
        <v>37.86</v>
      </c>
      <c r="C81" s="4">
        <v>148.29</v>
      </c>
      <c r="D81" s="4">
        <v>6.19</v>
      </c>
      <c r="E81" s="4">
        <v>35.880000000000003</v>
      </c>
      <c r="F81" s="4">
        <v>140.32</v>
      </c>
      <c r="G81" s="4">
        <v>6.43</v>
      </c>
      <c r="H81" s="4">
        <v>35.15</v>
      </c>
      <c r="I81" s="4">
        <v>163.54</v>
      </c>
      <c r="J81" s="4">
        <v>6.26</v>
      </c>
      <c r="K81" s="4">
        <v>35.229999999999997</v>
      </c>
      <c r="L81" s="4">
        <v>140.38999999999999</v>
      </c>
      <c r="M81" s="4">
        <v>6.27</v>
      </c>
    </row>
    <row r="82" spans="1:14" x14ac:dyDescent="0.3">
      <c r="B82" s="3">
        <v>29.78</v>
      </c>
      <c r="C82" s="3">
        <v>132.63999999999999</v>
      </c>
      <c r="D82" s="3">
        <v>6.41</v>
      </c>
      <c r="E82" s="3">
        <v>32.590000000000003</v>
      </c>
      <c r="F82" s="3">
        <v>155.36000000000001</v>
      </c>
      <c r="G82" s="3">
        <v>5.99</v>
      </c>
      <c r="H82" s="3">
        <v>31.47</v>
      </c>
      <c r="I82" s="3">
        <v>147.78</v>
      </c>
      <c r="J82" s="3">
        <v>5.85</v>
      </c>
      <c r="K82" s="3">
        <v>30.95</v>
      </c>
      <c r="L82" s="3">
        <v>147.65</v>
      </c>
      <c r="M82" s="3">
        <v>5.9</v>
      </c>
    </row>
    <row r="83" spans="1:14" x14ac:dyDescent="0.3">
      <c r="B83" s="4">
        <v>26.41</v>
      </c>
      <c r="C83" s="4">
        <v>126.24</v>
      </c>
      <c r="D83" s="4">
        <v>5.85</v>
      </c>
      <c r="E83" s="4">
        <v>25.65</v>
      </c>
      <c r="F83" s="4">
        <v>140.63</v>
      </c>
      <c r="G83" s="4">
        <v>5.63</v>
      </c>
      <c r="H83" s="4">
        <v>27.38</v>
      </c>
      <c r="I83" s="4">
        <v>140.88</v>
      </c>
      <c r="J83" s="4">
        <v>5.56</v>
      </c>
      <c r="K83" s="4">
        <v>27.5</v>
      </c>
      <c r="L83" s="4">
        <v>140.91</v>
      </c>
      <c r="M83" s="4">
        <v>5.76</v>
      </c>
      <c r="N83" s="11"/>
    </row>
    <row r="85" spans="1:14" x14ac:dyDescent="0.3">
      <c r="A85" s="5" t="s">
        <v>39</v>
      </c>
      <c r="B85" s="5">
        <f>AVERAGE(B60:B83)</f>
        <v>26.159583333333334</v>
      </c>
      <c r="C85" s="5">
        <f t="shared" ref="C85:M85" si="5">AVERAGE(C60:C83)</f>
        <v>109.62291666666664</v>
      </c>
      <c r="D85" s="5">
        <f t="shared" si="5"/>
        <v>6.3949999999999987</v>
      </c>
      <c r="E85" s="5">
        <f t="shared" si="5"/>
        <v>24.243750000000006</v>
      </c>
      <c r="F85" s="5">
        <f t="shared" si="5"/>
        <v>100.66333333333336</v>
      </c>
      <c r="G85" s="5">
        <f t="shared" si="5"/>
        <v>6.4729166666666673</v>
      </c>
      <c r="H85" s="5">
        <f t="shared" si="5"/>
        <v>25.41333333333333</v>
      </c>
      <c r="I85" s="5">
        <f t="shared" si="5"/>
        <v>103.63083333333334</v>
      </c>
      <c r="J85" s="5">
        <f t="shared" si="5"/>
        <v>6.4537499999999994</v>
      </c>
      <c r="K85" s="5">
        <f t="shared" si="5"/>
        <v>24.702500000000004</v>
      </c>
      <c r="L85" s="5">
        <f t="shared" si="5"/>
        <v>102.59041666666666</v>
      </c>
      <c r="M85" s="5">
        <f t="shared" si="5"/>
        <v>6.236250000000001</v>
      </c>
    </row>
    <row r="86" spans="1:14" x14ac:dyDescent="0.3">
      <c r="A86" s="5" t="s">
        <v>35</v>
      </c>
      <c r="B86" s="5">
        <f>AVERAGE(B85,E85,H85,K85)</f>
        <v>25.129791666666666</v>
      </c>
      <c r="C86" s="5">
        <f>AVERAGE(C85,F85,I85,L85)</f>
        <v>104.126875</v>
      </c>
      <c r="D86" s="5">
        <f>AVERAGE(D85,G85,J85,M85)</f>
        <v>6.3894791666666668</v>
      </c>
    </row>
    <row r="88" spans="1:14" x14ac:dyDescent="0.3">
      <c r="A88" t="s">
        <v>28</v>
      </c>
      <c r="B88" s="3">
        <v>12.78</v>
      </c>
      <c r="C88" s="3">
        <v>81.290000000000006</v>
      </c>
      <c r="D88" s="3">
        <v>8.18</v>
      </c>
      <c r="E88" s="3">
        <v>13.43</v>
      </c>
      <c r="F88" s="3">
        <v>79.78</v>
      </c>
      <c r="G88" s="3">
        <v>8.0500000000000007</v>
      </c>
      <c r="H88" s="3">
        <v>15.34</v>
      </c>
      <c r="I88" s="3">
        <v>101.89</v>
      </c>
      <c r="J88" s="3">
        <v>7.54</v>
      </c>
      <c r="K88" s="3">
        <v>12.6</v>
      </c>
      <c r="L88" s="3">
        <v>87.26</v>
      </c>
      <c r="M88" s="3">
        <v>8.1300000000000008</v>
      </c>
    </row>
    <row r="89" spans="1:14" x14ac:dyDescent="0.3">
      <c r="B89" s="4">
        <v>22.12</v>
      </c>
      <c r="C89" s="4">
        <v>132.53</v>
      </c>
      <c r="D89" s="4">
        <v>5.96</v>
      </c>
      <c r="E89" s="4">
        <v>21.92</v>
      </c>
      <c r="F89" s="4">
        <v>146.57</v>
      </c>
      <c r="G89" s="4">
        <v>5.97</v>
      </c>
      <c r="H89" s="4">
        <v>20.51</v>
      </c>
      <c r="I89" s="4">
        <v>140.13999999999999</v>
      </c>
      <c r="J89" s="4">
        <v>6.25</v>
      </c>
      <c r="K89" s="4">
        <v>24.04</v>
      </c>
      <c r="L89" s="4">
        <v>155.07</v>
      </c>
      <c r="M89" s="4">
        <v>6.07</v>
      </c>
    </row>
    <row r="90" spans="1:14" x14ac:dyDescent="0.3">
      <c r="B90" s="3">
        <v>28.06</v>
      </c>
      <c r="C90" s="3">
        <v>116.61</v>
      </c>
      <c r="D90" s="3">
        <v>4.63</v>
      </c>
      <c r="E90" s="3">
        <v>25.26</v>
      </c>
      <c r="F90" s="3">
        <v>116.68</v>
      </c>
      <c r="G90" s="3">
        <v>4.7699999999999996</v>
      </c>
      <c r="H90" s="3">
        <v>26.09</v>
      </c>
      <c r="I90" s="3">
        <v>131.76</v>
      </c>
      <c r="J90" s="3">
        <v>4.93</v>
      </c>
      <c r="K90" s="3">
        <v>28.64</v>
      </c>
      <c r="L90" s="3">
        <v>124.17</v>
      </c>
      <c r="M90" s="3">
        <v>4.5999999999999996</v>
      </c>
    </row>
    <row r="91" spans="1:14" x14ac:dyDescent="0.3">
      <c r="B91" s="4">
        <v>29</v>
      </c>
      <c r="C91" s="4">
        <v>116.92</v>
      </c>
      <c r="D91" s="4">
        <v>4.9400000000000004</v>
      </c>
      <c r="E91" s="4">
        <v>28.84</v>
      </c>
      <c r="F91" s="4">
        <v>101.6</v>
      </c>
      <c r="G91" s="4">
        <v>5.1100000000000003</v>
      </c>
      <c r="H91" s="4">
        <v>29.93</v>
      </c>
      <c r="I91" s="4">
        <v>109.55</v>
      </c>
      <c r="J91" s="4">
        <v>5.37</v>
      </c>
      <c r="K91" s="4">
        <v>34.24</v>
      </c>
      <c r="L91" s="4">
        <v>154.61000000000001</v>
      </c>
      <c r="M91" s="4">
        <v>4.57</v>
      </c>
    </row>
    <row r="92" spans="1:14" x14ac:dyDescent="0.3">
      <c r="B92" s="3">
        <v>30.22</v>
      </c>
      <c r="C92" s="3">
        <v>94.06</v>
      </c>
      <c r="D92" s="3">
        <v>5.84</v>
      </c>
      <c r="E92" s="3">
        <v>21.66</v>
      </c>
      <c r="F92" s="3">
        <v>49.03</v>
      </c>
      <c r="G92" s="3">
        <v>6.22</v>
      </c>
      <c r="H92" s="3">
        <v>26.82</v>
      </c>
      <c r="I92" s="3">
        <v>78.83</v>
      </c>
      <c r="J92" s="3">
        <v>5.64</v>
      </c>
      <c r="K92" s="3">
        <v>24.1</v>
      </c>
      <c r="L92" s="3">
        <v>78.83</v>
      </c>
      <c r="M92" s="3">
        <v>6.2</v>
      </c>
    </row>
    <row r="93" spans="1:14" x14ac:dyDescent="0.3">
      <c r="B93" s="4">
        <v>15.78</v>
      </c>
      <c r="C93" s="4">
        <v>56.39</v>
      </c>
      <c r="D93" s="4">
        <v>6.9</v>
      </c>
      <c r="E93" s="4">
        <v>23.44</v>
      </c>
      <c r="F93" s="4">
        <v>56.71</v>
      </c>
      <c r="G93" s="4">
        <v>6.27</v>
      </c>
      <c r="H93" s="4">
        <v>18.36</v>
      </c>
      <c r="I93" s="4">
        <v>41.58</v>
      </c>
      <c r="J93" s="4">
        <v>7.71</v>
      </c>
      <c r="K93" s="4">
        <v>26.45</v>
      </c>
      <c r="L93" s="4">
        <v>64.540000000000006</v>
      </c>
      <c r="M93" s="4">
        <v>5.71</v>
      </c>
    </row>
    <row r="94" spans="1:14" x14ac:dyDescent="0.3">
      <c r="B94" s="3">
        <v>20.55</v>
      </c>
      <c r="C94" s="3">
        <v>41.63</v>
      </c>
      <c r="D94" s="3">
        <v>6.24</v>
      </c>
      <c r="E94" s="3">
        <v>18.96</v>
      </c>
      <c r="F94" s="3">
        <v>34.130000000000003</v>
      </c>
      <c r="G94" s="3">
        <v>6.76</v>
      </c>
      <c r="H94" s="3">
        <v>21.31</v>
      </c>
      <c r="I94" s="3">
        <v>34.19</v>
      </c>
      <c r="J94" s="3">
        <v>6.22</v>
      </c>
      <c r="K94" s="3">
        <v>24.68</v>
      </c>
      <c r="L94" s="3">
        <v>49.03</v>
      </c>
      <c r="M94" s="3">
        <v>5.3</v>
      </c>
    </row>
    <row r="95" spans="1:14" x14ac:dyDescent="0.3">
      <c r="B95" s="4">
        <v>12.98</v>
      </c>
      <c r="C95" s="4">
        <v>44.44</v>
      </c>
      <c r="D95" s="4">
        <v>8.69</v>
      </c>
      <c r="E95" s="4">
        <v>8.8699999999999992</v>
      </c>
      <c r="F95" s="4">
        <v>26.55</v>
      </c>
      <c r="G95" s="4">
        <v>9.48</v>
      </c>
      <c r="H95" s="4">
        <v>6.73</v>
      </c>
      <c r="I95" s="4">
        <v>13.41</v>
      </c>
      <c r="J95" s="4">
        <v>10.83</v>
      </c>
      <c r="K95" s="4">
        <v>7.79</v>
      </c>
      <c r="L95" s="4">
        <v>26.71</v>
      </c>
      <c r="M95" s="4">
        <v>10.11</v>
      </c>
    </row>
    <row r="96" spans="1:14" x14ac:dyDescent="0.3">
      <c r="B96" s="3">
        <v>16.829999999999998</v>
      </c>
      <c r="C96" s="3">
        <v>64.319999999999993</v>
      </c>
      <c r="D96" s="3">
        <v>8.0500000000000007</v>
      </c>
      <c r="E96" s="3">
        <v>15.55</v>
      </c>
      <c r="F96" s="3">
        <v>79.319999999999993</v>
      </c>
      <c r="G96" s="3">
        <v>8.3800000000000008</v>
      </c>
      <c r="H96" s="3">
        <v>15.82</v>
      </c>
      <c r="I96" s="3">
        <v>51.98</v>
      </c>
      <c r="J96" s="3">
        <v>8.2799999999999994</v>
      </c>
      <c r="K96" s="3">
        <v>13.95</v>
      </c>
      <c r="L96" s="3">
        <v>82.43</v>
      </c>
      <c r="M96" s="3">
        <v>8.57</v>
      </c>
    </row>
    <row r="97" spans="2:14" x14ac:dyDescent="0.3">
      <c r="B97" s="4">
        <v>17.71</v>
      </c>
      <c r="C97" s="4">
        <v>87.45</v>
      </c>
      <c r="D97" s="4">
        <v>7.37</v>
      </c>
      <c r="E97" s="4">
        <v>16.59</v>
      </c>
      <c r="F97" s="4">
        <v>94.23</v>
      </c>
      <c r="G97" s="4">
        <v>6.8</v>
      </c>
      <c r="H97" s="4">
        <v>13.19</v>
      </c>
      <c r="I97" s="4">
        <v>109.17</v>
      </c>
      <c r="J97" s="4">
        <v>7.95</v>
      </c>
      <c r="K97" s="4">
        <v>15.39</v>
      </c>
      <c r="L97" s="4">
        <v>103.59</v>
      </c>
      <c r="M97" s="4">
        <v>7.64</v>
      </c>
    </row>
    <row r="98" spans="2:14" x14ac:dyDescent="0.3">
      <c r="B98" s="3">
        <v>14.2</v>
      </c>
      <c r="C98" s="3">
        <v>79.13</v>
      </c>
      <c r="D98" s="3">
        <v>7.26</v>
      </c>
      <c r="E98" s="3">
        <v>13.76</v>
      </c>
      <c r="F98" s="3">
        <v>79.239999999999995</v>
      </c>
      <c r="G98" s="3">
        <v>6.79</v>
      </c>
      <c r="H98" s="3">
        <v>12.78</v>
      </c>
      <c r="I98" s="3">
        <v>71.75</v>
      </c>
      <c r="J98" s="3">
        <v>7.33</v>
      </c>
      <c r="K98" s="3">
        <v>13.16</v>
      </c>
      <c r="L98" s="3">
        <v>79.11</v>
      </c>
      <c r="M98" s="3">
        <v>7.25</v>
      </c>
    </row>
    <row r="99" spans="2:14" x14ac:dyDescent="0.3">
      <c r="B99" s="4">
        <v>25.28</v>
      </c>
      <c r="C99" s="4">
        <v>139.44</v>
      </c>
      <c r="D99" s="4">
        <v>4.87</v>
      </c>
      <c r="E99" s="4">
        <v>31.12</v>
      </c>
      <c r="F99" s="4">
        <v>109.93</v>
      </c>
      <c r="G99" s="4">
        <v>4.68</v>
      </c>
      <c r="H99" s="4">
        <v>24.38</v>
      </c>
      <c r="I99" s="4">
        <v>109</v>
      </c>
      <c r="J99" s="4">
        <v>4.8499999999999996</v>
      </c>
      <c r="K99" s="4">
        <v>23.68</v>
      </c>
      <c r="L99" s="4">
        <v>131.97</v>
      </c>
      <c r="M99" s="4">
        <v>4.78</v>
      </c>
      <c r="N99" s="11"/>
    </row>
    <row r="100" spans="2:14" x14ac:dyDescent="0.3">
      <c r="B100" s="3">
        <v>18.64</v>
      </c>
      <c r="C100" s="3">
        <v>88.41</v>
      </c>
      <c r="D100" s="3">
        <v>7.11</v>
      </c>
      <c r="E100" s="3">
        <v>20.079999999999998</v>
      </c>
      <c r="F100" s="3">
        <v>87.09</v>
      </c>
      <c r="G100" s="3">
        <v>7.03</v>
      </c>
      <c r="H100" s="3">
        <v>20.29</v>
      </c>
      <c r="I100" s="3">
        <v>86.51</v>
      </c>
      <c r="J100" s="3">
        <v>6.66</v>
      </c>
      <c r="K100" s="3">
        <v>19.11</v>
      </c>
      <c r="L100" s="3">
        <v>79.540000000000006</v>
      </c>
      <c r="M100" s="3">
        <v>6.98</v>
      </c>
    </row>
    <row r="101" spans="2:14" x14ac:dyDescent="0.3">
      <c r="B101" s="4">
        <v>34.82</v>
      </c>
      <c r="C101" s="4">
        <v>132.57</v>
      </c>
      <c r="D101" s="4">
        <v>5.05</v>
      </c>
      <c r="E101" s="4">
        <v>34.85</v>
      </c>
      <c r="F101" s="4">
        <v>154.27000000000001</v>
      </c>
      <c r="G101" s="4">
        <v>4.9000000000000004</v>
      </c>
      <c r="H101" s="4">
        <v>36.909999999999997</v>
      </c>
      <c r="I101" s="4">
        <v>139.94</v>
      </c>
      <c r="J101" s="4">
        <v>4.78</v>
      </c>
      <c r="K101" s="4">
        <v>38.58</v>
      </c>
      <c r="L101" s="4">
        <v>147.68</v>
      </c>
      <c r="M101" s="4">
        <v>4.93</v>
      </c>
    </row>
    <row r="102" spans="2:14" x14ac:dyDescent="0.3">
      <c r="B102" s="3">
        <v>44.11</v>
      </c>
      <c r="C102" s="3">
        <v>116.55</v>
      </c>
      <c r="D102" s="3">
        <v>3.87</v>
      </c>
      <c r="E102" s="3">
        <v>36.89</v>
      </c>
      <c r="F102" s="3">
        <v>116.61</v>
      </c>
      <c r="G102" s="3">
        <v>4.3099999999999996</v>
      </c>
      <c r="H102" s="3">
        <v>43.13</v>
      </c>
      <c r="I102" s="3">
        <v>139.04</v>
      </c>
      <c r="J102" s="3">
        <v>4.24</v>
      </c>
      <c r="K102" s="3">
        <v>43.76</v>
      </c>
      <c r="L102" s="3">
        <v>124.13</v>
      </c>
      <c r="M102" s="3">
        <v>4.03</v>
      </c>
    </row>
    <row r="103" spans="2:14" x14ac:dyDescent="0.3">
      <c r="B103" s="4">
        <v>45.88</v>
      </c>
      <c r="C103" s="4">
        <v>124.41</v>
      </c>
      <c r="D103" s="4">
        <v>4.41</v>
      </c>
      <c r="E103" s="4">
        <v>44.61</v>
      </c>
      <c r="F103" s="4">
        <v>101.78</v>
      </c>
      <c r="G103" s="4">
        <v>4.6500000000000004</v>
      </c>
      <c r="H103" s="4">
        <v>42.77</v>
      </c>
      <c r="I103" s="4">
        <v>109.43</v>
      </c>
      <c r="J103" s="4">
        <v>4.83</v>
      </c>
      <c r="K103" s="4">
        <v>52.59</v>
      </c>
      <c r="L103" s="4">
        <v>146.81</v>
      </c>
      <c r="M103" s="4">
        <v>4</v>
      </c>
    </row>
    <row r="104" spans="2:14" x14ac:dyDescent="0.3">
      <c r="B104" s="3">
        <v>34.590000000000003</v>
      </c>
      <c r="C104" s="3">
        <v>86.57</v>
      </c>
      <c r="D104" s="3">
        <v>5.55</v>
      </c>
      <c r="E104" s="3">
        <v>25.87</v>
      </c>
      <c r="F104" s="3">
        <v>56.6</v>
      </c>
      <c r="G104" s="3">
        <v>5.94</v>
      </c>
      <c r="H104" s="3">
        <v>31.73</v>
      </c>
      <c r="I104" s="3">
        <v>79.239999999999995</v>
      </c>
      <c r="J104" s="3">
        <v>5.57</v>
      </c>
      <c r="K104" s="3">
        <v>27.26</v>
      </c>
      <c r="L104" s="3">
        <v>79.400000000000006</v>
      </c>
      <c r="M104" s="3">
        <v>6.41</v>
      </c>
    </row>
    <row r="105" spans="2:14" x14ac:dyDescent="0.3">
      <c r="B105" s="4">
        <v>20.89</v>
      </c>
      <c r="C105" s="4">
        <v>56.57</v>
      </c>
      <c r="D105" s="4">
        <v>6.9</v>
      </c>
      <c r="E105" s="4">
        <v>26.18</v>
      </c>
      <c r="F105" s="4">
        <v>64.19</v>
      </c>
      <c r="G105" s="4">
        <v>6.42</v>
      </c>
      <c r="H105" s="4">
        <v>16.48</v>
      </c>
      <c r="I105" s="4">
        <v>41.52</v>
      </c>
      <c r="J105" s="4">
        <v>8.02</v>
      </c>
      <c r="K105" s="4">
        <v>30.56</v>
      </c>
      <c r="L105" s="4">
        <v>64.28</v>
      </c>
      <c r="M105" s="4">
        <v>5.7</v>
      </c>
    </row>
    <row r="106" spans="2:14" x14ac:dyDescent="0.3">
      <c r="B106" s="3">
        <v>27.78</v>
      </c>
      <c r="C106" s="3">
        <v>41.53</v>
      </c>
      <c r="D106" s="3">
        <v>6.58</v>
      </c>
      <c r="E106" s="3">
        <v>16.84</v>
      </c>
      <c r="F106" s="3">
        <v>34.299999999999997</v>
      </c>
      <c r="G106" s="3">
        <v>8.0299999999999994</v>
      </c>
      <c r="H106" s="3">
        <v>20.25</v>
      </c>
      <c r="I106" s="3">
        <v>41.63</v>
      </c>
      <c r="J106" s="3">
        <v>7.41</v>
      </c>
      <c r="K106" s="3">
        <v>29.52</v>
      </c>
      <c r="L106" s="3">
        <v>49.47</v>
      </c>
      <c r="M106" s="3">
        <v>6.28</v>
      </c>
    </row>
    <row r="107" spans="2:14" x14ac:dyDescent="0.3">
      <c r="B107" s="4">
        <v>22.04</v>
      </c>
      <c r="C107" s="4">
        <v>57.61</v>
      </c>
      <c r="D107" s="4">
        <v>7.51</v>
      </c>
      <c r="E107" s="4">
        <v>15.93</v>
      </c>
      <c r="F107" s="4">
        <v>59.51</v>
      </c>
      <c r="G107" s="4">
        <v>8.4600000000000009</v>
      </c>
      <c r="H107" s="4">
        <v>10.73</v>
      </c>
      <c r="I107" s="4">
        <v>57.16</v>
      </c>
      <c r="J107" s="4">
        <v>9.6300000000000008</v>
      </c>
      <c r="K107" s="4">
        <v>16.52</v>
      </c>
      <c r="L107" s="4">
        <v>49.94</v>
      </c>
      <c r="M107" s="4">
        <v>8.5399999999999991</v>
      </c>
    </row>
    <row r="108" spans="2:14" x14ac:dyDescent="0.3">
      <c r="B108" s="3">
        <v>18.010000000000002</v>
      </c>
      <c r="C108" s="3">
        <v>73.55</v>
      </c>
      <c r="D108" s="3">
        <v>8.1199999999999992</v>
      </c>
      <c r="E108" s="3">
        <v>16.57</v>
      </c>
      <c r="F108" s="3">
        <v>82.01</v>
      </c>
      <c r="G108" s="3">
        <v>8.24</v>
      </c>
      <c r="H108" s="3">
        <v>18.82</v>
      </c>
      <c r="I108" s="3">
        <v>74.59</v>
      </c>
      <c r="J108" s="3">
        <v>7.89</v>
      </c>
      <c r="K108" s="3">
        <v>19.68</v>
      </c>
      <c r="L108" s="3">
        <v>87.13</v>
      </c>
      <c r="M108" s="3">
        <v>7.91</v>
      </c>
    </row>
    <row r="109" spans="2:14" x14ac:dyDescent="0.3">
      <c r="B109" s="4">
        <v>25.54</v>
      </c>
      <c r="C109" s="4">
        <v>86.63</v>
      </c>
      <c r="D109" s="4">
        <v>6.5</v>
      </c>
      <c r="E109" s="4">
        <v>24.73</v>
      </c>
      <c r="F109" s="4">
        <v>101.96</v>
      </c>
      <c r="G109" s="4">
        <v>5.93</v>
      </c>
      <c r="H109" s="4">
        <v>22.56</v>
      </c>
      <c r="I109" s="4">
        <v>116.74</v>
      </c>
      <c r="J109" s="4">
        <v>6.21</v>
      </c>
      <c r="K109" s="4">
        <v>24.66</v>
      </c>
      <c r="L109" s="4">
        <v>111.13</v>
      </c>
      <c r="M109" s="4">
        <v>6.33</v>
      </c>
    </row>
    <row r="110" spans="2:14" x14ac:dyDescent="0.3">
      <c r="B110" s="3">
        <v>25.7</v>
      </c>
      <c r="C110" s="3">
        <v>79.099999999999994</v>
      </c>
      <c r="D110" s="3">
        <v>5.71</v>
      </c>
      <c r="E110" s="3">
        <v>21.55</v>
      </c>
      <c r="F110" s="3">
        <v>86.54</v>
      </c>
      <c r="G110" s="3">
        <v>6.08</v>
      </c>
      <c r="H110" s="3">
        <v>22.34</v>
      </c>
      <c r="I110" s="3">
        <v>73.03</v>
      </c>
      <c r="J110" s="3">
        <v>6.29</v>
      </c>
      <c r="K110" s="3">
        <v>19.43</v>
      </c>
      <c r="L110" s="3">
        <v>79.260000000000005</v>
      </c>
      <c r="M110" s="3">
        <v>6.57</v>
      </c>
    </row>
    <row r="111" spans="2:14" x14ac:dyDescent="0.3">
      <c r="B111" s="4">
        <v>32.729999999999997</v>
      </c>
      <c r="C111" s="4">
        <v>146.72999999999999</v>
      </c>
      <c r="D111" s="4">
        <v>4.5</v>
      </c>
      <c r="E111" s="4">
        <v>40.78</v>
      </c>
      <c r="F111" s="4">
        <v>110</v>
      </c>
      <c r="G111" s="4">
        <v>4.13</v>
      </c>
      <c r="H111" s="4">
        <v>35.86</v>
      </c>
      <c r="I111" s="4">
        <v>109.23</v>
      </c>
      <c r="J111" s="4">
        <v>4.47</v>
      </c>
      <c r="K111" s="4">
        <v>33.159999999999997</v>
      </c>
      <c r="L111" s="4">
        <v>131.94</v>
      </c>
      <c r="M111" s="4">
        <v>4.46</v>
      </c>
      <c r="N111" s="11"/>
    </row>
    <row r="113" spans="1:13" x14ac:dyDescent="0.3">
      <c r="A113" s="5" t="s">
        <v>39</v>
      </c>
      <c r="B113" s="5">
        <f>AVERAGE(B88:B111)</f>
        <v>24.843333333333334</v>
      </c>
      <c r="C113" s="5">
        <f t="shared" ref="C113:M113" si="6">AVERAGE(C88:C111)</f>
        <v>89.351666666666645</v>
      </c>
      <c r="D113" s="5">
        <f t="shared" si="6"/>
        <v>6.2808333333333346</v>
      </c>
      <c r="E113" s="5">
        <f t="shared" si="6"/>
        <v>23.511666666666667</v>
      </c>
      <c r="F113" s="5">
        <f t="shared" si="6"/>
        <v>84.52624999999999</v>
      </c>
      <c r="G113" s="5">
        <f>AVERAGE(G88:G111)</f>
        <v>6.3916666666666684</v>
      </c>
      <c r="H113" s="5">
        <f t="shared" si="6"/>
        <v>23.047083333333333</v>
      </c>
      <c r="I113" s="5">
        <f t="shared" si="6"/>
        <v>85.887916666666669</v>
      </c>
      <c r="J113" s="5">
        <f t="shared" si="6"/>
        <v>6.6208333333333327</v>
      </c>
      <c r="K113" s="5">
        <f t="shared" si="6"/>
        <v>25.14791666666666</v>
      </c>
      <c r="L113" s="5">
        <f t="shared" si="6"/>
        <v>95.334583333333356</v>
      </c>
      <c r="M113" s="5">
        <f t="shared" si="6"/>
        <v>6.2945833333333345</v>
      </c>
    </row>
    <row r="114" spans="1:13" x14ac:dyDescent="0.3">
      <c r="A114" s="5" t="s">
        <v>35</v>
      </c>
      <c r="B114" s="5">
        <f>AVERAGE(B113,E113,H113,K113)</f>
        <v>24.137499999999999</v>
      </c>
      <c r="C114" s="5">
        <f>AVERAGE(C113,F113,I113,L113)</f>
        <v>88.775104166666665</v>
      </c>
      <c r="D114" s="5">
        <f>AVERAGE(D113,G113,J113,M113)</f>
        <v>6.396979166666668</v>
      </c>
    </row>
    <row r="116" spans="1:13" x14ac:dyDescent="0.3">
      <c r="B116" s="38" t="s">
        <v>29</v>
      </c>
      <c r="C116" s="38"/>
      <c r="D116" s="38"/>
      <c r="E116" s="38"/>
    </row>
    <row r="118" spans="1:13" x14ac:dyDescent="0.3">
      <c r="B118" s="39" t="s">
        <v>17</v>
      </c>
      <c r="C118" s="39"/>
      <c r="D118" s="39"/>
      <c r="E118" s="40" t="s">
        <v>18</v>
      </c>
      <c r="F118" s="40"/>
      <c r="G118" s="40"/>
      <c r="H118" s="41" t="s">
        <v>19</v>
      </c>
      <c r="I118" s="41"/>
      <c r="J118" s="41"/>
      <c r="K118" s="42" t="s">
        <v>20</v>
      </c>
      <c r="L118" s="42"/>
      <c r="M118" s="42"/>
    </row>
    <row r="119" spans="1:13" x14ac:dyDescent="0.3">
      <c r="B119" s="1" t="s">
        <v>21</v>
      </c>
      <c r="C119" s="1" t="s">
        <v>22</v>
      </c>
      <c r="D119" s="1" t="s">
        <v>23</v>
      </c>
      <c r="E119" s="1" t="s">
        <v>21</v>
      </c>
      <c r="F119" s="1" t="s">
        <v>22</v>
      </c>
      <c r="G119" s="1" t="s">
        <v>23</v>
      </c>
      <c r="H119" s="1" t="s">
        <v>21</v>
      </c>
      <c r="I119" s="1" t="s">
        <v>22</v>
      </c>
      <c r="J119" s="1" t="s">
        <v>23</v>
      </c>
      <c r="K119" s="1" t="s">
        <v>21</v>
      </c>
      <c r="L119" s="1" t="s">
        <v>22</v>
      </c>
      <c r="M119" s="1" t="s">
        <v>23</v>
      </c>
    </row>
    <row r="120" spans="1:13" x14ac:dyDescent="0.3">
      <c r="A120" t="s">
        <v>27</v>
      </c>
      <c r="B120" s="3">
        <v>11.63</v>
      </c>
      <c r="C120" s="3">
        <v>42.7</v>
      </c>
      <c r="D120" s="3">
        <v>11.02</v>
      </c>
      <c r="E120" s="3">
        <v>11.48</v>
      </c>
      <c r="F120" s="3">
        <v>42.31</v>
      </c>
      <c r="G120" s="3">
        <v>10.09</v>
      </c>
      <c r="H120" s="3">
        <v>11.86</v>
      </c>
      <c r="I120" s="3">
        <v>36.26</v>
      </c>
      <c r="J120" s="3">
        <v>10.96</v>
      </c>
      <c r="K120" s="3">
        <v>10.199999999999999</v>
      </c>
      <c r="L120" s="3">
        <v>42.93</v>
      </c>
      <c r="M120" s="3">
        <v>11.13</v>
      </c>
    </row>
    <row r="121" spans="1:13" x14ac:dyDescent="0.3">
      <c r="B121" s="4">
        <v>32.44</v>
      </c>
      <c r="C121" s="4">
        <v>104.72</v>
      </c>
      <c r="D121" s="4">
        <v>6.26</v>
      </c>
      <c r="E121" s="4">
        <v>30.69</v>
      </c>
      <c r="F121" s="4">
        <v>119.61</v>
      </c>
      <c r="G121" s="4">
        <v>5.91</v>
      </c>
      <c r="H121" s="4">
        <v>31.98</v>
      </c>
      <c r="I121" s="4">
        <v>117.15</v>
      </c>
      <c r="J121" s="4">
        <v>6</v>
      </c>
      <c r="K121" s="4">
        <v>33.56</v>
      </c>
      <c r="L121" s="4">
        <v>95.08</v>
      </c>
      <c r="M121" s="4">
        <v>5.73</v>
      </c>
    </row>
    <row r="122" spans="1:13" x14ac:dyDescent="0.3">
      <c r="B122" s="3">
        <v>15.46</v>
      </c>
      <c r="C122" s="3">
        <v>49.8</v>
      </c>
      <c r="D122" s="3">
        <v>9.1300000000000008</v>
      </c>
      <c r="E122" s="3">
        <v>15.7</v>
      </c>
      <c r="F122" s="3">
        <v>49.89</v>
      </c>
      <c r="G122" s="3">
        <v>8.68</v>
      </c>
      <c r="H122" s="3">
        <v>15.5</v>
      </c>
      <c r="I122" s="3">
        <v>49.95</v>
      </c>
      <c r="J122" s="3">
        <v>8.99</v>
      </c>
      <c r="K122" s="3">
        <v>15.91</v>
      </c>
      <c r="L122" s="3">
        <v>49.71</v>
      </c>
      <c r="M122" s="3">
        <v>9.26</v>
      </c>
    </row>
    <row r="123" spans="1:13" x14ac:dyDescent="0.3">
      <c r="B123" s="4">
        <v>31.15</v>
      </c>
      <c r="C123" s="4">
        <v>139.69999999999999</v>
      </c>
      <c r="D123" s="4">
        <v>5.61</v>
      </c>
      <c r="E123" s="4">
        <v>30.55</v>
      </c>
      <c r="F123" s="4">
        <v>140.32</v>
      </c>
      <c r="G123" s="4">
        <v>5.58</v>
      </c>
      <c r="H123" s="4">
        <v>33.03</v>
      </c>
      <c r="I123" s="4">
        <v>147.86000000000001</v>
      </c>
      <c r="J123" s="4">
        <v>5.07</v>
      </c>
      <c r="K123" s="4">
        <v>28.29</v>
      </c>
      <c r="L123" s="4">
        <v>140.66999999999999</v>
      </c>
      <c r="M123" s="4">
        <v>5.91</v>
      </c>
    </row>
    <row r="124" spans="1:13" x14ac:dyDescent="0.3">
      <c r="B124" s="3">
        <v>28.08</v>
      </c>
      <c r="C124" s="3">
        <v>118.48</v>
      </c>
      <c r="D124" s="3">
        <v>5.63</v>
      </c>
      <c r="E124" s="3">
        <v>25.08</v>
      </c>
      <c r="F124" s="3">
        <v>95.57</v>
      </c>
      <c r="G124" s="3">
        <v>6.42</v>
      </c>
      <c r="H124" s="3">
        <v>29</v>
      </c>
      <c r="I124" s="3">
        <v>114.03</v>
      </c>
      <c r="J124" s="3">
        <v>6.17</v>
      </c>
      <c r="K124" s="3">
        <v>24.39</v>
      </c>
      <c r="L124" s="3">
        <v>81.69</v>
      </c>
      <c r="M124" s="3">
        <v>6.79</v>
      </c>
    </row>
    <row r="125" spans="1:13" x14ac:dyDescent="0.3">
      <c r="B125" s="4">
        <v>39.76</v>
      </c>
      <c r="C125" s="4">
        <v>167</v>
      </c>
      <c r="D125" s="4">
        <v>4.6100000000000003</v>
      </c>
      <c r="E125" s="4">
        <v>37.42</v>
      </c>
      <c r="F125" s="4">
        <v>154.30000000000001</v>
      </c>
      <c r="G125" s="4">
        <v>5.08</v>
      </c>
      <c r="H125" s="4">
        <v>38.43</v>
      </c>
      <c r="I125" s="4">
        <v>150.72999999999999</v>
      </c>
      <c r="J125" s="4">
        <v>4.8600000000000003</v>
      </c>
      <c r="K125" s="4">
        <v>37.28</v>
      </c>
      <c r="L125" s="4">
        <v>147.84</v>
      </c>
      <c r="M125" s="4">
        <v>4.7</v>
      </c>
    </row>
    <row r="126" spans="1:13" x14ac:dyDescent="0.3">
      <c r="B126" s="3">
        <v>42</v>
      </c>
      <c r="C126" s="3">
        <v>178.11</v>
      </c>
      <c r="D126" s="3">
        <v>3.9</v>
      </c>
      <c r="E126" s="3">
        <v>39.4</v>
      </c>
      <c r="F126" s="3">
        <v>186.97</v>
      </c>
      <c r="G126" s="3">
        <v>4.17</v>
      </c>
      <c r="H126" s="3">
        <v>32.630000000000003</v>
      </c>
      <c r="I126" s="3">
        <v>178.41</v>
      </c>
      <c r="J126" s="3">
        <v>5.13</v>
      </c>
      <c r="K126" s="3">
        <v>39.869999999999997</v>
      </c>
      <c r="L126" s="3">
        <v>185.94</v>
      </c>
      <c r="M126" s="3">
        <v>4.1100000000000003</v>
      </c>
    </row>
    <row r="127" spans="1:13" x14ac:dyDescent="0.3">
      <c r="B127" s="4">
        <v>48.77</v>
      </c>
      <c r="C127" s="4">
        <v>238.39</v>
      </c>
      <c r="D127" s="4">
        <v>3.57</v>
      </c>
      <c r="E127" s="4">
        <v>49.23</v>
      </c>
      <c r="F127" s="4">
        <v>238.27</v>
      </c>
      <c r="G127" s="4">
        <v>3.54</v>
      </c>
      <c r="H127" s="4">
        <v>49.63</v>
      </c>
      <c r="I127" s="4">
        <v>208.42</v>
      </c>
      <c r="J127" s="4">
        <v>3.12</v>
      </c>
      <c r="K127" s="4">
        <v>56.68</v>
      </c>
      <c r="L127" s="4">
        <v>238.3</v>
      </c>
      <c r="M127" s="4">
        <v>2.93</v>
      </c>
    </row>
    <row r="128" spans="1:13" x14ac:dyDescent="0.3">
      <c r="B128" s="3">
        <v>27.81</v>
      </c>
      <c r="C128" s="3">
        <v>51.04</v>
      </c>
      <c r="D128" s="3">
        <v>6.95</v>
      </c>
      <c r="E128" s="3">
        <v>31.96</v>
      </c>
      <c r="F128" s="3">
        <v>73.39</v>
      </c>
      <c r="G128" s="3">
        <v>6.33</v>
      </c>
      <c r="H128" s="3">
        <v>55.66</v>
      </c>
      <c r="I128" s="3">
        <v>135.27000000000001</v>
      </c>
      <c r="J128" s="3">
        <v>4.17</v>
      </c>
      <c r="K128" s="3">
        <v>43.03</v>
      </c>
      <c r="L128" s="3">
        <v>134.18</v>
      </c>
      <c r="M128" s="3">
        <v>5.22</v>
      </c>
    </row>
    <row r="129" spans="2:25" x14ac:dyDescent="0.3">
      <c r="B129" s="4">
        <v>59.6</v>
      </c>
      <c r="C129" s="4">
        <v>208.37</v>
      </c>
      <c r="D129" s="4">
        <v>3.45</v>
      </c>
      <c r="E129" s="4">
        <v>65.2</v>
      </c>
      <c r="F129" s="4">
        <v>245.74</v>
      </c>
      <c r="G129" s="4">
        <v>3.46</v>
      </c>
      <c r="H129" s="4">
        <v>45.09</v>
      </c>
      <c r="I129" s="4">
        <v>170.83</v>
      </c>
      <c r="J129" s="4">
        <v>4.1399999999999997</v>
      </c>
      <c r="K129" s="4">
        <v>48.56</v>
      </c>
      <c r="L129" s="4">
        <v>171.16</v>
      </c>
      <c r="M129" s="4">
        <v>4.5</v>
      </c>
    </row>
    <row r="130" spans="2:25" x14ac:dyDescent="0.3">
      <c r="B130" s="3">
        <v>23.17</v>
      </c>
      <c r="C130" s="3">
        <v>87.73</v>
      </c>
      <c r="D130" s="3">
        <v>7.54</v>
      </c>
      <c r="E130" s="3">
        <v>29.4</v>
      </c>
      <c r="F130" s="3">
        <v>102.87</v>
      </c>
      <c r="G130" s="3">
        <v>6.64</v>
      </c>
      <c r="H130" s="3">
        <v>19.84</v>
      </c>
      <c r="I130" s="3">
        <v>42.56</v>
      </c>
      <c r="J130" s="3">
        <v>8.44</v>
      </c>
      <c r="K130" s="3">
        <v>21.08</v>
      </c>
      <c r="L130" s="3">
        <v>87.63</v>
      </c>
      <c r="M130" s="3">
        <v>8.58</v>
      </c>
    </row>
    <row r="131" spans="2:25" x14ac:dyDescent="0.3">
      <c r="B131" s="4">
        <v>37.6</v>
      </c>
      <c r="C131" s="4">
        <v>199.68</v>
      </c>
      <c r="D131" s="4">
        <v>5.61</v>
      </c>
      <c r="E131" s="4">
        <v>34.159999999999997</v>
      </c>
      <c r="F131" s="4">
        <v>192.26</v>
      </c>
      <c r="G131" s="4">
        <v>5.96</v>
      </c>
      <c r="H131" s="4">
        <v>36.19</v>
      </c>
      <c r="I131" s="4">
        <v>199.74</v>
      </c>
      <c r="J131" s="4">
        <v>5.83</v>
      </c>
      <c r="K131" s="4">
        <v>37.81</v>
      </c>
      <c r="L131" s="4">
        <v>178.57</v>
      </c>
      <c r="M131" s="4">
        <v>5.57</v>
      </c>
    </row>
    <row r="132" spans="2:25" x14ac:dyDescent="0.3">
      <c r="B132" s="3">
        <v>6.88</v>
      </c>
      <c r="C132" s="3">
        <v>27.15</v>
      </c>
      <c r="D132" s="3">
        <v>12.89</v>
      </c>
      <c r="E132" s="3">
        <v>7.74</v>
      </c>
      <c r="F132" s="3">
        <v>34.6</v>
      </c>
      <c r="G132" s="3">
        <v>11.44</v>
      </c>
      <c r="H132" s="3">
        <v>7.36</v>
      </c>
      <c r="I132" s="3">
        <v>19.72</v>
      </c>
      <c r="J132" s="3">
        <v>12.94</v>
      </c>
      <c r="K132" s="3">
        <v>6.28</v>
      </c>
      <c r="L132" s="3">
        <v>27.14</v>
      </c>
      <c r="M132" s="3">
        <v>12.84</v>
      </c>
    </row>
    <row r="133" spans="2:25" x14ac:dyDescent="0.3">
      <c r="B133" s="4">
        <v>27.95</v>
      </c>
      <c r="C133" s="4">
        <v>87.9</v>
      </c>
      <c r="D133" s="4">
        <v>6.37</v>
      </c>
      <c r="E133" s="4">
        <v>26.96</v>
      </c>
      <c r="F133" s="4">
        <v>87.65</v>
      </c>
      <c r="G133" s="4">
        <v>6.22</v>
      </c>
      <c r="H133" s="4">
        <v>28.01</v>
      </c>
      <c r="I133" s="4">
        <v>95.14</v>
      </c>
      <c r="J133" s="4">
        <v>6.64</v>
      </c>
      <c r="K133" s="4">
        <v>27.74</v>
      </c>
      <c r="L133" s="4">
        <v>87.26</v>
      </c>
      <c r="M133" s="4">
        <v>6.5</v>
      </c>
    </row>
    <row r="134" spans="2:25" x14ac:dyDescent="0.3">
      <c r="B134" s="3">
        <v>8</v>
      </c>
      <c r="C134" s="3">
        <v>42.21</v>
      </c>
      <c r="D134" s="3">
        <v>11.26</v>
      </c>
      <c r="E134" s="3">
        <v>7.16</v>
      </c>
      <c r="F134" s="3">
        <v>42.17</v>
      </c>
      <c r="G134" s="3">
        <v>11.72</v>
      </c>
      <c r="H134" s="3">
        <v>9.17</v>
      </c>
      <c r="I134" s="3">
        <v>42.24</v>
      </c>
      <c r="J134" s="3">
        <v>11.22</v>
      </c>
      <c r="K134" s="3">
        <v>8.51</v>
      </c>
      <c r="L134" s="3">
        <v>42.2</v>
      </c>
      <c r="M134" s="3">
        <v>11.56</v>
      </c>
    </row>
    <row r="135" spans="2:25" x14ac:dyDescent="0.3">
      <c r="B135" s="4">
        <v>24.53</v>
      </c>
      <c r="C135" s="4">
        <v>132.49</v>
      </c>
      <c r="D135" s="4">
        <v>5.59</v>
      </c>
      <c r="E135" s="4">
        <v>24.26</v>
      </c>
      <c r="F135" s="4">
        <v>132.27000000000001</v>
      </c>
      <c r="G135" s="4">
        <v>5.55</v>
      </c>
      <c r="H135" s="4">
        <v>25.67</v>
      </c>
      <c r="I135" s="4">
        <v>140.41</v>
      </c>
      <c r="J135" s="4">
        <v>5.55</v>
      </c>
      <c r="K135" s="4">
        <v>20.67</v>
      </c>
      <c r="L135" s="4">
        <v>125.4</v>
      </c>
      <c r="M135" s="4">
        <v>5.65</v>
      </c>
    </row>
    <row r="136" spans="2:25" x14ac:dyDescent="0.3">
      <c r="B136" s="3">
        <v>15.13</v>
      </c>
      <c r="C136" s="3">
        <v>79.73</v>
      </c>
      <c r="D136" s="3">
        <v>7.74</v>
      </c>
      <c r="E136" s="3">
        <v>10.37</v>
      </c>
      <c r="F136" s="3">
        <v>43.85</v>
      </c>
      <c r="G136" s="3">
        <v>9.24</v>
      </c>
      <c r="H136" s="3">
        <v>12.37</v>
      </c>
      <c r="I136" s="3">
        <v>51.4</v>
      </c>
      <c r="J136" s="3">
        <v>8.8699999999999992</v>
      </c>
      <c r="K136" s="3">
        <v>12.69</v>
      </c>
      <c r="L136" s="3">
        <v>44.34</v>
      </c>
      <c r="M136" s="3">
        <v>9.24</v>
      </c>
    </row>
    <row r="137" spans="2:25" x14ac:dyDescent="0.3">
      <c r="B137" s="4">
        <v>23.88</v>
      </c>
      <c r="C137" s="4">
        <v>117.46</v>
      </c>
      <c r="D137" s="4">
        <v>5.93</v>
      </c>
      <c r="E137" s="4">
        <v>24.28</v>
      </c>
      <c r="F137" s="4">
        <v>109.72</v>
      </c>
      <c r="G137" s="4">
        <v>6.29</v>
      </c>
      <c r="H137" s="4">
        <v>22.43</v>
      </c>
      <c r="I137" s="4">
        <v>96.03</v>
      </c>
      <c r="J137" s="4">
        <v>6.42</v>
      </c>
      <c r="K137" s="4">
        <v>24.68</v>
      </c>
      <c r="L137" s="4">
        <v>109.66</v>
      </c>
      <c r="M137" s="4">
        <v>5.84</v>
      </c>
    </row>
    <row r="138" spans="2:25" x14ac:dyDescent="0.3">
      <c r="B138" s="3">
        <v>13.9</v>
      </c>
      <c r="C138" s="3">
        <v>89.38</v>
      </c>
      <c r="D138" s="3">
        <v>6.22</v>
      </c>
      <c r="E138" s="3">
        <v>12.43</v>
      </c>
      <c r="F138" s="3">
        <v>81.260000000000005</v>
      </c>
      <c r="G138" s="3">
        <v>7.14</v>
      </c>
      <c r="H138" s="3">
        <v>10.72</v>
      </c>
      <c r="I138" s="3">
        <v>80.34</v>
      </c>
      <c r="J138" s="3">
        <v>8.33</v>
      </c>
      <c r="K138" s="3">
        <v>12.06</v>
      </c>
      <c r="L138" s="3">
        <v>74.069999999999993</v>
      </c>
      <c r="M138" s="3">
        <v>7.32</v>
      </c>
    </row>
    <row r="139" spans="2:25" x14ac:dyDescent="0.3">
      <c r="B139" s="4">
        <v>20.23</v>
      </c>
      <c r="C139" s="4">
        <v>57.66</v>
      </c>
      <c r="D139" s="4">
        <v>3.79</v>
      </c>
      <c r="E139" s="4">
        <v>23.32</v>
      </c>
      <c r="F139" s="4">
        <v>65.23</v>
      </c>
      <c r="G139" s="4">
        <v>3.45</v>
      </c>
      <c r="H139" s="4">
        <v>24.76</v>
      </c>
      <c r="I139" s="4">
        <v>80.260000000000005</v>
      </c>
      <c r="J139" s="4">
        <v>3.51</v>
      </c>
      <c r="K139" s="4">
        <v>29.34</v>
      </c>
      <c r="L139" s="4">
        <v>80.41</v>
      </c>
      <c r="M139" s="4">
        <v>3.33</v>
      </c>
    </row>
    <row r="140" spans="2:25" x14ac:dyDescent="0.3">
      <c r="B140" s="3">
        <v>15.13</v>
      </c>
      <c r="C140" s="3">
        <v>79.73</v>
      </c>
      <c r="D140" s="3">
        <v>7.74</v>
      </c>
      <c r="E140" s="3">
        <v>15.13</v>
      </c>
      <c r="F140" s="3">
        <v>79.73</v>
      </c>
      <c r="G140" s="3">
        <v>7.74</v>
      </c>
      <c r="H140" s="3">
        <v>15.13</v>
      </c>
      <c r="I140" s="3">
        <v>79.73</v>
      </c>
      <c r="J140" s="3">
        <v>7.74</v>
      </c>
      <c r="K140" s="3">
        <v>15.13</v>
      </c>
      <c r="L140" s="3">
        <v>79.73</v>
      </c>
      <c r="M140" s="3">
        <v>7.74</v>
      </c>
    </row>
    <row r="141" spans="2:25" x14ac:dyDescent="0.3">
      <c r="B141" s="4">
        <v>30.96</v>
      </c>
      <c r="C141" s="4">
        <v>80.44</v>
      </c>
      <c r="D141" s="4">
        <v>5.53</v>
      </c>
      <c r="E141" s="4">
        <v>30.08</v>
      </c>
      <c r="F141" s="4">
        <v>80.41</v>
      </c>
      <c r="G141" s="4">
        <v>5.61</v>
      </c>
      <c r="H141" s="4">
        <v>19.48</v>
      </c>
      <c r="I141" s="4">
        <v>50.15</v>
      </c>
      <c r="J141" s="4">
        <v>6.91</v>
      </c>
      <c r="K141" s="4">
        <v>15.79</v>
      </c>
      <c r="L141" s="4">
        <v>34.909999999999997</v>
      </c>
      <c r="M141" s="4">
        <v>7.87</v>
      </c>
    </row>
    <row r="142" spans="2:25" x14ac:dyDescent="0.3">
      <c r="B142" s="3">
        <v>13.9</v>
      </c>
      <c r="C142" s="3">
        <v>89.38</v>
      </c>
      <c r="D142" s="3">
        <v>6.22</v>
      </c>
      <c r="E142" s="3">
        <v>13.9</v>
      </c>
      <c r="F142" s="3">
        <v>89.38</v>
      </c>
      <c r="G142" s="3">
        <v>6.22</v>
      </c>
      <c r="H142" s="3">
        <v>13.9</v>
      </c>
      <c r="I142" s="3">
        <v>89.38</v>
      </c>
      <c r="J142" s="3">
        <v>6.22</v>
      </c>
      <c r="K142" s="3">
        <v>13.9</v>
      </c>
      <c r="L142" s="3">
        <v>89.38</v>
      </c>
      <c r="M142" s="3">
        <v>6.22</v>
      </c>
    </row>
    <row r="143" spans="2:25" x14ac:dyDescent="0.3">
      <c r="B143" s="4">
        <v>15.33</v>
      </c>
      <c r="C143" s="4">
        <v>19.7</v>
      </c>
      <c r="D143" s="4">
        <v>8.7799999999999994</v>
      </c>
      <c r="E143" s="4">
        <v>5.86</v>
      </c>
      <c r="F143" s="4">
        <v>4.46</v>
      </c>
      <c r="G143" s="4">
        <v>13.11</v>
      </c>
      <c r="H143" s="4">
        <v>11.26</v>
      </c>
      <c r="I143" s="4">
        <v>12.13</v>
      </c>
      <c r="J143" s="4">
        <v>10.23</v>
      </c>
      <c r="K143" s="4">
        <v>11.26</v>
      </c>
      <c r="L143" s="4">
        <v>12.13</v>
      </c>
      <c r="M143" s="4">
        <v>10.23</v>
      </c>
    </row>
    <row r="144" spans="2:25" x14ac:dyDescent="0.3"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3">
      <c r="A145" s="5" t="s">
        <v>39</v>
      </c>
      <c r="B145" s="5">
        <f>AVERAGE(B120:B143)</f>
        <v>25.553750000000004</v>
      </c>
      <c r="C145" s="5">
        <f t="shared" ref="C145:M145" si="7">AVERAGE(C120:C143)</f>
        <v>103.70625000000001</v>
      </c>
      <c r="D145" s="5">
        <f t="shared" si="7"/>
        <v>6.722500000000001</v>
      </c>
      <c r="E145" s="5">
        <f t="shared" si="7"/>
        <v>25.073333333333334</v>
      </c>
      <c r="F145" s="5">
        <f t="shared" si="7"/>
        <v>103.84291666666668</v>
      </c>
      <c r="G145" s="5">
        <f t="shared" si="7"/>
        <v>6.8995833333333323</v>
      </c>
      <c r="H145" s="5">
        <f t="shared" si="7"/>
        <v>24.962500000000002</v>
      </c>
      <c r="I145" s="5">
        <f t="shared" si="7"/>
        <v>99.505833333333371</v>
      </c>
      <c r="J145" s="5">
        <f t="shared" si="7"/>
        <v>6.9775</v>
      </c>
      <c r="K145" s="5">
        <f t="shared" si="7"/>
        <v>24.779583333333331</v>
      </c>
      <c r="L145" s="5">
        <f t="shared" si="7"/>
        <v>98.347083333333345</v>
      </c>
      <c r="M145" s="5">
        <f t="shared" si="7"/>
        <v>7.0320833333333352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3">
      <c r="A146" s="5" t="s">
        <v>35</v>
      </c>
      <c r="B146" s="5">
        <f>AVERAGE(B145,E145,H145,K145)</f>
        <v>25.092291666666668</v>
      </c>
      <c r="C146" s="5">
        <f>AVERAGE(C145,F145,I145,L145)</f>
        <v>101.35052083333335</v>
      </c>
      <c r="D146" s="5">
        <f>AVERAGE(D145,G145,J145,M145)</f>
        <v>6.9079166666666669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3"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x14ac:dyDescent="0.3">
      <c r="A148" t="s">
        <v>28</v>
      </c>
      <c r="B148" s="3">
        <v>18.02</v>
      </c>
      <c r="C148" s="3">
        <v>75.55</v>
      </c>
      <c r="D148" s="3">
        <v>6.14</v>
      </c>
      <c r="E148" s="3">
        <v>19.38</v>
      </c>
      <c r="F148" s="3">
        <v>79.77</v>
      </c>
      <c r="G148" s="3">
        <v>6.18</v>
      </c>
      <c r="H148" s="3">
        <v>17.48</v>
      </c>
      <c r="I148" s="3">
        <v>73.55</v>
      </c>
      <c r="J148" s="3">
        <v>5.89</v>
      </c>
      <c r="K148" s="3">
        <v>21.28</v>
      </c>
      <c r="L148" s="3">
        <v>94.69</v>
      </c>
      <c r="M148" s="3">
        <v>5.63</v>
      </c>
    </row>
    <row r="149" spans="1:25" x14ac:dyDescent="0.3">
      <c r="B149" s="4">
        <v>33.92</v>
      </c>
      <c r="C149" s="4">
        <v>132.22</v>
      </c>
      <c r="D149" s="4">
        <v>3.88</v>
      </c>
      <c r="E149" s="4">
        <v>38.39</v>
      </c>
      <c r="F149" s="4">
        <v>102.2</v>
      </c>
      <c r="G149" s="4">
        <v>3.54</v>
      </c>
      <c r="H149" s="4">
        <v>31.51</v>
      </c>
      <c r="I149" s="4">
        <v>103.21</v>
      </c>
      <c r="J149" s="4">
        <v>4.1399999999999997</v>
      </c>
      <c r="K149" s="4">
        <v>34.630000000000003</v>
      </c>
      <c r="L149" s="4">
        <v>101.48</v>
      </c>
      <c r="M149" s="4">
        <v>4.07</v>
      </c>
    </row>
    <row r="150" spans="1:25" x14ac:dyDescent="0.3">
      <c r="B150" s="3">
        <v>19.22</v>
      </c>
      <c r="C150" s="3">
        <v>65.14</v>
      </c>
      <c r="D150" s="3">
        <v>6.07</v>
      </c>
      <c r="E150" s="3">
        <v>22.14</v>
      </c>
      <c r="F150" s="3">
        <v>95.45</v>
      </c>
      <c r="G150" s="3">
        <v>6.1</v>
      </c>
      <c r="H150" s="3">
        <v>36.76</v>
      </c>
      <c r="I150" s="3">
        <v>140.16</v>
      </c>
      <c r="J150" s="3">
        <v>3.51</v>
      </c>
      <c r="K150" s="3">
        <v>22.14</v>
      </c>
      <c r="L150" s="3">
        <v>64.92</v>
      </c>
      <c r="M150" s="3">
        <v>6.32</v>
      </c>
    </row>
    <row r="151" spans="1:25" x14ac:dyDescent="0.3">
      <c r="B151" s="4">
        <v>30.44</v>
      </c>
      <c r="C151" s="4">
        <v>133.74</v>
      </c>
      <c r="D151" s="4">
        <v>4.4800000000000004</v>
      </c>
      <c r="E151" s="4">
        <v>44.02</v>
      </c>
      <c r="F151" s="4">
        <v>133.24</v>
      </c>
      <c r="G151" s="4">
        <v>3.46</v>
      </c>
      <c r="H151" s="4">
        <v>40.79</v>
      </c>
      <c r="I151" s="4">
        <v>140.4</v>
      </c>
      <c r="J151" s="4">
        <v>3.56</v>
      </c>
      <c r="K151" s="4">
        <v>32.409999999999997</v>
      </c>
      <c r="L151" s="4">
        <v>109.74</v>
      </c>
      <c r="M151" s="4">
        <v>4.54</v>
      </c>
    </row>
    <row r="152" spans="1:25" x14ac:dyDescent="0.3">
      <c r="B152" s="3">
        <v>23.65</v>
      </c>
      <c r="C152" s="3">
        <v>87.45</v>
      </c>
      <c r="D152" s="3">
        <v>5.75</v>
      </c>
      <c r="E152" s="3">
        <v>29.29</v>
      </c>
      <c r="F152" s="3">
        <v>102.58</v>
      </c>
      <c r="G152" s="3">
        <v>5.28</v>
      </c>
      <c r="H152" s="3">
        <v>22.14</v>
      </c>
      <c r="I152" s="3">
        <v>64.72</v>
      </c>
      <c r="J152" s="3">
        <v>6.46</v>
      </c>
      <c r="K152" s="3">
        <v>20.46</v>
      </c>
      <c r="L152" s="3">
        <v>57.37</v>
      </c>
      <c r="M152" s="3">
        <v>6.01</v>
      </c>
    </row>
    <row r="153" spans="1:25" x14ac:dyDescent="0.3">
      <c r="B153" s="4">
        <v>20</v>
      </c>
      <c r="C153" s="4">
        <v>79.64</v>
      </c>
      <c r="D153" s="4">
        <v>5.58</v>
      </c>
      <c r="E153" s="4">
        <v>24.63</v>
      </c>
      <c r="F153" s="4">
        <v>118.76</v>
      </c>
      <c r="G153" s="4">
        <v>4.95</v>
      </c>
      <c r="H153" s="4">
        <v>23.78</v>
      </c>
      <c r="I153" s="4">
        <v>96.11</v>
      </c>
      <c r="J153" s="4">
        <v>4.6399999999999997</v>
      </c>
      <c r="K153" s="4">
        <v>28.93</v>
      </c>
      <c r="L153" s="4">
        <v>94.73</v>
      </c>
      <c r="M153" s="4">
        <v>4.7699999999999996</v>
      </c>
    </row>
    <row r="154" spans="1:25" x14ac:dyDescent="0.3">
      <c r="B154" s="3">
        <v>22.14</v>
      </c>
      <c r="C154" s="3">
        <v>80.36</v>
      </c>
      <c r="D154" s="3">
        <v>5.68</v>
      </c>
      <c r="E154" s="3">
        <v>20.95</v>
      </c>
      <c r="F154" s="3">
        <v>123.38</v>
      </c>
      <c r="G154" s="3">
        <v>5.26</v>
      </c>
      <c r="H154" s="3">
        <v>28.6</v>
      </c>
      <c r="I154" s="3">
        <v>96.12</v>
      </c>
      <c r="J154" s="3">
        <v>4.45</v>
      </c>
      <c r="K154" s="3">
        <v>22.14</v>
      </c>
      <c r="L154" s="3">
        <v>95.28</v>
      </c>
      <c r="M154" s="3">
        <v>6.33</v>
      </c>
    </row>
    <row r="155" spans="1:25" x14ac:dyDescent="0.3">
      <c r="B155" s="4">
        <v>37.9</v>
      </c>
      <c r="C155" s="4">
        <v>139.87</v>
      </c>
      <c r="D155" s="4">
        <v>3.31</v>
      </c>
      <c r="E155" s="4">
        <v>34.71</v>
      </c>
      <c r="F155" s="4">
        <v>117.28</v>
      </c>
      <c r="G155" s="4">
        <v>4.12</v>
      </c>
      <c r="H155" s="4">
        <v>33.479999999999997</v>
      </c>
      <c r="I155" s="4">
        <v>125.5</v>
      </c>
      <c r="J155" s="4">
        <v>3.92</v>
      </c>
      <c r="K155" s="4">
        <v>31.81</v>
      </c>
      <c r="L155" s="4">
        <v>132.28</v>
      </c>
      <c r="M155" s="4">
        <v>4.13</v>
      </c>
    </row>
    <row r="156" spans="1:25" x14ac:dyDescent="0.3">
      <c r="B156" s="3">
        <v>22.14</v>
      </c>
      <c r="C156" s="3">
        <v>80.34</v>
      </c>
      <c r="D156" s="3">
        <v>5.76</v>
      </c>
      <c r="E156" s="3">
        <v>15.44</v>
      </c>
      <c r="F156" s="3">
        <v>64.84</v>
      </c>
      <c r="G156" s="3">
        <v>6.53</v>
      </c>
      <c r="H156" s="3">
        <v>24.11</v>
      </c>
      <c r="I156" s="3">
        <v>79.8</v>
      </c>
      <c r="J156" s="3">
        <v>5.13</v>
      </c>
      <c r="K156" s="3">
        <v>19.73</v>
      </c>
      <c r="L156" s="3">
        <v>57.49</v>
      </c>
      <c r="M156" s="3">
        <v>5.87</v>
      </c>
    </row>
    <row r="157" spans="1:25" x14ac:dyDescent="0.3">
      <c r="B157" s="4">
        <v>26.03</v>
      </c>
      <c r="C157" s="4">
        <v>101.95</v>
      </c>
      <c r="D157" s="4">
        <v>4.83</v>
      </c>
      <c r="E157" s="4">
        <v>35.520000000000003</v>
      </c>
      <c r="F157" s="4">
        <v>134.16999999999999</v>
      </c>
      <c r="G157" s="4">
        <v>4.07</v>
      </c>
      <c r="H157" s="4">
        <v>38.08</v>
      </c>
      <c r="I157" s="4">
        <v>128.49</v>
      </c>
      <c r="J157" s="4">
        <v>3.75</v>
      </c>
      <c r="K157" s="4">
        <v>53.87</v>
      </c>
      <c r="L157" s="4">
        <v>161.99</v>
      </c>
      <c r="M157" s="4">
        <v>3.16</v>
      </c>
    </row>
    <row r="158" spans="1:25" x14ac:dyDescent="0.3">
      <c r="B158" s="3">
        <v>33.1</v>
      </c>
      <c r="C158" s="3">
        <v>102.23</v>
      </c>
      <c r="D158" s="3">
        <v>4.6900000000000004</v>
      </c>
      <c r="E158" s="3">
        <v>25.59</v>
      </c>
      <c r="F158" s="3">
        <v>109.69</v>
      </c>
      <c r="G158" s="3">
        <v>5.09</v>
      </c>
      <c r="H158" s="3">
        <v>23.3</v>
      </c>
      <c r="I158" s="3">
        <v>102.71</v>
      </c>
      <c r="J158" s="3">
        <v>5.38</v>
      </c>
      <c r="K158" s="3">
        <v>22.46</v>
      </c>
      <c r="L158" s="3">
        <v>72.290000000000006</v>
      </c>
      <c r="M158" s="3">
        <v>5.57</v>
      </c>
    </row>
    <row r="159" spans="1:25" x14ac:dyDescent="0.3">
      <c r="B159" s="4">
        <v>23.21</v>
      </c>
      <c r="C159" s="4">
        <v>117.3</v>
      </c>
      <c r="D159" s="4">
        <v>4.82</v>
      </c>
      <c r="E159" s="4">
        <v>26.14</v>
      </c>
      <c r="F159" s="4">
        <v>109.4</v>
      </c>
      <c r="G159" s="4">
        <v>4.71</v>
      </c>
      <c r="H159" s="4">
        <v>28.42</v>
      </c>
      <c r="I159" s="4">
        <v>132.22</v>
      </c>
      <c r="J159" s="4">
        <v>5.13</v>
      </c>
      <c r="K159" s="4">
        <v>22.88</v>
      </c>
      <c r="L159" s="4">
        <v>118.13</v>
      </c>
      <c r="M159" s="4">
        <v>5.27</v>
      </c>
    </row>
    <row r="160" spans="1:25" x14ac:dyDescent="0.3">
      <c r="B160" s="3">
        <v>14.29</v>
      </c>
      <c r="C160" s="3">
        <v>44.18</v>
      </c>
      <c r="D160" s="3">
        <v>8.02</v>
      </c>
      <c r="E160" s="3">
        <v>22.14</v>
      </c>
      <c r="F160" s="3">
        <v>119.26</v>
      </c>
      <c r="G160" s="3">
        <v>7.65</v>
      </c>
      <c r="H160" s="3">
        <v>14.29</v>
      </c>
      <c r="I160" s="3">
        <v>244.95</v>
      </c>
      <c r="J160" s="3">
        <v>8.4499999999999993</v>
      </c>
      <c r="K160" s="3">
        <v>14.29</v>
      </c>
      <c r="L160" s="3">
        <v>248.45</v>
      </c>
      <c r="M160" s="3">
        <v>9.2899999999999991</v>
      </c>
    </row>
    <row r="161" spans="1:13" x14ac:dyDescent="0.3">
      <c r="B161" s="4">
        <v>19.88</v>
      </c>
      <c r="C161" s="4">
        <v>134.54</v>
      </c>
      <c r="D161" s="4">
        <v>5.19</v>
      </c>
      <c r="E161" s="4">
        <v>22.26</v>
      </c>
      <c r="F161" s="4">
        <v>128.03</v>
      </c>
      <c r="G161" s="4">
        <v>4.67</v>
      </c>
      <c r="H161" s="4">
        <v>18.22</v>
      </c>
      <c r="I161" s="4">
        <v>244.95</v>
      </c>
      <c r="J161" s="4">
        <v>5.31</v>
      </c>
      <c r="K161" s="4">
        <v>19.29</v>
      </c>
      <c r="L161" s="4">
        <v>256.16000000000003</v>
      </c>
      <c r="M161" s="4">
        <v>5.08</v>
      </c>
    </row>
    <row r="162" spans="1:13" x14ac:dyDescent="0.3">
      <c r="B162" s="3">
        <v>14.29</v>
      </c>
      <c r="C162" s="3">
        <v>134.31</v>
      </c>
      <c r="D162" s="3">
        <v>6.9</v>
      </c>
      <c r="E162" s="3">
        <v>14.29</v>
      </c>
      <c r="F162" s="3">
        <v>134.19</v>
      </c>
      <c r="G162" s="3">
        <v>6.39</v>
      </c>
      <c r="H162" s="3">
        <v>20.89</v>
      </c>
      <c r="I162" s="3">
        <v>142.29</v>
      </c>
      <c r="J162" s="3">
        <v>5.26</v>
      </c>
      <c r="K162" s="3">
        <v>22.14</v>
      </c>
      <c r="L162" s="3">
        <v>115.76</v>
      </c>
      <c r="M162" s="3">
        <v>5.74</v>
      </c>
    </row>
    <row r="163" spans="1:13" x14ac:dyDescent="0.3">
      <c r="B163" s="4">
        <v>18.489999999999998</v>
      </c>
      <c r="C163" s="4">
        <v>134.57</v>
      </c>
      <c r="D163" s="4">
        <v>5.54</v>
      </c>
      <c r="E163" s="4">
        <v>24.98</v>
      </c>
      <c r="F163" s="4">
        <v>263.64</v>
      </c>
      <c r="G163" s="4">
        <v>4.84</v>
      </c>
      <c r="H163" s="4">
        <v>20.6</v>
      </c>
      <c r="I163" s="4">
        <v>142.03</v>
      </c>
      <c r="J163" s="4">
        <v>4.99</v>
      </c>
      <c r="K163" s="4">
        <v>19.75</v>
      </c>
      <c r="L163" s="4">
        <v>142.12</v>
      </c>
      <c r="M163" s="4">
        <v>5.15</v>
      </c>
    </row>
    <row r="164" spans="1:13" x14ac:dyDescent="0.3">
      <c r="B164" s="3">
        <v>13.21</v>
      </c>
      <c r="C164" s="3">
        <v>143.56</v>
      </c>
      <c r="D164" s="3">
        <v>7.11</v>
      </c>
      <c r="E164" s="3">
        <v>16.23</v>
      </c>
      <c r="F164" s="3">
        <v>126.81</v>
      </c>
      <c r="G164" s="3">
        <v>6.58</v>
      </c>
      <c r="H164" s="3">
        <v>22.14</v>
      </c>
      <c r="I164" s="3">
        <v>156.97999999999999</v>
      </c>
      <c r="J164" s="3">
        <v>8.39</v>
      </c>
      <c r="K164" s="3">
        <v>22.14</v>
      </c>
      <c r="L164" s="3">
        <v>116.28</v>
      </c>
      <c r="M164" s="3">
        <v>7.4</v>
      </c>
    </row>
    <row r="165" spans="1:13" x14ac:dyDescent="0.3">
      <c r="B165" s="4">
        <v>19.88</v>
      </c>
      <c r="C165" s="4">
        <v>157.31</v>
      </c>
      <c r="D165" s="4">
        <v>6.04</v>
      </c>
      <c r="E165" s="4">
        <v>19.809999999999999</v>
      </c>
      <c r="F165" s="4">
        <v>248.45</v>
      </c>
      <c r="G165" s="4">
        <v>5.01</v>
      </c>
      <c r="H165" s="4">
        <v>19.88</v>
      </c>
      <c r="I165" s="4">
        <v>134.19</v>
      </c>
      <c r="J165" s="4">
        <v>5.47</v>
      </c>
      <c r="K165" s="4">
        <v>20.23</v>
      </c>
      <c r="L165" s="4">
        <v>145.72</v>
      </c>
      <c r="M165" s="4">
        <v>5.24</v>
      </c>
    </row>
    <row r="166" spans="1:13" x14ac:dyDescent="0.3">
      <c r="B166" s="3">
        <v>14.29</v>
      </c>
      <c r="C166" s="3">
        <v>142.99</v>
      </c>
      <c r="D166" s="3">
        <v>5.72</v>
      </c>
      <c r="E166" s="3">
        <v>22.14</v>
      </c>
      <c r="F166" s="3">
        <v>248.45</v>
      </c>
      <c r="G166" s="3">
        <v>6.05</v>
      </c>
      <c r="H166" s="3">
        <v>22.14</v>
      </c>
      <c r="I166" s="3">
        <v>119.26</v>
      </c>
      <c r="J166" s="3">
        <v>6.21</v>
      </c>
      <c r="K166" s="3">
        <v>13.34</v>
      </c>
      <c r="L166" s="3">
        <v>134.19</v>
      </c>
      <c r="M166" s="3">
        <v>6.33</v>
      </c>
    </row>
    <row r="167" spans="1:13" x14ac:dyDescent="0.3">
      <c r="B167" s="4">
        <v>17.95</v>
      </c>
      <c r="C167" s="4">
        <v>157.30000000000001</v>
      </c>
      <c r="D167" s="4">
        <v>5.23</v>
      </c>
      <c r="E167" s="4">
        <v>20.7</v>
      </c>
      <c r="F167" s="4">
        <v>134.32</v>
      </c>
      <c r="G167" s="4">
        <v>5.07</v>
      </c>
      <c r="H167" s="4">
        <v>18.63</v>
      </c>
      <c r="I167" s="4">
        <v>119.26</v>
      </c>
      <c r="J167" s="4">
        <v>5.14</v>
      </c>
      <c r="K167" s="4">
        <v>19.88</v>
      </c>
      <c r="L167" s="4">
        <v>155.74</v>
      </c>
      <c r="M167" s="4">
        <v>5.61</v>
      </c>
    </row>
    <row r="168" spans="1:13" x14ac:dyDescent="0.3">
      <c r="B168" s="3">
        <v>21.61</v>
      </c>
      <c r="C168" s="3">
        <v>141.82</v>
      </c>
      <c r="D168" s="3">
        <v>5.6</v>
      </c>
      <c r="E168" s="3">
        <v>14.29</v>
      </c>
      <c r="F168" s="3">
        <v>141.77000000000001</v>
      </c>
      <c r="G168" s="3">
        <v>6.98</v>
      </c>
      <c r="H168" s="3">
        <v>18.77</v>
      </c>
      <c r="I168" s="3">
        <v>128.28</v>
      </c>
      <c r="J168" s="3">
        <v>5.75</v>
      </c>
      <c r="K168" s="3">
        <v>22.14</v>
      </c>
      <c r="L168" s="3">
        <v>134.78</v>
      </c>
      <c r="M168" s="3">
        <v>5.77</v>
      </c>
    </row>
    <row r="169" spans="1:13" x14ac:dyDescent="0.3">
      <c r="B169" s="4">
        <v>19.88</v>
      </c>
      <c r="C169" s="4">
        <v>134.76</v>
      </c>
      <c r="D169" s="4">
        <v>6.24</v>
      </c>
      <c r="E169" s="4">
        <v>24.38</v>
      </c>
      <c r="F169" s="4">
        <v>146.55000000000001</v>
      </c>
      <c r="G169" s="4">
        <v>4.6500000000000004</v>
      </c>
      <c r="H169" s="4">
        <v>23.18</v>
      </c>
      <c r="I169" s="4">
        <v>212.62</v>
      </c>
      <c r="J169" s="4">
        <v>5.01</v>
      </c>
      <c r="K169" s="4">
        <v>30.84</v>
      </c>
      <c r="L169" s="4">
        <v>264.01</v>
      </c>
      <c r="M169" s="4">
        <v>4.1399999999999997</v>
      </c>
    </row>
    <row r="170" spans="1:13" x14ac:dyDescent="0.3">
      <c r="B170" s="3">
        <v>18.55</v>
      </c>
      <c r="C170" s="3">
        <v>248.45</v>
      </c>
      <c r="D170" s="3">
        <v>6.1</v>
      </c>
      <c r="E170" s="3">
        <v>18.34</v>
      </c>
      <c r="F170" s="3">
        <v>134.81</v>
      </c>
      <c r="G170" s="3">
        <v>5.34</v>
      </c>
      <c r="H170" s="3">
        <v>22.14</v>
      </c>
      <c r="I170" s="3">
        <v>119.26</v>
      </c>
      <c r="J170" s="3">
        <v>6.03</v>
      </c>
      <c r="K170" s="3">
        <v>22.14</v>
      </c>
      <c r="L170" s="3">
        <v>155.51</v>
      </c>
      <c r="M170" s="3">
        <v>6.29</v>
      </c>
    </row>
    <row r="171" spans="1:13" x14ac:dyDescent="0.3">
      <c r="B171" s="4">
        <v>17.18</v>
      </c>
      <c r="C171" s="4">
        <v>123.26</v>
      </c>
      <c r="D171" s="4">
        <v>5.15</v>
      </c>
      <c r="E171" s="4">
        <v>19.88</v>
      </c>
      <c r="F171" s="4">
        <v>153.68</v>
      </c>
      <c r="G171" s="4">
        <v>5.6</v>
      </c>
      <c r="H171" s="4">
        <v>19.96</v>
      </c>
      <c r="I171" s="4">
        <v>153.68</v>
      </c>
      <c r="J171" s="4">
        <v>5.37</v>
      </c>
      <c r="K171" s="4">
        <v>17.05</v>
      </c>
      <c r="L171" s="4">
        <v>164.48</v>
      </c>
      <c r="M171" s="4">
        <v>5.76</v>
      </c>
    </row>
    <row r="173" spans="1:13" x14ac:dyDescent="0.3">
      <c r="A173" s="5" t="s">
        <v>39</v>
      </c>
      <c r="B173" s="5">
        <f>AVERAGE(B148:B171)</f>
        <v>21.63625</v>
      </c>
      <c r="C173" s="5">
        <f t="shared" ref="C173:M173" si="8">AVERAGE(C148:C171)</f>
        <v>120.53500000000001</v>
      </c>
      <c r="D173" s="5">
        <f t="shared" si="8"/>
        <v>5.5762500000000008</v>
      </c>
      <c r="E173" s="5">
        <f t="shared" si="8"/>
        <v>23.984999999999999</v>
      </c>
      <c r="F173" s="5">
        <f t="shared" si="8"/>
        <v>136.28</v>
      </c>
      <c r="G173" s="5">
        <f t="shared" si="8"/>
        <v>5.3383333333333347</v>
      </c>
      <c r="H173" s="5">
        <f t="shared" si="8"/>
        <v>24.553749999999997</v>
      </c>
      <c r="I173" s="5">
        <f t="shared" si="8"/>
        <v>133.3641666666667</v>
      </c>
      <c r="J173" s="5">
        <f t="shared" si="8"/>
        <v>5.3058333333333341</v>
      </c>
      <c r="K173" s="5">
        <f t="shared" si="8"/>
        <v>23.998749999999998</v>
      </c>
      <c r="L173" s="5">
        <f t="shared" si="8"/>
        <v>133.06625000000003</v>
      </c>
      <c r="M173" s="5">
        <f t="shared" si="8"/>
        <v>5.5612500000000002</v>
      </c>
    </row>
    <row r="174" spans="1:13" x14ac:dyDescent="0.3">
      <c r="A174" s="5" t="s">
        <v>35</v>
      </c>
      <c r="B174" s="5">
        <f>AVERAGE(B173,E173,H173,K173)</f>
        <v>23.5434375</v>
      </c>
      <c r="C174" s="5">
        <f>AVERAGE(C173,F173,I173,L173)</f>
        <v>130.81135416666666</v>
      </c>
      <c r="D174" s="5">
        <f>AVERAGE(D173,G173,J173,M173)</f>
        <v>5.4454166666666683</v>
      </c>
    </row>
    <row r="176" spans="1:13" x14ac:dyDescent="0.3">
      <c r="B176" s="38" t="s">
        <v>4</v>
      </c>
      <c r="C176" s="38"/>
      <c r="D176" s="38"/>
      <c r="E176" s="38"/>
    </row>
    <row r="178" spans="2:13" x14ac:dyDescent="0.3">
      <c r="B178" s="39" t="s">
        <v>17</v>
      </c>
      <c r="C178" s="39"/>
      <c r="D178" s="39"/>
      <c r="E178" s="40" t="s">
        <v>18</v>
      </c>
      <c r="F178" s="40"/>
      <c r="G178" s="40"/>
      <c r="H178" s="41" t="s">
        <v>19</v>
      </c>
      <c r="I178" s="41"/>
      <c r="J178" s="41"/>
      <c r="K178" s="42" t="s">
        <v>20</v>
      </c>
      <c r="L178" s="42"/>
      <c r="M178" s="42"/>
    </row>
    <row r="179" spans="2:13" x14ac:dyDescent="0.3">
      <c r="B179" s="1" t="s">
        <v>21</v>
      </c>
      <c r="C179" s="1" t="s">
        <v>22</v>
      </c>
      <c r="D179" s="1" t="s">
        <v>23</v>
      </c>
      <c r="E179" s="1" t="s">
        <v>21</v>
      </c>
      <c r="F179" s="1" t="s">
        <v>22</v>
      </c>
      <c r="G179" s="1" t="s">
        <v>23</v>
      </c>
      <c r="H179" s="1" t="s">
        <v>21</v>
      </c>
      <c r="I179" s="1" t="s">
        <v>22</v>
      </c>
      <c r="J179" s="1" t="s">
        <v>23</v>
      </c>
      <c r="K179" s="1" t="s">
        <v>21</v>
      </c>
      <c r="L179" s="1" t="s">
        <v>22</v>
      </c>
      <c r="M179" s="1" t="s">
        <v>23</v>
      </c>
    </row>
    <row r="180" spans="2:13" x14ac:dyDescent="0.3">
      <c r="B180" s="3">
        <v>26.66</v>
      </c>
      <c r="C180" s="3">
        <v>108.93</v>
      </c>
      <c r="D180" s="3">
        <v>4.29</v>
      </c>
      <c r="E180" s="3">
        <v>25.87</v>
      </c>
      <c r="F180" s="3">
        <v>94.12</v>
      </c>
      <c r="G180" s="3">
        <v>4.8600000000000003</v>
      </c>
      <c r="H180" s="3">
        <v>21.32</v>
      </c>
      <c r="I180" s="3">
        <v>79.48</v>
      </c>
      <c r="J180" s="3">
        <v>5.09</v>
      </c>
      <c r="K180" s="3">
        <v>22.68</v>
      </c>
      <c r="L180" s="3">
        <v>101.44</v>
      </c>
      <c r="M180" s="3">
        <v>4.84</v>
      </c>
    </row>
    <row r="181" spans="2:13" x14ac:dyDescent="0.3">
      <c r="B181" s="4">
        <v>55.19</v>
      </c>
      <c r="C181" s="4">
        <v>148.49</v>
      </c>
      <c r="D181" s="4">
        <v>2.4500000000000002</v>
      </c>
      <c r="E181" s="4">
        <v>46.45</v>
      </c>
      <c r="F181" s="4">
        <v>161.47</v>
      </c>
      <c r="G181" s="4">
        <v>2.63</v>
      </c>
      <c r="H181" s="4">
        <v>57.4</v>
      </c>
      <c r="I181" s="4">
        <v>161.91999999999999</v>
      </c>
      <c r="J181" s="4">
        <v>2.37</v>
      </c>
      <c r="K181" s="4">
        <v>50.5</v>
      </c>
      <c r="L181" s="4">
        <v>180.57</v>
      </c>
      <c r="M181" s="4">
        <v>2.2999999999999998</v>
      </c>
    </row>
    <row r="182" spans="2:13" x14ac:dyDescent="0.3">
      <c r="B182" s="3">
        <v>43.51</v>
      </c>
      <c r="C182" s="3">
        <v>222.1</v>
      </c>
      <c r="D182" s="3">
        <v>2.48</v>
      </c>
      <c r="E182" s="3">
        <v>50.18</v>
      </c>
      <c r="F182" s="3">
        <v>206.95</v>
      </c>
      <c r="G182" s="3">
        <v>2.4700000000000002</v>
      </c>
      <c r="H182" s="3">
        <v>46.05</v>
      </c>
      <c r="I182" s="3">
        <v>221.88</v>
      </c>
      <c r="J182" s="3">
        <v>2.38</v>
      </c>
      <c r="K182" s="3">
        <v>54.21</v>
      </c>
      <c r="L182" s="3">
        <v>237.43</v>
      </c>
      <c r="M182" s="3">
        <v>2.04</v>
      </c>
    </row>
    <row r="183" spans="2:13" x14ac:dyDescent="0.3">
      <c r="B183" s="4">
        <v>85.87</v>
      </c>
      <c r="C183" s="4">
        <v>236.43</v>
      </c>
      <c r="D183" s="4">
        <v>1.56</v>
      </c>
      <c r="E183" s="4">
        <v>83.78</v>
      </c>
      <c r="F183" s="4">
        <v>219.16</v>
      </c>
      <c r="G183" s="4">
        <v>1.55</v>
      </c>
      <c r="H183" s="4">
        <v>86.49</v>
      </c>
      <c r="I183" s="4">
        <v>225.38</v>
      </c>
      <c r="J183" s="4">
        <v>1.48</v>
      </c>
      <c r="K183" s="4">
        <v>87.14</v>
      </c>
      <c r="L183" s="4">
        <v>250</v>
      </c>
      <c r="M183" s="4">
        <v>1.41</v>
      </c>
    </row>
    <row r="184" spans="2:13" x14ac:dyDescent="0.3">
      <c r="B184" s="3">
        <v>87.78</v>
      </c>
      <c r="C184" s="3">
        <v>250</v>
      </c>
      <c r="D184" s="3">
        <v>1.4</v>
      </c>
      <c r="E184" s="3">
        <v>83.4</v>
      </c>
      <c r="F184" s="3">
        <v>250</v>
      </c>
      <c r="G184" s="3">
        <v>1.4</v>
      </c>
      <c r="H184" s="3">
        <v>79.599999999999994</v>
      </c>
      <c r="I184" s="3">
        <v>250</v>
      </c>
      <c r="J184" s="3">
        <v>1.5</v>
      </c>
      <c r="K184" s="3">
        <v>82.45</v>
      </c>
      <c r="L184" s="3">
        <v>250</v>
      </c>
      <c r="M184" s="3">
        <v>1.45</v>
      </c>
    </row>
    <row r="185" spans="2:13" x14ac:dyDescent="0.3">
      <c r="B185" s="4">
        <v>95.02</v>
      </c>
      <c r="C185" s="4">
        <v>250</v>
      </c>
      <c r="D185" s="4">
        <v>1.38</v>
      </c>
      <c r="E185" s="4">
        <v>97.24</v>
      </c>
      <c r="F185" s="4">
        <v>250</v>
      </c>
      <c r="G185" s="4">
        <v>1.33</v>
      </c>
      <c r="H185" s="4">
        <v>93.98</v>
      </c>
      <c r="I185" s="4">
        <v>250</v>
      </c>
      <c r="J185" s="4">
        <v>1.39</v>
      </c>
      <c r="K185" s="4">
        <v>90.4</v>
      </c>
      <c r="L185" s="4">
        <v>250</v>
      </c>
      <c r="M185" s="4">
        <v>1.46</v>
      </c>
    </row>
    <row r="186" spans="2:13" x14ac:dyDescent="0.3">
      <c r="B186" s="3">
        <v>100.13</v>
      </c>
      <c r="C186" s="3">
        <v>250</v>
      </c>
      <c r="D186" s="3">
        <v>1.36</v>
      </c>
      <c r="E186" s="3">
        <v>100.99</v>
      </c>
      <c r="F186" s="3">
        <v>250</v>
      </c>
      <c r="G186" s="3">
        <v>1.23</v>
      </c>
      <c r="H186" s="3">
        <v>103.25</v>
      </c>
      <c r="I186" s="3">
        <v>250</v>
      </c>
      <c r="J186" s="3">
        <v>1.29</v>
      </c>
      <c r="K186" s="3">
        <v>99.63</v>
      </c>
      <c r="L186" s="3">
        <v>250</v>
      </c>
      <c r="M186" s="3">
        <v>1.35</v>
      </c>
    </row>
    <row r="187" spans="2:13" x14ac:dyDescent="0.3">
      <c r="B187" s="4">
        <v>116.15</v>
      </c>
      <c r="C187" s="4">
        <v>250</v>
      </c>
      <c r="D187" s="4">
        <v>1.18</v>
      </c>
      <c r="E187" s="4">
        <v>112.16</v>
      </c>
      <c r="F187" s="4">
        <v>250</v>
      </c>
      <c r="G187" s="4">
        <v>1.25</v>
      </c>
      <c r="H187" s="4">
        <v>119.59</v>
      </c>
      <c r="I187" s="4">
        <v>250</v>
      </c>
      <c r="J187" s="4">
        <v>1.1000000000000001</v>
      </c>
      <c r="K187" s="4">
        <v>115.88</v>
      </c>
      <c r="L187" s="4">
        <v>250</v>
      </c>
      <c r="M187" s="4">
        <v>1.17</v>
      </c>
    </row>
    <row r="188" spans="2:13" x14ac:dyDescent="0.3">
      <c r="B188" s="3">
        <v>139.34</v>
      </c>
      <c r="C188" s="3">
        <v>250</v>
      </c>
      <c r="D188" s="3">
        <v>1.03</v>
      </c>
      <c r="E188" s="3">
        <v>121.88</v>
      </c>
      <c r="F188" s="3">
        <v>250</v>
      </c>
      <c r="G188" s="3">
        <v>1.26</v>
      </c>
      <c r="H188" s="3">
        <v>123.29</v>
      </c>
      <c r="I188" s="3">
        <v>250</v>
      </c>
      <c r="J188" s="3">
        <v>1.22</v>
      </c>
      <c r="K188" s="3">
        <v>130.81</v>
      </c>
      <c r="L188" s="3">
        <v>250</v>
      </c>
      <c r="M188" s="3">
        <v>1.1299999999999999</v>
      </c>
    </row>
    <row r="189" spans="2:13" x14ac:dyDescent="0.3">
      <c r="B189" s="4">
        <v>115.06</v>
      </c>
      <c r="C189" s="4">
        <v>250</v>
      </c>
      <c r="D189" s="4">
        <v>1.22</v>
      </c>
      <c r="E189" s="4">
        <v>115.46</v>
      </c>
      <c r="F189" s="4">
        <v>250</v>
      </c>
      <c r="G189" s="4">
        <v>1.1499999999999999</v>
      </c>
      <c r="H189" s="4">
        <v>108.58</v>
      </c>
      <c r="I189" s="4">
        <v>250</v>
      </c>
      <c r="J189" s="4">
        <v>1.29</v>
      </c>
      <c r="K189" s="4">
        <v>111.22</v>
      </c>
      <c r="L189" s="4">
        <v>250</v>
      </c>
      <c r="M189" s="4">
        <v>1.19</v>
      </c>
    </row>
    <row r="190" spans="2:13" x14ac:dyDescent="0.3">
      <c r="B190" s="3">
        <v>91.69</v>
      </c>
      <c r="C190" s="3">
        <v>250</v>
      </c>
      <c r="D190" s="3">
        <v>1.51</v>
      </c>
      <c r="E190" s="3">
        <v>97.08</v>
      </c>
      <c r="F190" s="3">
        <v>250</v>
      </c>
      <c r="G190" s="3">
        <v>1.35</v>
      </c>
      <c r="H190" s="3">
        <v>104.45</v>
      </c>
      <c r="I190" s="3">
        <v>250</v>
      </c>
      <c r="J190" s="3">
        <v>1.3</v>
      </c>
      <c r="K190" s="3">
        <v>95.52</v>
      </c>
      <c r="L190" s="3">
        <v>250</v>
      </c>
      <c r="M190" s="3">
        <v>1.35</v>
      </c>
    </row>
    <row r="191" spans="2:13" x14ac:dyDescent="0.3">
      <c r="B191" s="4">
        <v>90.99</v>
      </c>
      <c r="C191" s="4">
        <v>250</v>
      </c>
      <c r="D191" s="4">
        <v>1.38</v>
      </c>
      <c r="E191" s="4">
        <v>85.64</v>
      </c>
      <c r="F191" s="4">
        <v>250</v>
      </c>
      <c r="G191" s="4">
        <v>1.5</v>
      </c>
      <c r="H191" s="4">
        <v>92.56</v>
      </c>
      <c r="I191" s="4">
        <v>250</v>
      </c>
      <c r="J191" s="4">
        <v>1.32</v>
      </c>
      <c r="K191" s="4">
        <v>91.28</v>
      </c>
      <c r="L191" s="4">
        <v>250</v>
      </c>
      <c r="M191" s="4">
        <v>1.34</v>
      </c>
    </row>
    <row r="192" spans="2:13" x14ac:dyDescent="0.3">
      <c r="B192" s="3">
        <v>19.2</v>
      </c>
      <c r="C192" s="3">
        <v>87.43</v>
      </c>
      <c r="D192" s="3">
        <v>4.0599999999999996</v>
      </c>
      <c r="E192" s="3">
        <v>19.04</v>
      </c>
      <c r="F192" s="3">
        <v>72.069999999999993</v>
      </c>
      <c r="G192" s="3">
        <v>4.53</v>
      </c>
      <c r="H192" s="3">
        <v>14.55</v>
      </c>
      <c r="I192" s="3">
        <v>79.81</v>
      </c>
      <c r="J192" s="3">
        <v>4.8</v>
      </c>
      <c r="K192" s="3">
        <v>18.18</v>
      </c>
      <c r="L192" s="3">
        <v>80.78</v>
      </c>
      <c r="M192" s="3">
        <v>4.22</v>
      </c>
    </row>
    <row r="193" spans="2:13" x14ac:dyDescent="0.3">
      <c r="B193" s="4">
        <v>48.85</v>
      </c>
      <c r="C193" s="4">
        <v>139.24</v>
      </c>
      <c r="D193" s="4">
        <v>2.31</v>
      </c>
      <c r="E193" s="4">
        <v>43.34</v>
      </c>
      <c r="F193" s="4">
        <v>147.80000000000001</v>
      </c>
      <c r="G193" s="4">
        <v>2.08</v>
      </c>
      <c r="H193" s="4">
        <v>42.88</v>
      </c>
      <c r="I193" s="4">
        <v>141.25</v>
      </c>
      <c r="J193" s="4">
        <v>2.44</v>
      </c>
      <c r="K193" s="4">
        <v>48.75</v>
      </c>
      <c r="L193" s="4">
        <v>160.58000000000001</v>
      </c>
      <c r="M193" s="4">
        <v>1.45</v>
      </c>
    </row>
    <row r="194" spans="2:13" x14ac:dyDescent="0.3">
      <c r="B194" s="3">
        <v>39.29</v>
      </c>
      <c r="C194" s="3">
        <v>214.63</v>
      </c>
      <c r="D194" s="3">
        <v>2.12</v>
      </c>
      <c r="E194" s="3">
        <v>41.48</v>
      </c>
      <c r="F194" s="3">
        <v>192.34</v>
      </c>
      <c r="G194" s="3">
        <v>2.2599999999999998</v>
      </c>
      <c r="H194" s="3">
        <v>41.61</v>
      </c>
      <c r="I194" s="3">
        <v>207.21</v>
      </c>
      <c r="J194" s="3">
        <v>2.1</v>
      </c>
      <c r="K194" s="3">
        <v>44.46</v>
      </c>
      <c r="L194" s="3">
        <v>215.12</v>
      </c>
      <c r="M194" s="3">
        <v>2.14</v>
      </c>
    </row>
    <row r="195" spans="2:13" x14ac:dyDescent="0.3">
      <c r="B195" s="4">
        <v>86.34</v>
      </c>
      <c r="C195" s="4">
        <v>233.03</v>
      </c>
      <c r="D195" s="4">
        <v>1.0900000000000001</v>
      </c>
      <c r="E195" s="4">
        <v>84.4</v>
      </c>
      <c r="F195" s="4">
        <v>222.15</v>
      </c>
      <c r="G195" s="4">
        <v>1.24</v>
      </c>
      <c r="H195" s="4">
        <v>75.540000000000006</v>
      </c>
      <c r="I195" s="4">
        <v>229.33</v>
      </c>
      <c r="J195" s="4">
        <v>1.29</v>
      </c>
      <c r="K195" s="4">
        <v>85.34</v>
      </c>
      <c r="L195" s="4">
        <v>242.55</v>
      </c>
      <c r="M195" s="4">
        <v>1.01</v>
      </c>
    </row>
    <row r="196" spans="2:13" x14ac:dyDescent="0.3">
      <c r="B196" s="3">
        <v>84.63</v>
      </c>
      <c r="C196" s="3">
        <v>250</v>
      </c>
      <c r="D196" s="3">
        <v>1.25</v>
      </c>
      <c r="E196" s="3">
        <v>80.099999999999994</v>
      </c>
      <c r="F196" s="3">
        <v>250</v>
      </c>
      <c r="G196" s="3">
        <v>1.27</v>
      </c>
      <c r="H196" s="3">
        <v>83.11</v>
      </c>
      <c r="I196" s="3">
        <v>250</v>
      </c>
      <c r="J196" s="3">
        <v>1.1000000000000001</v>
      </c>
      <c r="K196" s="3">
        <v>79.98</v>
      </c>
      <c r="L196" s="3">
        <v>250</v>
      </c>
      <c r="M196" s="3">
        <v>1.3</v>
      </c>
    </row>
    <row r="197" spans="2:13" x14ac:dyDescent="0.3">
      <c r="B197" s="4">
        <v>100.98</v>
      </c>
      <c r="C197" s="4">
        <v>250</v>
      </c>
      <c r="D197" s="4">
        <v>1.02</v>
      </c>
      <c r="E197" s="4">
        <v>97.23</v>
      </c>
      <c r="F197" s="4">
        <v>250</v>
      </c>
      <c r="G197" s="4">
        <v>1.1100000000000001</v>
      </c>
      <c r="H197" s="4">
        <v>90.56</v>
      </c>
      <c r="I197" s="4">
        <v>250</v>
      </c>
      <c r="J197" s="4">
        <v>1.1100000000000001</v>
      </c>
      <c r="K197" s="4">
        <v>83.2</v>
      </c>
      <c r="L197" s="4">
        <v>250</v>
      </c>
      <c r="M197" s="4">
        <v>1.36</v>
      </c>
    </row>
    <row r="198" spans="2:13" x14ac:dyDescent="0.3">
      <c r="B198" s="3">
        <v>105.15</v>
      </c>
      <c r="C198" s="3">
        <v>250</v>
      </c>
      <c r="D198" s="3">
        <v>1.1599999999999999</v>
      </c>
      <c r="E198" s="3">
        <v>108.84</v>
      </c>
      <c r="F198" s="3">
        <v>250</v>
      </c>
      <c r="G198" s="3">
        <v>0.85</v>
      </c>
      <c r="H198" s="3">
        <v>117.82</v>
      </c>
      <c r="I198" s="3">
        <v>250</v>
      </c>
      <c r="J198" s="3">
        <v>0.86</v>
      </c>
      <c r="K198" s="3">
        <v>102.55</v>
      </c>
      <c r="L198" s="3">
        <v>250</v>
      </c>
      <c r="M198" s="3">
        <v>1.1200000000000001</v>
      </c>
    </row>
    <row r="199" spans="2:13" x14ac:dyDescent="0.3">
      <c r="B199" s="4">
        <v>117.68</v>
      </c>
      <c r="C199" s="4">
        <v>250</v>
      </c>
      <c r="D199" s="4">
        <v>0.85</v>
      </c>
      <c r="E199" s="4">
        <v>115.91</v>
      </c>
      <c r="F199" s="4">
        <v>250</v>
      </c>
      <c r="G199" s="4">
        <v>0.95</v>
      </c>
      <c r="H199" s="4">
        <v>108.61</v>
      </c>
      <c r="I199" s="4">
        <v>250</v>
      </c>
      <c r="J199" s="4">
        <v>1.03</v>
      </c>
      <c r="K199" s="4">
        <v>130.32</v>
      </c>
      <c r="L199" s="4">
        <v>250</v>
      </c>
      <c r="M199" s="4">
        <v>0.61</v>
      </c>
    </row>
    <row r="200" spans="2:13" x14ac:dyDescent="0.3">
      <c r="B200" s="3">
        <v>133.68</v>
      </c>
      <c r="C200" s="3">
        <v>250</v>
      </c>
      <c r="D200" s="3">
        <v>0.71</v>
      </c>
      <c r="E200" s="3">
        <v>167.55</v>
      </c>
      <c r="F200" s="3">
        <v>250</v>
      </c>
      <c r="G200" s="3">
        <v>0.47</v>
      </c>
      <c r="H200" s="3">
        <v>154.21</v>
      </c>
      <c r="I200" s="3">
        <v>250</v>
      </c>
      <c r="J200" s="3">
        <v>0.43</v>
      </c>
      <c r="K200" s="3">
        <v>129.43</v>
      </c>
      <c r="L200" s="3">
        <v>250</v>
      </c>
      <c r="M200" s="3">
        <v>0.86</v>
      </c>
    </row>
    <row r="201" spans="2:13" x14ac:dyDescent="0.3">
      <c r="B201" s="4">
        <v>116.67</v>
      </c>
      <c r="C201" s="4">
        <v>250</v>
      </c>
      <c r="D201" s="4">
        <v>0.95</v>
      </c>
      <c r="E201" s="4">
        <v>118.59</v>
      </c>
      <c r="F201" s="4">
        <v>250</v>
      </c>
      <c r="G201" s="4">
        <v>0.69</v>
      </c>
      <c r="H201" s="4">
        <v>132.53</v>
      </c>
      <c r="I201" s="4">
        <v>250</v>
      </c>
      <c r="J201" s="4">
        <v>0.41</v>
      </c>
      <c r="K201" s="4">
        <v>99.08</v>
      </c>
      <c r="L201" s="4">
        <v>250</v>
      </c>
      <c r="M201" s="4">
        <v>0.94</v>
      </c>
    </row>
    <row r="202" spans="2:13" x14ac:dyDescent="0.3">
      <c r="B202" s="3">
        <v>97.95</v>
      </c>
      <c r="C202" s="3">
        <v>250</v>
      </c>
      <c r="D202" s="3">
        <v>1.1399999999999999</v>
      </c>
      <c r="E202" s="3">
        <v>91.1</v>
      </c>
      <c r="F202" s="3">
        <v>250</v>
      </c>
      <c r="G202" s="3">
        <v>1.0900000000000001</v>
      </c>
      <c r="H202" s="3">
        <v>104.26</v>
      </c>
      <c r="I202" s="3">
        <v>250</v>
      </c>
      <c r="J202" s="3">
        <v>1.07</v>
      </c>
      <c r="K202" s="3">
        <v>89.98</v>
      </c>
      <c r="L202" s="3">
        <v>250</v>
      </c>
      <c r="M202" s="3">
        <v>1.31</v>
      </c>
    </row>
    <row r="203" spans="2:13" x14ac:dyDescent="0.3">
      <c r="B203" s="4">
        <v>87.97</v>
      </c>
      <c r="C203" s="4">
        <v>250</v>
      </c>
      <c r="D203" s="4">
        <v>1.32</v>
      </c>
      <c r="E203" s="4">
        <v>87.26</v>
      </c>
      <c r="F203" s="4">
        <v>250</v>
      </c>
      <c r="G203" s="4">
        <v>1.34</v>
      </c>
      <c r="H203" s="4">
        <v>97.11</v>
      </c>
      <c r="I203" s="4">
        <v>250</v>
      </c>
      <c r="J203" s="4">
        <v>0.89</v>
      </c>
      <c r="K203" s="4">
        <v>86.29</v>
      </c>
      <c r="L203" s="4">
        <v>250</v>
      </c>
      <c r="M203" s="4">
        <v>1.28</v>
      </c>
    </row>
    <row r="204" spans="2:13" x14ac:dyDescent="0.3">
      <c r="B204" s="3">
        <v>20.149999999999999</v>
      </c>
      <c r="C204" s="3">
        <v>78.42</v>
      </c>
      <c r="D204" s="3">
        <v>5</v>
      </c>
      <c r="E204" s="3">
        <v>22.21</v>
      </c>
      <c r="F204" s="3">
        <v>71.75</v>
      </c>
      <c r="G204" s="3">
        <v>4.6500000000000004</v>
      </c>
      <c r="H204" s="3">
        <v>21.88</v>
      </c>
      <c r="I204" s="3">
        <v>80.040000000000006</v>
      </c>
      <c r="J204" s="3">
        <v>4.66</v>
      </c>
      <c r="K204" s="3">
        <v>26.73</v>
      </c>
      <c r="L204" s="3">
        <v>79.37</v>
      </c>
      <c r="M204" s="3">
        <v>4.37</v>
      </c>
    </row>
    <row r="205" spans="2:13" x14ac:dyDescent="0.3">
      <c r="B205" s="4">
        <v>66.98</v>
      </c>
      <c r="C205" s="4">
        <v>139.75</v>
      </c>
      <c r="D205" s="4">
        <v>1.72</v>
      </c>
      <c r="E205" s="4">
        <v>64.510000000000005</v>
      </c>
      <c r="F205" s="4">
        <v>142.47</v>
      </c>
      <c r="G205" s="4">
        <v>1.74</v>
      </c>
      <c r="H205" s="4">
        <v>65.91</v>
      </c>
      <c r="I205" s="4">
        <v>139.69999999999999</v>
      </c>
      <c r="J205" s="4">
        <v>1.67</v>
      </c>
      <c r="K205" s="4">
        <v>70.7</v>
      </c>
      <c r="L205" s="4">
        <v>167.65</v>
      </c>
      <c r="M205" s="4">
        <v>1.68</v>
      </c>
    </row>
    <row r="206" spans="2:13" x14ac:dyDescent="0.3">
      <c r="B206" s="3">
        <v>56.69</v>
      </c>
      <c r="C206" s="3">
        <v>205.02</v>
      </c>
      <c r="D206" s="3">
        <v>1.62</v>
      </c>
      <c r="E206" s="3">
        <v>62.43</v>
      </c>
      <c r="F206" s="3">
        <v>185.18</v>
      </c>
      <c r="G206" s="3">
        <v>1.4</v>
      </c>
      <c r="H206" s="3">
        <v>60.32</v>
      </c>
      <c r="I206" s="3">
        <v>207.3</v>
      </c>
      <c r="J206" s="3">
        <v>1.53</v>
      </c>
      <c r="K206" s="3">
        <v>65.88</v>
      </c>
      <c r="L206" s="3">
        <v>202.47</v>
      </c>
      <c r="M206" s="3">
        <v>1.42</v>
      </c>
    </row>
    <row r="207" spans="2:13" x14ac:dyDescent="0.3">
      <c r="B207" s="4">
        <v>118.84</v>
      </c>
      <c r="C207" s="4">
        <v>237.86</v>
      </c>
      <c r="D207" s="4">
        <v>0.61</v>
      </c>
      <c r="E207" s="4">
        <v>131.26</v>
      </c>
      <c r="F207" s="4">
        <v>236.99</v>
      </c>
      <c r="G207" s="4">
        <v>0.56000000000000005</v>
      </c>
      <c r="H207" s="4">
        <v>111.48</v>
      </c>
      <c r="I207" s="4">
        <v>214.67</v>
      </c>
      <c r="J207" s="4">
        <v>0.67</v>
      </c>
      <c r="K207" s="4">
        <v>121.01</v>
      </c>
      <c r="L207" s="4">
        <v>250</v>
      </c>
      <c r="M207" s="4">
        <v>0.64</v>
      </c>
    </row>
    <row r="208" spans="2:13" x14ac:dyDescent="0.3">
      <c r="B208" s="3">
        <v>110.12</v>
      </c>
      <c r="C208" s="3">
        <v>250</v>
      </c>
      <c r="D208" s="3">
        <v>0.8</v>
      </c>
      <c r="E208" s="3">
        <v>117.82</v>
      </c>
      <c r="F208" s="3">
        <v>250</v>
      </c>
      <c r="G208" s="3">
        <v>0.69</v>
      </c>
      <c r="H208" s="3">
        <v>119.45</v>
      </c>
      <c r="I208" s="3">
        <v>250</v>
      </c>
      <c r="J208" s="3">
        <v>0.73</v>
      </c>
      <c r="K208" s="3">
        <v>110.54</v>
      </c>
      <c r="L208" s="3">
        <v>250</v>
      </c>
      <c r="M208" s="3">
        <v>0.73</v>
      </c>
    </row>
    <row r="209" spans="1:13" x14ac:dyDescent="0.3">
      <c r="B209" s="4">
        <v>150.75</v>
      </c>
      <c r="C209" s="4">
        <v>250</v>
      </c>
      <c r="D209" s="4">
        <v>0.49</v>
      </c>
      <c r="E209" s="4">
        <v>137.5</v>
      </c>
      <c r="F209" s="4">
        <v>250</v>
      </c>
      <c r="G209" s="4">
        <v>0.61</v>
      </c>
      <c r="H209" s="4">
        <v>134.04</v>
      </c>
      <c r="I209" s="4">
        <v>250</v>
      </c>
      <c r="J209" s="4">
        <v>0.6</v>
      </c>
      <c r="K209" s="4">
        <v>140.12</v>
      </c>
      <c r="L209" s="4">
        <v>250</v>
      </c>
      <c r="M209" s="4">
        <v>0.4</v>
      </c>
    </row>
    <row r="210" spans="1:13" x14ac:dyDescent="0.3">
      <c r="B210" s="3">
        <v>160.47</v>
      </c>
      <c r="C210" s="3">
        <v>250</v>
      </c>
      <c r="D210" s="3">
        <v>0.44</v>
      </c>
      <c r="E210" s="3">
        <v>140.41</v>
      </c>
      <c r="F210" s="3">
        <v>250</v>
      </c>
      <c r="G210" s="3">
        <v>0.63</v>
      </c>
      <c r="H210" s="3">
        <v>141.77000000000001</v>
      </c>
      <c r="I210" s="3">
        <v>250</v>
      </c>
      <c r="J210" s="3">
        <v>0.67</v>
      </c>
      <c r="K210" s="3">
        <v>172.05</v>
      </c>
      <c r="L210" s="3">
        <v>250</v>
      </c>
      <c r="M210" s="3">
        <v>0.44</v>
      </c>
    </row>
    <row r="211" spans="1:13" x14ac:dyDescent="0.3">
      <c r="B211" s="4">
        <v>166.54</v>
      </c>
      <c r="C211" s="4">
        <v>250</v>
      </c>
      <c r="D211" s="4">
        <v>0.44</v>
      </c>
      <c r="E211" s="4">
        <v>178.78</v>
      </c>
      <c r="F211" s="4">
        <v>250</v>
      </c>
      <c r="G211" s="4">
        <v>0.44</v>
      </c>
      <c r="H211" s="4">
        <v>187.47</v>
      </c>
      <c r="I211" s="4">
        <v>250</v>
      </c>
      <c r="J211" s="4">
        <v>0.41</v>
      </c>
      <c r="K211" s="4">
        <v>182.15</v>
      </c>
      <c r="L211" s="4">
        <v>250</v>
      </c>
      <c r="M211" s="4">
        <v>0.4</v>
      </c>
    </row>
    <row r="212" spans="1:13" x14ac:dyDescent="0.3">
      <c r="B212" s="3">
        <v>172.15</v>
      </c>
      <c r="C212" s="3">
        <v>250</v>
      </c>
      <c r="D212" s="3">
        <v>0.53</v>
      </c>
      <c r="E212" s="3">
        <v>210.82</v>
      </c>
      <c r="F212" s="3">
        <v>250</v>
      </c>
      <c r="G212" s="3">
        <v>0.26</v>
      </c>
      <c r="H212" s="3">
        <v>216.28</v>
      </c>
      <c r="I212" s="3">
        <v>250</v>
      </c>
      <c r="J212" s="3">
        <v>0.33</v>
      </c>
      <c r="K212" s="3">
        <v>193.95</v>
      </c>
      <c r="L212" s="3">
        <v>250</v>
      </c>
      <c r="M212" s="3">
        <v>0.34</v>
      </c>
    </row>
    <row r="213" spans="1:13" x14ac:dyDescent="0.3">
      <c r="B213" s="4">
        <v>176.79</v>
      </c>
      <c r="C213" s="4">
        <v>250</v>
      </c>
      <c r="D213" s="4">
        <v>0.44</v>
      </c>
      <c r="E213" s="4">
        <v>159.38999999999999</v>
      </c>
      <c r="F213" s="4">
        <v>250</v>
      </c>
      <c r="G213" s="4">
        <v>0.38</v>
      </c>
      <c r="H213" s="4">
        <v>175.82</v>
      </c>
      <c r="I213" s="4">
        <v>250</v>
      </c>
      <c r="J213" s="4">
        <v>0.36</v>
      </c>
      <c r="K213" s="4">
        <v>149.25</v>
      </c>
      <c r="L213" s="4">
        <v>250</v>
      </c>
      <c r="M213" s="4">
        <v>0.45</v>
      </c>
    </row>
    <row r="214" spans="1:13" x14ac:dyDescent="0.3">
      <c r="B214" s="3">
        <v>162.38999999999999</v>
      </c>
      <c r="C214" s="3">
        <v>250</v>
      </c>
      <c r="D214" s="3">
        <v>0.42</v>
      </c>
      <c r="E214" s="3">
        <v>140.85</v>
      </c>
      <c r="F214" s="3">
        <v>250</v>
      </c>
      <c r="G214" s="3">
        <v>0.43</v>
      </c>
      <c r="H214" s="3">
        <v>163.62</v>
      </c>
      <c r="I214" s="3">
        <v>250</v>
      </c>
      <c r="J214" s="3">
        <v>0.42</v>
      </c>
      <c r="K214" s="3">
        <v>171.01</v>
      </c>
      <c r="L214" s="3">
        <v>250</v>
      </c>
      <c r="M214" s="3">
        <v>0.34</v>
      </c>
    </row>
    <row r="215" spans="1:13" x14ac:dyDescent="0.3">
      <c r="B215" s="4">
        <v>185.45</v>
      </c>
      <c r="C215" s="4">
        <v>250</v>
      </c>
      <c r="D215" s="4">
        <v>0.3</v>
      </c>
      <c r="E215" s="4">
        <v>176.59</v>
      </c>
      <c r="F215" s="4">
        <v>250</v>
      </c>
      <c r="G215" s="4">
        <v>0.33</v>
      </c>
      <c r="H215" s="4">
        <v>173.05</v>
      </c>
      <c r="I215" s="4">
        <v>250</v>
      </c>
      <c r="J215" s="4">
        <v>0.26</v>
      </c>
      <c r="K215" s="4">
        <v>161.37</v>
      </c>
      <c r="L215" s="4">
        <v>250</v>
      </c>
      <c r="M215" s="4">
        <v>0.36</v>
      </c>
    </row>
    <row r="217" spans="1:13" x14ac:dyDescent="0.3">
      <c r="A217" s="5" t="s">
        <v>39</v>
      </c>
      <c r="B217" s="5">
        <f>AVERAGE(B180:B215)</f>
        <v>100.91944444444444</v>
      </c>
      <c r="C217" s="5">
        <f t="shared" ref="C217:M217" si="9">AVERAGE(C180:C215)</f>
        <v>223.64805555555557</v>
      </c>
      <c r="D217" s="5">
        <f t="shared" si="9"/>
        <v>1.4452777777777777</v>
      </c>
      <c r="E217" s="5">
        <f t="shared" si="9"/>
        <v>100.48722222222223</v>
      </c>
      <c r="F217" s="5">
        <f t="shared" si="9"/>
        <v>220.9013888888889</v>
      </c>
      <c r="G217" s="5">
        <f t="shared" si="9"/>
        <v>1.4438888888888892</v>
      </c>
      <c r="H217" s="5">
        <f t="shared" si="9"/>
        <v>101.95666666666666</v>
      </c>
      <c r="I217" s="5">
        <f t="shared" si="9"/>
        <v>221.88805555555555</v>
      </c>
      <c r="J217" s="5">
        <f t="shared" si="9"/>
        <v>1.4325000000000001</v>
      </c>
      <c r="K217" s="5">
        <f t="shared" si="9"/>
        <v>99.834444444444443</v>
      </c>
      <c r="L217" s="5">
        <f t="shared" si="9"/>
        <v>226.88777777777779</v>
      </c>
      <c r="M217" s="5">
        <f t="shared" si="9"/>
        <v>1.3944444444444446</v>
      </c>
    </row>
    <row r="218" spans="1:13" x14ac:dyDescent="0.3">
      <c r="A218" s="5" t="s">
        <v>35</v>
      </c>
      <c r="B218" s="5">
        <f>AVERAGE(B217,E217,H217,K217)</f>
        <v>100.79944444444445</v>
      </c>
      <c r="C218" s="5">
        <f>AVERAGE(C217,F217,I217,L217)</f>
        <v>223.33131944444443</v>
      </c>
      <c r="D218" s="5">
        <f>AVERAGE(D217,G217,J217,M217)</f>
        <v>1.429027777777778</v>
      </c>
    </row>
    <row r="220" spans="1:13" x14ac:dyDescent="0.3">
      <c r="B220" s="38" t="s">
        <v>6</v>
      </c>
      <c r="C220" s="38"/>
      <c r="D220" s="38"/>
      <c r="E220" s="38"/>
    </row>
    <row r="222" spans="1:13" x14ac:dyDescent="0.3">
      <c r="B222" s="39" t="s">
        <v>17</v>
      </c>
      <c r="C222" s="39"/>
      <c r="D222" s="39"/>
      <c r="E222" s="40" t="s">
        <v>18</v>
      </c>
      <c r="F222" s="40"/>
      <c r="G222" s="40"/>
      <c r="H222" s="41" t="s">
        <v>19</v>
      </c>
      <c r="I222" s="41"/>
      <c r="J222" s="41"/>
      <c r="K222" s="42" t="s">
        <v>20</v>
      </c>
      <c r="L222" s="42"/>
      <c r="M222" s="42"/>
    </row>
    <row r="223" spans="1:13" x14ac:dyDescent="0.3">
      <c r="B223" s="1" t="s">
        <v>21</v>
      </c>
      <c r="C223" s="1" t="s">
        <v>22</v>
      </c>
      <c r="D223" s="1" t="s">
        <v>23</v>
      </c>
      <c r="E223" s="1" t="s">
        <v>21</v>
      </c>
      <c r="F223" s="1" t="s">
        <v>22</v>
      </c>
      <c r="G223" s="1" t="s">
        <v>23</v>
      </c>
      <c r="H223" s="1" t="s">
        <v>21</v>
      </c>
      <c r="I223" s="1" t="s">
        <v>22</v>
      </c>
      <c r="J223" s="1" t="s">
        <v>23</v>
      </c>
      <c r="K223" s="1" t="s">
        <v>21</v>
      </c>
      <c r="L223" s="1" t="s">
        <v>22</v>
      </c>
      <c r="M223" s="1" t="s">
        <v>23</v>
      </c>
    </row>
    <row r="224" spans="1:13" x14ac:dyDescent="0.3">
      <c r="B224" s="3">
        <v>27.13</v>
      </c>
      <c r="C224" s="3">
        <v>72.23</v>
      </c>
      <c r="D224" s="3">
        <v>3.09</v>
      </c>
      <c r="E224" s="3">
        <v>33.840000000000003</v>
      </c>
      <c r="F224" s="3">
        <v>86.89</v>
      </c>
      <c r="G224" s="3">
        <v>2.4500000000000002</v>
      </c>
      <c r="H224" s="3">
        <v>41.63</v>
      </c>
      <c r="I224" s="3">
        <v>79.37</v>
      </c>
      <c r="J224" s="3">
        <v>2.35</v>
      </c>
      <c r="K224" s="3">
        <v>38.979999999999997</v>
      </c>
      <c r="L224" s="3">
        <v>86.9</v>
      </c>
      <c r="M224" s="3">
        <v>2.57</v>
      </c>
    </row>
    <row r="225" spans="2:13" x14ac:dyDescent="0.3">
      <c r="B225" s="4">
        <v>30.26</v>
      </c>
      <c r="C225" s="4">
        <v>79.459999999999994</v>
      </c>
      <c r="D225" s="4">
        <v>3.14</v>
      </c>
      <c r="E225" s="4">
        <v>22.48</v>
      </c>
      <c r="F225" s="4">
        <v>64.48</v>
      </c>
      <c r="G225" s="4">
        <v>3.86</v>
      </c>
      <c r="H225" s="4">
        <v>26.87</v>
      </c>
      <c r="I225" s="4">
        <v>79.38</v>
      </c>
      <c r="J225" s="4">
        <v>3.5</v>
      </c>
      <c r="K225" s="4">
        <v>24.66</v>
      </c>
      <c r="L225" s="4">
        <v>71.930000000000007</v>
      </c>
      <c r="M225" s="4">
        <v>3.58</v>
      </c>
    </row>
    <row r="226" spans="2:13" x14ac:dyDescent="0.3">
      <c r="B226" s="3">
        <v>32.72</v>
      </c>
      <c r="C226" s="3">
        <v>101.95</v>
      </c>
      <c r="D226" s="3">
        <v>2.73</v>
      </c>
      <c r="E226" s="3">
        <v>23.83</v>
      </c>
      <c r="F226" s="3">
        <v>72.23</v>
      </c>
      <c r="G226" s="3">
        <v>3.29</v>
      </c>
      <c r="H226" s="3">
        <v>27.8</v>
      </c>
      <c r="I226" s="3">
        <v>87.01</v>
      </c>
      <c r="J226" s="3">
        <v>3.25</v>
      </c>
      <c r="K226" s="3">
        <v>28.06</v>
      </c>
      <c r="L226" s="3">
        <v>80.09</v>
      </c>
      <c r="M226" s="3">
        <v>2.96</v>
      </c>
    </row>
    <row r="227" spans="2:13" x14ac:dyDescent="0.3">
      <c r="B227" s="4">
        <v>38.380000000000003</v>
      </c>
      <c r="C227" s="4">
        <v>101.93</v>
      </c>
      <c r="D227" s="4">
        <v>2.39</v>
      </c>
      <c r="E227" s="4">
        <v>33.25</v>
      </c>
      <c r="F227" s="4">
        <v>87.28</v>
      </c>
      <c r="G227" s="4">
        <v>2.73</v>
      </c>
      <c r="H227" s="4">
        <v>49.39</v>
      </c>
      <c r="I227" s="4">
        <v>101.98</v>
      </c>
      <c r="J227" s="4">
        <v>2.94</v>
      </c>
      <c r="K227" s="4">
        <v>31.54</v>
      </c>
      <c r="L227" s="4">
        <v>79.37</v>
      </c>
      <c r="M227" s="4">
        <v>2.8</v>
      </c>
    </row>
    <row r="228" spans="2:13" x14ac:dyDescent="0.3">
      <c r="B228" s="3">
        <v>32.86</v>
      </c>
      <c r="C228" s="3">
        <v>94.74</v>
      </c>
      <c r="D228" s="3">
        <v>2.66</v>
      </c>
      <c r="E228" s="3">
        <v>35.64</v>
      </c>
      <c r="F228" s="3">
        <v>109.6</v>
      </c>
      <c r="G228" s="3">
        <v>2.5</v>
      </c>
      <c r="H228" s="3">
        <v>36.03</v>
      </c>
      <c r="I228" s="3">
        <v>109.4</v>
      </c>
      <c r="J228" s="3">
        <v>2.57</v>
      </c>
      <c r="K228" s="3">
        <v>30.93</v>
      </c>
      <c r="L228" s="3">
        <v>94.36</v>
      </c>
      <c r="M228" s="3">
        <v>2.78</v>
      </c>
    </row>
    <row r="229" spans="2:13" x14ac:dyDescent="0.3">
      <c r="B229" s="4">
        <v>49.39</v>
      </c>
      <c r="C229" s="4">
        <v>94.39</v>
      </c>
      <c r="D229" s="4">
        <v>2.61</v>
      </c>
      <c r="E229" s="4">
        <v>41.77</v>
      </c>
      <c r="F229" s="4">
        <v>116.89</v>
      </c>
      <c r="G229" s="4">
        <v>2.4900000000000002</v>
      </c>
      <c r="H229" s="4">
        <v>37.08</v>
      </c>
      <c r="I229" s="4">
        <v>101.89</v>
      </c>
      <c r="J229" s="4">
        <v>2.59</v>
      </c>
      <c r="K229" s="4">
        <v>49.39</v>
      </c>
      <c r="L229" s="4">
        <v>94.51</v>
      </c>
      <c r="M229" s="4">
        <v>2.65</v>
      </c>
    </row>
    <row r="230" spans="2:13" x14ac:dyDescent="0.3">
      <c r="B230" s="3">
        <v>30.25</v>
      </c>
      <c r="C230" s="3">
        <v>105.85</v>
      </c>
      <c r="D230" s="3">
        <v>3.21</v>
      </c>
      <c r="E230" s="3">
        <v>31.89</v>
      </c>
      <c r="F230" s="3">
        <v>95.65</v>
      </c>
      <c r="G230" s="3">
        <v>2.93</v>
      </c>
      <c r="H230" s="3">
        <v>29.31</v>
      </c>
      <c r="I230" s="3">
        <v>103.08</v>
      </c>
      <c r="J230" s="3">
        <v>3.19</v>
      </c>
      <c r="K230" s="3">
        <v>36.06</v>
      </c>
      <c r="L230" s="3">
        <v>111.95</v>
      </c>
      <c r="M230" s="3">
        <v>2.82</v>
      </c>
    </row>
    <row r="231" spans="2:13" x14ac:dyDescent="0.3">
      <c r="B231" s="4">
        <v>39.01</v>
      </c>
      <c r="C231" s="4">
        <v>94.35</v>
      </c>
      <c r="D231" s="4">
        <v>2.66</v>
      </c>
      <c r="E231" s="4">
        <v>49.39</v>
      </c>
      <c r="F231" s="4">
        <v>78.63</v>
      </c>
      <c r="G231" s="4">
        <v>2.87</v>
      </c>
      <c r="H231" s="4">
        <v>49.39</v>
      </c>
      <c r="I231" s="4">
        <v>86.95</v>
      </c>
      <c r="J231" s="4">
        <v>2.56</v>
      </c>
      <c r="K231" s="4">
        <v>36.22</v>
      </c>
      <c r="L231" s="4">
        <v>102</v>
      </c>
      <c r="M231" s="4">
        <v>2.42</v>
      </c>
    </row>
    <row r="232" spans="2:13" x14ac:dyDescent="0.3">
      <c r="B232" s="3">
        <v>27.45</v>
      </c>
      <c r="C232" s="3">
        <v>94.33</v>
      </c>
      <c r="D232" s="3">
        <v>3.08</v>
      </c>
      <c r="E232" s="3">
        <v>31.89</v>
      </c>
      <c r="F232" s="3">
        <v>86.88</v>
      </c>
      <c r="G232" s="3">
        <v>2.97</v>
      </c>
      <c r="H232" s="3">
        <v>26.33</v>
      </c>
      <c r="I232" s="3">
        <v>86.82</v>
      </c>
      <c r="J232" s="3">
        <v>3.19</v>
      </c>
      <c r="K232" s="3">
        <v>31.13</v>
      </c>
      <c r="L232" s="3">
        <v>94.37</v>
      </c>
      <c r="M232" s="3">
        <v>3.09</v>
      </c>
    </row>
    <row r="233" spans="2:13" x14ac:dyDescent="0.3">
      <c r="B233" s="4">
        <v>32.21</v>
      </c>
      <c r="C233" s="4">
        <v>87.53</v>
      </c>
      <c r="D233" s="4">
        <v>3.04</v>
      </c>
      <c r="E233" s="4">
        <v>38.19</v>
      </c>
      <c r="F233" s="4">
        <v>104.22</v>
      </c>
      <c r="G233" s="4">
        <v>2.48</v>
      </c>
      <c r="H233" s="4">
        <v>44.67</v>
      </c>
      <c r="I233" s="4">
        <v>109.42</v>
      </c>
      <c r="J233" s="4">
        <v>2.0699999999999998</v>
      </c>
      <c r="K233" s="4">
        <v>34.229999999999997</v>
      </c>
      <c r="L233" s="4">
        <v>94.56</v>
      </c>
      <c r="M233" s="4">
        <v>2.42</v>
      </c>
    </row>
    <row r="234" spans="2:13" x14ac:dyDescent="0.3">
      <c r="B234" s="3">
        <v>30.17</v>
      </c>
      <c r="C234" s="3">
        <v>79.38</v>
      </c>
      <c r="D234" s="3">
        <v>3</v>
      </c>
      <c r="E234" s="3">
        <v>33.51</v>
      </c>
      <c r="F234" s="3">
        <v>94.35</v>
      </c>
      <c r="G234" s="3">
        <v>2.84</v>
      </c>
      <c r="H234" s="3">
        <v>28.99</v>
      </c>
      <c r="I234" s="3">
        <v>79.599999999999994</v>
      </c>
      <c r="J234" s="3">
        <v>2.86</v>
      </c>
      <c r="K234" s="3">
        <v>31.89</v>
      </c>
      <c r="L234" s="3">
        <v>79.48</v>
      </c>
      <c r="M234" s="3">
        <v>2.92</v>
      </c>
    </row>
    <row r="235" spans="2:13" x14ac:dyDescent="0.3">
      <c r="B235" s="4">
        <v>30.62</v>
      </c>
      <c r="C235" s="4">
        <v>101.89</v>
      </c>
      <c r="D235" s="4">
        <v>2.62</v>
      </c>
      <c r="E235" s="4">
        <v>49.39</v>
      </c>
      <c r="F235" s="4">
        <v>94.33</v>
      </c>
      <c r="G235" s="4">
        <v>2.67</v>
      </c>
      <c r="H235" s="4">
        <v>35.53</v>
      </c>
      <c r="I235" s="4">
        <v>110.24</v>
      </c>
      <c r="J235" s="4">
        <v>2.58</v>
      </c>
      <c r="K235" s="4">
        <v>49.39</v>
      </c>
      <c r="L235" s="4">
        <v>94.31</v>
      </c>
      <c r="M235" s="4">
        <v>2.5299999999999998</v>
      </c>
    </row>
    <row r="236" spans="2:13" x14ac:dyDescent="0.3">
      <c r="B236" s="3">
        <v>44.6</v>
      </c>
      <c r="C236" s="3">
        <v>72.19</v>
      </c>
      <c r="D236" s="3">
        <v>1.61</v>
      </c>
      <c r="E236" s="3">
        <v>41.32</v>
      </c>
      <c r="F236" s="3">
        <v>79.89</v>
      </c>
      <c r="G236" s="3">
        <v>2.17</v>
      </c>
      <c r="H236" s="3">
        <v>55.95</v>
      </c>
      <c r="I236" s="3">
        <v>64.900000000000006</v>
      </c>
      <c r="J236" s="3">
        <v>1.46</v>
      </c>
      <c r="K236" s="3">
        <v>54.8</v>
      </c>
      <c r="L236" s="3">
        <v>72.38</v>
      </c>
      <c r="M236" s="3">
        <v>1.78</v>
      </c>
    </row>
    <row r="237" spans="2:13" x14ac:dyDescent="0.3">
      <c r="B237" s="4">
        <v>39.82</v>
      </c>
      <c r="C237" s="4">
        <v>65</v>
      </c>
      <c r="D237" s="4">
        <v>2.3199999999999998</v>
      </c>
      <c r="E237" s="4">
        <v>33.33</v>
      </c>
      <c r="F237" s="4">
        <v>57.34</v>
      </c>
      <c r="G237" s="4">
        <v>2.36</v>
      </c>
      <c r="H237" s="4">
        <v>42.68</v>
      </c>
      <c r="I237" s="4">
        <v>79.849999999999994</v>
      </c>
      <c r="J237" s="4">
        <v>2.08</v>
      </c>
      <c r="K237" s="4">
        <v>49.39</v>
      </c>
      <c r="L237" s="4">
        <v>64.87</v>
      </c>
      <c r="M237" s="4">
        <v>2.2799999999999998</v>
      </c>
    </row>
    <row r="238" spans="2:13" x14ac:dyDescent="0.3">
      <c r="B238" s="3">
        <v>46.98</v>
      </c>
      <c r="C238" s="3">
        <v>95.04</v>
      </c>
      <c r="D238" s="3">
        <v>1.79</v>
      </c>
      <c r="E238" s="3">
        <v>30.2</v>
      </c>
      <c r="F238" s="3">
        <v>64.97</v>
      </c>
      <c r="G238" s="3">
        <v>2.76</v>
      </c>
      <c r="H238" s="3">
        <v>44.98</v>
      </c>
      <c r="I238" s="3">
        <v>87.74</v>
      </c>
      <c r="J238" s="3">
        <v>1.88</v>
      </c>
      <c r="K238" s="3">
        <v>31.89</v>
      </c>
      <c r="L238" s="3">
        <v>65.2</v>
      </c>
      <c r="M238" s="3">
        <v>2.4900000000000002</v>
      </c>
    </row>
    <row r="239" spans="2:13" x14ac:dyDescent="0.3">
      <c r="B239" s="4">
        <v>58.98</v>
      </c>
      <c r="C239" s="4">
        <v>118.65</v>
      </c>
      <c r="D239" s="4">
        <v>1.34</v>
      </c>
      <c r="E239" s="4">
        <v>49.83</v>
      </c>
      <c r="F239" s="4">
        <v>88.03</v>
      </c>
      <c r="G239" s="4">
        <v>1.61</v>
      </c>
      <c r="H239" s="4">
        <v>57.98</v>
      </c>
      <c r="I239" s="4">
        <v>104.43</v>
      </c>
      <c r="J239" s="4">
        <v>1.3</v>
      </c>
      <c r="K239" s="4">
        <v>34.22</v>
      </c>
      <c r="L239" s="4">
        <v>66.22</v>
      </c>
      <c r="M239" s="4">
        <v>2.3199999999999998</v>
      </c>
    </row>
    <row r="240" spans="2:13" x14ac:dyDescent="0.3">
      <c r="B240" s="3">
        <v>40.96</v>
      </c>
      <c r="C240" s="3">
        <v>87.5</v>
      </c>
      <c r="D240" s="3">
        <v>1.92</v>
      </c>
      <c r="E240" s="3">
        <v>46.86</v>
      </c>
      <c r="F240" s="3">
        <v>101.97</v>
      </c>
      <c r="G240" s="3">
        <v>1.68</v>
      </c>
      <c r="H240" s="3">
        <v>47.24</v>
      </c>
      <c r="I240" s="3">
        <v>103.22</v>
      </c>
      <c r="J240" s="3">
        <v>1.44</v>
      </c>
      <c r="K240" s="3">
        <v>37.56</v>
      </c>
      <c r="L240" s="3">
        <v>72.5</v>
      </c>
      <c r="M240" s="3">
        <v>2.11</v>
      </c>
    </row>
    <row r="241" spans="1:13" x14ac:dyDescent="0.3">
      <c r="B241" s="4">
        <v>49.39</v>
      </c>
      <c r="C241" s="4">
        <v>87.84</v>
      </c>
      <c r="D241" s="4">
        <v>1.66</v>
      </c>
      <c r="E241" s="4">
        <v>88.27</v>
      </c>
      <c r="F241" s="4">
        <v>147.47</v>
      </c>
      <c r="G241" s="4">
        <v>0.76</v>
      </c>
      <c r="H241" s="4">
        <v>60.52</v>
      </c>
      <c r="I241" s="4">
        <v>117.77</v>
      </c>
      <c r="J241" s="4">
        <v>1.27</v>
      </c>
      <c r="K241" s="4">
        <v>53.08</v>
      </c>
      <c r="L241" s="4">
        <v>103.72</v>
      </c>
      <c r="M241" s="4">
        <v>1.51</v>
      </c>
    </row>
    <row r="242" spans="1:13" x14ac:dyDescent="0.3">
      <c r="B242" s="3">
        <v>64.47</v>
      </c>
      <c r="C242" s="3">
        <v>125.29</v>
      </c>
      <c r="D242" s="3">
        <v>1.26</v>
      </c>
      <c r="E242" s="3">
        <v>43.87</v>
      </c>
      <c r="F242" s="3">
        <v>101.8</v>
      </c>
      <c r="G242" s="3">
        <v>1.82</v>
      </c>
      <c r="H242" s="3">
        <v>44.67</v>
      </c>
      <c r="I242" s="3">
        <v>111.08</v>
      </c>
      <c r="J242" s="3">
        <v>1.85</v>
      </c>
      <c r="K242" s="3">
        <v>80.81</v>
      </c>
      <c r="L242" s="3">
        <v>117.58</v>
      </c>
      <c r="M242" s="3">
        <v>0.96</v>
      </c>
    </row>
    <row r="243" spans="1:13" x14ac:dyDescent="0.3">
      <c r="B243" s="4">
        <v>51.53</v>
      </c>
      <c r="C243" s="4">
        <v>72.42</v>
      </c>
      <c r="D243" s="4">
        <v>1.71</v>
      </c>
      <c r="E243" s="4">
        <v>50.42</v>
      </c>
      <c r="F243" s="4">
        <v>72.5</v>
      </c>
      <c r="G243" s="4">
        <v>1.67</v>
      </c>
      <c r="H243" s="4">
        <v>47.03</v>
      </c>
      <c r="I243" s="4">
        <v>79.849999999999994</v>
      </c>
      <c r="J243" s="4">
        <v>1.81</v>
      </c>
      <c r="K243" s="4">
        <v>52.3</v>
      </c>
      <c r="L243" s="4">
        <v>102.03</v>
      </c>
      <c r="M243" s="4">
        <v>1.52</v>
      </c>
    </row>
    <row r="244" spans="1:13" x14ac:dyDescent="0.3">
      <c r="B244" s="3">
        <v>39.159999999999997</v>
      </c>
      <c r="C244" s="3">
        <v>94.94</v>
      </c>
      <c r="D244" s="3">
        <v>2.23</v>
      </c>
      <c r="E244" s="3">
        <v>44.49</v>
      </c>
      <c r="F244" s="3">
        <v>102.38</v>
      </c>
      <c r="G244" s="3">
        <v>2.13</v>
      </c>
      <c r="H244" s="3">
        <v>31.13</v>
      </c>
      <c r="I244" s="3">
        <v>87.64</v>
      </c>
      <c r="J244" s="3">
        <v>2.62</v>
      </c>
      <c r="K244" s="3">
        <v>52.76</v>
      </c>
      <c r="L244" s="3">
        <v>117.66</v>
      </c>
      <c r="M244" s="3">
        <v>1.44</v>
      </c>
    </row>
    <row r="245" spans="1:13" x14ac:dyDescent="0.3">
      <c r="B245" s="4">
        <v>58</v>
      </c>
      <c r="C245" s="4">
        <v>87.87</v>
      </c>
      <c r="D245" s="4">
        <v>1.73</v>
      </c>
      <c r="E245" s="4">
        <v>86.71</v>
      </c>
      <c r="F245" s="4">
        <v>117.38</v>
      </c>
      <c r="G245" s="4">
        <v>0.92</v>
      </c>
      <c r="H245" s="4">
        <v>76.290000000000006</v>
      </c>
      <c r="I245" s="4">
        <v>111.7</v>
      </c>
      <c r="J245" s="4">
        <v>1.23</v>
      </c>
      <c r="K245" s="4">
        <v>58.72</v>
      </c>
      <c r="L245" s="4">
        <v>102.64</v>
      </c>
      <c r="M245" s="4">
        <v>1.44</v>
      </c>
    </row>
    <row r="246" spans="1:13" x14ac:dyDescent="0.3">
      <c r="B246" s="3">
        <v>48.44</v>
      </c>
      <c r="C246" s="3">
        <v>73.61</v>
      </c>
      <c r="D246" s="3">
        <v>2.08</v>
      </c>
      <c r="E246" s="3">
        <v>70.260000000000005</v>
      </c>
      <c r="F246" s="3">
        <v>111.7</v>
      </c>
      <c r="G246" s="3">
        <v>1.26</v>
      </c>
      <c r="H246" s="3">
        <v>44.88</v>
      </c>
      <c r="I246" s="3">
        <v>73.23</v>
      </c>
      <c r="J246" s="3">
        <v>2.09</v>
      </c>
      <c r="K246" s="3">
        <v>41.65</v>
      </c>
      <c r="L246" s="3">
        <v>73.47</v>
      </c>
      <c r="M246" s="3">
        <v>2.13</v>
      </c>
    </row>
    <row r="247" spans="1:13" x14ac:dyDescent="0.3">
      <c r="B247" s="4">
        <v>38.43</v>
      </c>
      <c r="C247" s="4">
        <v>87.36</v>
      </c>
      <c r="D247" s="4">
        <v>2.41</v>
      </c>
      <c r="E247" s="4">
        <v>40.29</v>
      </c>
      <c r="F247" s="4">
        <v>87.56</v>
      </c>
      <c r="G247" s="4">
        <v>2.4500000000000002</v>
      </c>
      <c r="H247" s="4">
        <v>43.65</v>
      </c>
      <c r="I247" s="4">
        <v>110.66</v>
      </c>
      <c r="J247" s="4">
        <v>2.27</v>
      </c>
      <c r="K247" s="4">
        <v>46.14</v>
      </c>
      <c r="L247" s="4">
        <v>110.2</v>
      </c>
      <c r="M247" s="4">
        <v>2.35</v>
      </c>
    </row>
    <row r="249" spans="1:13" x14ac:dyDescent="0.3">
      <c r="A249" s="5" t="s">
        <v>39</v>
      </c>
      <c r="B249" s="5">
        <f>AVERAGE(B224:B247)</f>
        <v>40.883749999999999</v>
      </c>
      <c r="C249" s="5">
        <f t="shared" ref="C249:M249" si="10">AVERAGE(C224:C247)</f>
        <v>90.655833333333362</v>
      </c>
      <c r="D249" s="5">
        <f t="shared" si="10"/>
        <v>2.3454166666666665</v>
      </c>
      <c r="E249" s="5">
        <f t="shared" si="10"/>
        <v>43.788333333333334</v>
      </c>
      <c r="F249" s="5">
        <f t="shared" si="10"/>
        <v>92.68416666666667</v>
      </c>
      <c r="G249" s="5">
        <f t="shared" si="10"/>
        <v>2.3195833333333336</v>
      </c>
      <c r="H249" s="5">
        <f t="shared" si="10"/>
        <v>42.917499999999997</v>
      </c>
      <c r="I249" s="5">
        <f t="shared" si="10"/>
        <v>94.467083333333335</v>
      </c>
      <c r="J249" s="5">
        <f t="shared" si="10"/>
        <v>2.2895833333333333</v>
      </c>
      <c r="K249" s="5">
        <f t="shared" si="10"/>
        <v>42.32500000000001</v>
      </c>
      <c r="L249" s="5">
        <f t="shared" si="10"/>
        <v>89.679166666666674</v>
      </c>
      <c r="M249" s="5">
        <f t="shared" si="10"/>
        <v>2.3279166666666669</v>
      </c>
    </row>
    <row r="250" spans="1:13" x14ac:dyDescent="0.3">
      <c r="A250" s="5" t="s">
        <v>35</v>
      </c>
      <c r="B250" s="5">
        <f>AVERAGE(B249,E249,H249,K249)</f>
        <v>42.478645833333339</v>
      </c>
      <c r="C250" s="5">
        <f>AVERAGE(C249,F249,I249,L249)</f>
        <v>91.87156250000001</v>
      </c>
      <c r="D250" s="5">
        <f>AVERAGE(D249,G249,J249,M249)</f>
        <v>2.3206250000000002</v>
      </c>
    </row>
    <row r="252" spans="1:13" x14ac:dyDescent="0.3">
      <c r="B252" s="38" t="s">
        <v>8</v>
      </c>
      <c r="C252" s="38"/>
      <c r="D252" s="38"/>
      <c r="E252" s="38"/>
    </row>
    <row r="254" spans="1:13" x14ac:dyDescent="0.3">
      <c r="B254" s="39" t="s">
        <v>17</v>
      </c>
      <c r="C254" s="39"/>
      <c r="D254" s="39"/>
      <c r="E254" s="40" t="s">
        <v>18</v>
      </c>
      <c r="F254" s="40"/>
      <c r="G254" s="40"/>
      <c r="H254" s="41" t="s">
        <v>19</v>
      </c>
      <c r="I254" s="41"/>
      <c r="J254" s="41"/>
      <c r="K254" s="42" t="s">
        <v>20</v>
      </c>
      <c r="L254" s="42"/>
      <c r="M254" s="42"/>
    </row>
    <row r="255" spans="1:13" x14ac:dyDescent="0.3">
      <c r="B255" s="1" t="s">
        <v>21</v>
      </c>
      <c r="C255" s="1" t="s">
        <v>22</v>
      </c>
      <c r="D255" s="1" t="s">
        <v>23</v>
      </c>
      <c r="E255" s="1" t="s">
        <v>21</v>
      </c>
      <c r="F255" s="1" t="s">
        <v>22</v>
      </c>
      <c r="G255" s="1" t="s">
        <v>23</v>
      </c>
      <c r="H255" s="1" t="s">
        <v>21</v>
      </c>
      <c r="I255" s="1" t="s">
        <v>22</v>
      </c>
      <c r="J255" s="1" t="s">
        <v>23</v>
      </c>
      <c r="K255" s="1" t="s">
        <v>21</v>
      </c>
      <c r="L255" s="1" t="s">
        <v>22</v>
      </c>
      <c r="M255" s="1" t="s">
        <v>23</v>
      </c>
    </row>
    <row r="256" spans="1:13" x14ac:dyDescent="0.3">
      <c r="A256" t="s">
        <v>27</v>
      </c>
      <c r="B256" s="3">
        <v>21.2</v>
      </c>
      <c r="C256" s="3">
        <v>79.72</v>
      </c>
      <c r="D256" s="3">
        <v>4.51</v>
      </c>
      <c r="E256" s="3">
        <v>15.22</v>
      </c>
      <c r="F256" s="3">
        <v>57.21</v>
      </c>
      <c r="G256" s="3">
        <v>5.97</v>
      </c>
      <c r="H256" s="3">
        <v>21.63</v>
      </c>
      <c r="I256" s="3">
        <v>64.709999999999994</v>
      </c>
      <c r="J256" s="3">
        <v>4.47</v>
      </c>
      <c r="K256" s="3">
        <v>24.26</v>
      </c>
      <c r="L256" s="3">
        <v>79.78</v>
      </c>
      <c r="M256" s="3">
        <v>4.28</v>
      </c>
    </row>
    <row r="257" spans="2:13" x14ac:dyDescent="0.3">
      <c r="B257" s="4">
        <v>11.12</v>
      </c>
      <c r="C257" s="4">
        <v>64.77</v>
      </c>
      <c r="D257" s="4">
        <v>7.11</v>
      </c>
      <c r="E257" s="4">
        <v>11.6</v>
      </c>
      <c r="F257" s="4">
        <v>72.25</v>
      </c>
      <c r="G257" s="4">
        <v>7.07</v>
      </c>
      <c r="H257" s="4">
        <v>10.16</v>
      </c>
      <c r="I257" s="4">
        <v>64.8</v>
      </c>
      <c r="J257" s="4">
        <v>7.88</v>
      </c>
      <c r="K257" s="4">
        <v>10.52</v>
      </c>
      <c r="L257" s="4">
        <v>64.760000000000005</v>
      </c>
      <c r="M257" s="4">
        <v>7.45</v>
      </c>
    </row>
    <row r="258" spans="2:13" x14ac:dyDescent="0.3">
      <c r="B258" s="3">
        <v>18.68</v>
      </c>
      <c r="C258" s="3">
        <v>64.86</v>
      </c>
      <c r="D258" s="3">
        <v>5.75</v>
      </c>
      <c r="E258" s="3">
        <v>15.53</v>
      </c>
      <c r="F258" s="3">
        <v>72.31</v>
      </c>
      <c r="G258" s="3">
        <v>6.18</v>
      </c>
      <c r="H258" s="3">
        <v>21.41</v>
      </c>
      <c r="I258" s="3">
        <v>79.73</v>
      </c>
      <c r="J258" s="3">
        <v>4.8499999999999996</v>
      </c>
      <c r="K258" s="3">
        <v>16.079999999999998</v>
      </c>
      <c r="L258" s="3">
        <v>62.28</v>
      </c>
      <c r="M258" s="3">
        <v>6.33</v>
      </c>
    </row>
    <row r="259" spans="2:13" x14ac:dyDescent="0.3">
      <c r="B259" s="4">
        <v>13.84</v>
      </c>
      <c r="C259" s="4">
        <v>79.81</v>
      </c>
      <c r="D259" s="4">
        <v>6.93</v>
      </c>
      <c r="E259" s="4">
        <v>13.35</v>
      </c>
      <c r="F259" s="4">
        <v>64.86</v>
      </c>
      <c r="G259" s="4">
        <v>6.61</v>
      </c>
      <c r="H259" s="4">
        <v>12.34</v>
      </c>
      <c r="I259" s="4">
        <v>64.739999999999995</v>
      </c>
      <c r="J259" s="4">
        <v>6.95</v>
      </c>
      <c r="K259" s="4">
        <v>13.32</v>
      </c>
      <c r="L259" s="4">
        <v>66</v>
      </c>
      <c r="M259" s="4">
        <v>6.72</v>
      </c>
    </row>
    <row r="260" spans="2:13" x14ac:dyDescent="0.3">
      <c r="B260" s="3">
        <v>17.440000000000001</v>
      </c>
      <c r="C260" s="3">
        <v>72.180000000000007</v>
      </c>
      <c r="D260" s="3">
        <v>5.67</v>
      </c>
      <c r="E260" s="3">
        <v>21.41</v>
      </c>
      <c r="F260" s="3">
        <v>72.25</v>
      </c>
      <c r="G260" s="3">
        <v>4.96</v>
      </c>
      <c r="H260" s="3">
        <v>18.420000000000002</v>
      </c>
      <c r="I260" s="3">
        <v>72.17</v>
      </c>
      <c r="J260" s="3">
        <v>5.57</v>
      </c>
      <c r="K260" s="3">
        <v>15.68</v>
      </c>
      <c r="L260" s="3">
        <v>64.900000000000006</v>
      </c>
      <c r="M260" s="3">
        <v>6.07</v>
      </c>
    </row>
    <row r="261" spans="2:13" x14ac:dyDescent="0.3">
      <c r="B261" s="4">
        <v>18.46</v>
      </c>
      <c r="C261" s="4">
        <v>72.989999999999995</v>
      </c>
      <c r="D261" s="4">
        <v>5.13</v>
      </c>
      <c r="E261" s="4">
        <v>15.13</v>
      </c>
      <c r="F261" s="4">
        <v>64.7</v>
      </c>
      <c r="G261" s="4">
        <v>6.16</v>
      </c>
      <c r="H261" s="4">
        <v>16.21</v>
      </c>
      <c r="I261" s="4">
        <v>72.3</v>
      </c>
      <c r="J261" s="4">
        <v>5.99</v>
      </c>
      <c r="K261" s="4">
        <v>17.86</v>
      </c>
      <c r="L261" s="4">
        <v>72.61</v>
      </c>
      <c r="M261" s="4">
        <v>5.77</v>
      </c>
    </row>
    <row r="262" spans="2:13" x14ac:dyDescent="0.3">
      <c r="B262" s="3">
        <v>15.84</v>
      </c>
      <c r="C262" s="3">
        <v>66.23</v>
      </c>
      <c r="D262" s="3">
        <v>5.87</v>
      </c>
      <c r="E262" s="3">
        <v>16.829999999999998</v>
      </c>
      <c r="F262" s="3">
        <v>67.22</v>
      </c>
      <c r="G262" s="3">
        <v>5.85</v>
      </c>
      <c r="H262" s="3">
        <v>15.84</v>
      </c>
      <c r="I262" s="3">
        <v>66.06</v>
      </c>
      <c r="J262" s="3">
        <v>6.18</v>
      </c>
      <c r="K262" s="3">
        <v>19.34</v>
      </c>
      <c r="L262" s="3">
        <v>67.650000000000006</v>
      </c>
      <c r="M262" s="3">
        <v>5.41</v>
      </c>
    </row>
    <row r="263" spans="2:13" x14ac:dyDescent="0.3">
      <c r="B263" s="4">
        <v>17.73</v>
      </c>
      <c r="C263" s="4">
        <v>87.22</v>
      </c>
      <c r="D263" s="4">
        <v>5.98</v>
      </c>
      <c r="E263" s="4">
        <v>18.559999999999999</v>
      </c>
      <c r="F263" s="4">
        <v>94.81</v>
      </c>
      <c r="G263" s="4">
        <v>5.55</v>
      </c>
      <c r="H263" s="4">
        <v>19.170000000000002</v>
      </c>
      <c r="I263" s="4">
        <v>79.680000000000007</v>
      </c>
      <c r="J263" s="4">
        <v>5.58</v>
      </c>
      <c r="K263" s="4">
        <v>17.62</v>
      </c>
      <c r="L263" s="4">
        <v>72.19</v>
      </c>
      <c r="M263" s="4">
        <v>5.8</v>
      </c>
    </row>
    <row r="264" spans="2:13" x14ac:dyDescent="0.3">
      <c r="B264" s="3">
        <v>16.53</v>
      </c>
      <c r="C264" s="3">
        <v>63.45</v>
      </c>
      <c r="D264" s="3">
        <v>6.07</v>
      </c>
      <c r="E264" s="3">
        <v>12.29</v>
      </c>
      <c r="F264" s="3">
        <v>65.97</v>
      </c>
      <c r="G264" s="3">
        <v>7.11</v>
      </c>
      <c r="H264" s="3">
        <v>15.44</v>
      </c>
      <c r="I264" s="3">
        <v>61.64</v>
      </c>
      <c r="J264" s="3">
        <v>5.99</v>
      </c>
      <c r="K264" s="3">
        <v>16.75</v>
      </c>
      <c r="L264" s="3">
        <v>67.28</v>
      </c>
      <c r="M264" s="3">
        <v>5.62</v>
      </c>
    </row>
    <row r="265" spans="2:13" x14ac:dyDescent="0.3">
      <c r="B265" s="4">
        <v>15.99</v>
      </c>
      <c r="C265" s="4">
        <v>64.77</v>
      </c>
      <c r="D265" s="4">
        <v>5.88</v>
      </c>
      <c r="E265" s="4">
        <v>17.09</v>
      </c>
      <c r="F265" s="4">
        <v>65.86</v>
      </c>
      <c r="G265" s="4">
        <v>5.91</v>
      </c>
      <c r="H265" s="4">
        <v>15.32</v>
      </c>
      <c r="I265" s="4">
        <v>64.87</v>
      </c>
      <c r="J265" s="4">
        <v>6.33</v>
      </c>
      <c r="K265" s="4">
        <v>20.5</v>
      </c>
      <c r="L265" s="4">
        <v>81.099999999999994</v>
      </c>
      <c r="M265" s="4">
        <v>5.26</v>
      </c>
    </row>
    <row r="266" spans="2:13" x14ac:dyDescent="0.3">
      <c r="B266" s="3">
        <v>15.82</v>
      </c>
      <c r="C266" s="3">
        <v>65.98</v>
      </c>
      <c r="D266" s="3">
        <v>6.29</v>
      </c>
      <c r="E266" s="3">
        <v>16.34</v>
      </c>
      <c r="F266" s="3">
        <v>62.41</v>
      </c>
      <c r="G266" s="3">
        <v>5.64</v>
      </c>
      <c r="H266" s="3">
        <v>15.63</v>
      </c>
      <c r="I266" s="3">
        <v>64.849999999999994</v>
      </c>
      <c r="J266" s="3">
        <v>5.91</v>
      </c>
      <c r="K266" s="3">
        <v>16.329999999999998</v>
      </c>
      <c r="L266" s="3">
        <v>64.819999999999993</v>
      </c>
      <c r="M266" s="3">
        <v>5.49</v>
      </c>
    </row>
    <row r="267" spans="2:13" x14ac:dyDescent="0.3">
      <c r="B267" s="4">
        <v>19.489999999999998</v>
      </c>
      <c r="C267" s="4">
        <v>79.790000000000006</v>
      </c>
      <c r="D267" s="4">
        <v>5.43</v>
      </c>
      <c r="E267" s="4">
        <v>16.57</v>
      </c>
      <c r="F267" s="4">
        <v>71.66</v>
      </c>
      <c r="G267" s="4">
        <v>6.07</v>
      </c>
      <c r="H267" s="4">
        <v>15.85</v>
      </c>
      <c r="I267" s="4">
        <v>65.47</v>
      </c>
      <c r="J267" s="4">
        <v>6.07</v>
      </c>
      <c r="K267" s="4">
        <v>15.8</v>
      </c>
      <c r="L267" s="4">
        <v>72.3</v>
      </c>
      <c r="M267" s="4">
        <v>6.01</v>
      </c>
    </row>
    <row r="268" spans="2:13" x14ac:dyDescent="0.3">
      <c r="B268" s="3">
        <v>16.100000000000001</v>
      </c>
      <c r="C268" s="3">
        <v>72.34</v>
      </c>
      <c r="D268" s="3">
        <v>5.09</v>
      </c>
      <c r="E268" s="3">
        <v>12.15</v>
      </c>
      <c r="F268" s="3">
        <v>67.03</v>
      </c>
      <c r="G268" s="3">
        <v>6.23</v>
      </c>
      <c r="H268" s="3">
        <v>14.86</v>
      </c>
      <c r="I268" s="3">
        <v>61.32</v>
      </c>
      <c r="J268" s="3">
        <v>5.32</v>
      </c>
      <c r="K268" s="3">
        <v>15.18</v>
      </c>
      <c r="L268" s="3">
        <v>64.78</v>
      </c>
      <c r="M268" s="3">
        <v>5.77</v>
      </c>
    </row>
    <row r="269" spans="2:13" x14ac:dyDescent="0.3">
      <c r="B269" s="4">
        <v>7.49</v>
      </c>
      <c r="C269" s="4">
        <v>67.34</v>
      </c>
      <c r="D269" s="4">
        <v>8.75</v>
      </c>
      <c r="E269" s="4">
        <v>8.4700000000000006</v>
      </c>
      <c r="F269" s="4">
        <v>67.489999999999995</v>
      </c>
      <c r="G269" s="4">
        <v>7.8</v>
      </c>
      <c r="H269" s="4">
        <v>7.28</v>
      </c>
      <c r="I269" s="4">
        <v>63.51</v>
      </c>
      <c r="J269" s="4">
        <v>9.32</v>
      </c>
      <c r="K269" s="4">
        <v>7.79</v>
      </c>
      <c r="L269" s="4">
        <v>49.8</v>
      </c>
      <c r="M269" s="4">
        <v>8.64</v>
      </c>
    </row>
    <row r="270" spans="2:13" x14ac:dyDescent="0.3">
      <c r="B270" s="3">
        <v>13.08</v>
      </c>
      <c r="C270" s="3">
        <v>67.349999999999994</v>
      </c>
      <c r="D270" s="3">
        <v>6.38</v>
      </c>
      <c r="E270" s="3">
        <v>11.86</v>
      </c>
      <c r="F270" s="3">
        <v>64.739999999999995</v>
      </c>
      <c r="G270" s="3">
        <v>7.14</v>
      </c>
      <c r="H270" s="3">
        <v>15.76</v>
      </c>
      <c r="I270" s="3">
        <v>79.77</v>
      </c>
      <c r="J270" s="3">
        <v>5.73</v>
      </c>
      <c r="K270" s="3">
        <v>11.98</v>
      </c>
      <c r="L270" s="3">
        <v>64.819999999999993</v>
      </c>
      <c r="M270" s="3">
        <v>6.97</v>
      </c>
    </row>
    <row r="271" spans="2:13" x14ac:dyDescent="0.3">
      <c r="B271" s="4">
        <v>10.64</v>
      </c>
      <c r="C271" s="4">
        <v>64.88</v>
      </c>
      <c r="D271" s="4">
        <v>7.89</v>
      </c>
      <c r="E271" s="4">
        <v>8.77</v>
      </c>
      <c r="F271" s="4">
        <v>65.81</v>
      </c>
      <c r="G271" s="4">
        <v>8.3800000000000008</v>
      </c>
      <c r="H271" s="4">
        <v>10.199999999999999</v>
      </c>
      <c r="I271" s="4">
        <v>67.239999999999995</v>
      </c>
      <c r="J271" s="4">
        <v>7.19</v>
      </c>
      <c r="K271" s="4">
        <v>9.1999999999999993</v>
      </c>
      <c r="L271" s="4">
        <v>65.84</v>
      </c>
      <c r="M271" s="4">
        <v>7.78</v>
      </c>
    </row>
    <row r="272" spans="2:13" x14ac:dyDescent="0.3">
      <c r="B272" s="3">
        <v>14.77</v>
      </c>
      <c r="C272" s="3">
        <v>64.83</v>
      </c>
      <c r="D272" s="3">
        <v>6.07</v>
      </c>
      <c r="E272" s="3">
        <v>14.24</v>
      </c>
      <c r="F272" s="3">
        <v>64.73</v>
      </c>
      <c r="G272" s="3">
        <v>6.28</v>
      </c>
      <c r="H272" s="3">
        <v>13.46</v>
      </c>
      <c r="I272" s="3">
        <v>64.66</v>
      </c>
      <c r="J272" s="3">
        <v>5.96</v>
      </c>
      <c r="K272" s="3">
        <v>12</v>
      </c>
      <c r="L272" s="3">
        <v>67.290000000000006</v>
      </c>
      <c r="M272" s="3">
        <v>6.32</v>
      </c>
    </row>
    <row r="273" spans="1:13" x14ac:dyDescent="0.3">
      <c r="B273" s="4">
        <v>13.06</v>
      </c>
      <c r="C273" s="4">
        <v>64.790000000000006</v>
      </c>
      <c r="D273" s="4">
        <v>6.35</v>
      </c>
      <c r="E273" s="4">
        <v>11.64</v>
      </c>
      <c r="F273" s="4">
        <v>62.27</v>
      </c>
      <c r="G273" s="4">
        <v>6.76</v>
      </c>
      <c r="H273" s="4">
        <v>12.22</v>
      </c>
      <c r="I273" s="4">
        <v>64.72</v>
      </c>
      <c r="J273" s="4">
        <v>6.65</v>
      </c>
      <c r="K273" s="4">
        <v>12</v>
      </c>
      <c r="L273" s="4">
        <v>72.290000000000006</v>
      </c>
      <c r="M273" s="4">
        <v>7.01</v>
      </c>
    </row>
    <row r="274" spans="1:13" x14ac:dyDescent="0.3">
      <c r="B274" s="3">
        <v>10.93</v>
      </c>
      <c r="C274" s="3">
        <v>63.45</v>
      </c>
      <c r="D274" s="3">
        <v>7.09</v>
      </c>
      <c r="E274" s="3">
        <v>12.06</v>
      </c>
      <c r="F274" s="3">
        <v>63.45</v>
      </c>
      <c r="G274" s="3">
        <v>6.51</v>
      </c>
      <c r="H274" s="3">
        <v>10.63</v>
      </c>
      <c r="I274" s="3">
        <v>64.41</v>
      </c>
      <c r="J274" s="3">
        <v>7.25</v>
      </c>
      <c r="K274" s="3">
        <v>16.440000000000001</v>
      </c>
      <c r="L274" s="3">
        <v>61.74</v>
      </c>
      <c r="M274" s="3">
        <v>5.45</v>
      </c>
    </row>
    <row r="275" spans="1:13" x14ac:dyDescent="0.3">
      <c r="B275" s="4">
        <v>12.66</v>
      </c>
      <c r="C275" s="4">
        <v>64.8</v>
      </c>
      <c r="D275" s="4">
        <v>6.87</v>
      </c>
      <c r="E275" s="4">
        <v>15.64</v>
      </c>
      <c r="F275" s="4">
        <v>71.42</v>
      </c>
      <c r="G275" s="4">
        <v>6.1</v>
      </c>
      <c r="H275" s="4">
        <v>13.81</v>
      </c>
      <c r="I275" s="4">
        <v>64.92</v>
      </c>
      <c r="J275" s="4">
        <v>6.56</v>
      </c>
      <c r="K275" s="4">
        <v>12.21</v>
      </c>
      <c r="L275" s="4">
        <v>64.930000000000007</v>
      </c>
      <c r="M275" s="4">
        <v>7.16</v>
      </c>
    </row>
    <row r="276" spans="1:13" x14ac:dyDescent="0.3">
      <c r="B276" s="3">
        <v>9.59</v>
      </c>
      <c r="C276" s="3">
        <v>66.75</v>
      </c>
      <c r="D276" s="3">
        <v>7.62</v>
      </c>
      <c r="E276" s="3">
        <v>9.91</v>
      </c>
      <c r="F276" s="3">
        <v>63.45</v>
      </c>
      <c r="G276" s="3">
        <v>7.18</v>
      </c>
      <c r="H276" s="3">
        <v>11.47</v>
      </c>
      <c r="I276" s="3">
        <v>61.45</v>
      </c>
      <c r="J276" s="3">
        <v>6.9</v>
      </c>
      <c r="K276" s="3">
        <v>12.09</v>
      </c>
      <c r="L276" s="3">
        <v>67.25</v>
      </c>
      <c r="M276" s="3">
        <v>5.98</v>
      </c>
    </row>
    <row r="277" spans="1:13" x14ac:dyDescent="0.3">
      <c r="B277" s="4">
        <v>11.08</v>
      </c>
      <c r="C277" s="4">
        <v>67.36</v>
      </c>
      <c r="D277" s="4">
        <v>6.69</v>
      </c>
      <c r="E277" s="4">
        <v>13.28</v>
      </c>
      <c r="F277" s="4">
        <v>64.81</v>
      </c>
      <c r="G277" s="4">
        <v>6.79</v>
      </c>
      <c r="H277" s="4">
        <v>11.12</v>
      </c>
      <c r="I277" s="4">
        <v>64.12</v>
      </c>
      <c r="J277" s="4">
        <v>7.05</v>
      </c>
      <c r="K277" s="4">
        <v>16.149999999999999</v>
      </c>
      <c r="L277" s="4">
        <v>72.23</v>
      </c>
      <c r="M277" s="4">
        <v>5.65</v>
      </c>
    </row>
    <row r="278" spans="1:13" x14ac:dyDescent="0.3">
      <c r="B278" s="3">
        <v>11.52</v>
      </c>
      <c r="C278" s="3">
        <v>63.14</v>
      </c>
      <c r="D278" s="3">
        <v>6.95</v>
      </c>
      <c r="E278" s="3">
        <v>12.37</v>
      </c>
      <c r="F278" s="3">
        <v>64.12</v>
      </c>
      <c r="G278" s="3">
        <v>6.74</v>
      </c>
      <c r="H278" s="3">
        <v>9.19</v>
      </c>
      <c r="I278" s="3">
        <v>65.12</v>
      </c>
      <c r="J278" s="3">
        <v>8.01</v>
      </c>
      <c r="K278" s="3">
        <v>11.89</v>
      </c>
      <c r="L278" s="3">
        <v>69.739999999999995</v>
      </c>
      <c r="M278" s="3">
        <v>6.42</v>
      </c>
    </row>
    <row r="279" spans="1:13" x14ac:dyDescent="0.3">
      <c r="B279" s="4">
        <v>15.14</v>
      </c>
      <c r="C279" s="4">
        <v>72.37</v>
      </c>
      <c r="D279" s="4">
        <v>5.66</v>
      </c>
      <c r="E279" s="4">
        <v>13.18</v>
      </c>
      <c r="F279" s="4">
        <v>72.31</v>
      </c>
      <c r="G279" s="4">
        <v>6.51</v>
      </c>
      <c r="H279" s="4">
        <v>10.89</v>
      </c>
      <c r="I279" s="4">
        <v>66.959999999999994</v>
      </c>
      <c r="J279" s="4">
        <v>7.5</v>
      </c>
      <c r="K279" s="4">
        <v>11.02</v>
      </c>
      <c r="L279" s="4">
        <v>67.12</v>
      </c>
      <c r="M279" s="4">
        <v>7.27</v>
      </c>
    </row>
    <row r="281" spans="1:13" x14ac:dyDescent="0.3">
      <c r="A281" s="5" t="s">
        <v>39</v>
      </c>
      <c r="B281" s="5">
        <f>AVERAGE(B256:B279)</f>
        <v>14.508333333333333</v>
      </c>
      <c r="C281" s="5">
        <f t="shared" ref="C281:M281" si="11">AVERAGE(C256:C279)</f>
        <v>69.21541666666667</v>
      </c>
      <c r="D281" s="5">
        <f t="shared" si="11"/>
        <v>6.3345833333333337</v>
      </c>
      <c r="E281" s="5">
        <f t="shared" si="11"/>
        <v>13.895416666666668</v>
      </c>
      <c r="F281" s="5">
        <f t="shared" si="11"/>
        <v>67.630833333333328</v>
      </c>
      <c r="G281" s="5">
        <f t="shared" si="11"/>
        <v>6.4791666666666679</v>
      </c>
      <c r="H281" s="5">
        <f t="shared" si="11"/>
        <v>14.09625</v>
      </c>
      <c r="I281" s="5">
        <f t="shared" si="11"/>
        <v>67.050833333333344</v>
      </c>
      <c r="J281" s="5">
        <f t="shared" si="11"/>
        <v>6.467083333333334</v>
      </c>
      <c r="K281" s="5">
        <f t="shared" si="11"/>
        <v>14.667083333333329</v>
      </c>
      <c r="L281" s="5">
        <f t="shared" si="11"/>
        <v>67.645833333333329</v>
      </c>
      <c r="M281" s="5">
        <f t="shared" si="11"/>
        <v>6.2762500000000001</v>
      </c>
    </row>
    <row r="282" spans="1:13" x14ac:dyDescent="0.3">
      <c r="A282" s="5" t="s">
        <v>35</v>
      </c>
      <c r="B282" s="5">
        <f>AVERAGE(B281,E281,H281,K281)</f>
        <v>14.291770833333333</v>
      </c>
      <c r="C282" s="5">
        <f>AVERAGE(C281,F281,I281,L281)</f>
        <v>67.885729166666664</v>
      </c>
      <c r="D282" s="5">
        <f>AVERAGE(D281,G281,J281,M281)</f>
        <v>6.3892708333333346</v>
      </c>
    </row>
    <row r="284" spans="1:13" x14ac:dyDescent="0.3">
      <c r="A284" t="s">
        <v>28</v>
      </c>
      <c r="B284" s="3">
        <v>19.68</v>
      </c>
      <c r="C284" s="3">
        <v>43.47</v>
      </c>
      <c r="D284" s="3">
        <v>3.99</v>
      </c>
      <c r="E284" s="3">
        <v>17.41</v>
      </c>
      <c r="F284" s="3">
        <v>43.35</v>
      </c>
      <c r="G284" s="3">
        <v>3.97</v>
      </c>
      <c r="H284" s="3">
        <v>18.489999999999998</v>
      </c>
      <c r="I284" s="3">
        <v>49.61</v>
      </c>
      <c r="J284" s="3">
        <v>4.0999999999999996</v>
      </c>
      <c r="K284" s="3">
        <v>19.27</v>
      </c>
      <c r="L284" s="3">
        <v>50.62</v>
      </c>
      <c r="M284" s="3">
        <v>4.49</v>
      </c>
    </row>
    <row r="285" spans="1:13" x14ac:dyDescent="0.3">
      <c r="B285" s="4">
        <v>9.5</v>
      </c>
      <c r="C285" s="4">
        <v>42.07</v>
      </c>
      <c r="D285" s="4">
        <v>5.85</v>
      </c>
      <c r="E285" s="4">
        <v>9.5500000000000007</v>
      </c>
      <c r="F285" s="4">
        <v>51.06</v>
      </c>
      <c r="G285" s="4">
        <v>5.76</v>
      </c>
      <c r="H285" s="4">
        <v>12.38</v>
      </c>
      <c r="I285" s="4">
        <v>49.83</v>
      </c>
      <c r="J285" s="4">
        <v>4.82</v>
      </c>
      <c r="K285" s="4">
        <v>13.71</v>
      </c>
      <c r="L285" s="4">
        <v>57.06</v>
      </c>
      <c r="M285" s="4">
        <v>4.66</v>
      </c>
    </row>
    <row r="286" spans="1:13" x14ac:dyDescent="0.3">
      <c r="B286" s="3">
        <v>17.73</v>
      </c>
      <c r="C286" s="3">
        <v>49.52</v>
      </c>
      <c r="D286" s="3">
        <v>4.05</v>
      </c>
      <c r="E286" s="3">
        <v>18.649999999999999</v>
      </c>
      <c r="F286" s="3">
        <v>49.67</v>
      </c>
      <c r="G286" s="3">
        <v>3.27</v>
      </c>
      <c r="H286" s="3">
        <v>17.52</v>
      </c>
      <c r="I286" s="3">
        <v>57.1</v>
      </c>
      <c r="J286" s="3">
        <v>3.94</v>
      </c>
      <c r="K286" s="3">
        <v>18.2</v>
      </c>
      <c r="L286" s="3">
        <v>43.44</v>
      </c>
      <c r="M286" s="3">
        <v>3.91</v>
      </c>
    </row>
    <row r="287" spans="1:13" x14ac:dyDescent="0.3">
      <c r="B287" s="4">
        <v>10.7</v>
      </c>
      <c r="C287" s="4">
        <v>42.04</v>
      </c>
      <c r="D287" s="4">
        <v>5.45</v>
      </c>
      <c r="E287" s="4">
        <v>9.0399999999999991</v>
      </c>
      <c r="F287" s="4">
        <v>43.97</v>
      </c>
      <c r="G287" s="4">
        <v>6.08</v>
      </c>
      <c r="H287" s="4">
        <v>9.9700000000000006</v>
      </c>
      <c r="I287" s="4">
        <v>43.88</v>
      </c>
      <c r="J287" s="4">
        <v>5.2</v>
      </c>
      <c r="K287" s="4">
        <v>10.89</v>
      </c>
      <c r="L287" s="4">
        <v>57.09</v>
      </c>
      <c r="M287" s="4">
        <v>5.16</v>
      </c>
    </row>
    <row r="288" spans="1:13" x14ac:dyDescent="0.3">
      <c r="B288" s="3">
        <v>13.76</v>
      </c>
      <c r="C288" s="3">
        <v>49.51</v>
      </c>
      <c r="D288" s="3">
        <v>4.1399999999999997</v>
      </c>
      <c r="E288" s="3">
        <v>18.04</v>
      </c>
      <c r="F288" s="3">
        <v>57.03</v>
      </c>
      <c r="G288" s="3">
        <v>4.05</v>
      </c>
      <c r="H288" s="3">
        <v>19.87</v>
      </c>
      <c r="I288" s="3">
        <v>57.08</v>
      </c>
      <c r="J288" s="3">
        <v>3.59</v>
      </c>
      <c r="K288" s="3">
        <v>19.21</v>
      </c>
      <c r="L288" s="3">
        <v>57.36</v>
      </c>
      <c r="M288" s="3">
        <v>3.91</v>
      </c>
    </row>
    <row r="289" spans="2:13" x14ac:dyDescent="0.3">
      <c r="B289" s="4">
        <v>12.57</v>
      </c>
      <c r="C289" s="4">
        <v>51.09</v>
      </c>
      <c r="D289" s="4">
        <v>4.9000000000000004</v>
      </c>
      <c r="E289" s="4">
        <v>11.46</v>
      </c>
      <c r="F289" s="4">
        <v>49.57</v>
      </c>
      <c r="G289" s="4">
        <v>5.35</v>
      </c>
      <c r="H289" s="4">
        <v>9.07</v>
      </c>
      <c r="I289" s="4">
        <v>49.55</v>
      </c>
      <c r="J289" s="4">
        <v>5.78</v>
      </c>
      <c r="K289" s="4">
        <v>10.69</v>
      </c>
      <c r="L289" s="4">
        <v>42.13</v>
      </c>
      <c r="M289" s="4">
        <v>4.7699999999999996</v>
      </c>
    </row>
    <row r="290" spans="2:13" x14ac:dyDescent="0.3">
      <c r="B290" s="3">
        <v>16.95</v>
      </c>
      <c r="C290" s="3">
        <v>51.01</v>
      </c>
      <c r="D290" s="3">
        <v>3.96</v>
      </c>
      <c r="E290" s="3">
        <v>18.46</v>
      </c>
      <c r="F290" s="3">
        <v>64.59</v>
      </c>
      <c r="G290" s="3">
        <v>4</v>
      </c>
      <c r="H290" s="3">
        <v>18.38</v>
      </c>
      <c r="I290" s="3">
        <v>72.099999999999994</v>
      </c>
      <c r="J290" s="3">
        <v>3.85</v>
      </c>
      <c r="K290" s="3">
        <v>15.7</v>
      </c>
      <c r="L290" s="3">
        <v>49.64</v>
      </c>
      <c r="M290" s="3">
        <v>4.4000000000000004</v>
      </c>
    </row>
    <row r="291" spans="2:13" x14ac:dyDescent="0.3">
      <c r="B291" s="4">
        <v>12.56</v>
      </c>
      <c r="C291" s="4">
        <v>49.51</v>
      </c>
      <c r="D291" s="4">
        <v>5.42</v>
      </c>
      <c r="E291" s="4">
        <v>13.89</v>
      </c>
      <c r="F291" s="4">
        <v>58.77</v>
      </c>
      <c r="G291" s="4">
        <v>4.3099999999999996</v>
      </c>
      <c r="H291" s="4">
        <v>14.08</v>
      </c>
      <c r="I291" s="4">
        <v>58.48</v>
      </c>
      <c r="J291" s="4">
        <v>4.8</v>
      </c>
      <c r="K291" s="4">
        <v>12.53</v>
      </c>
      <c r="L291" s="4">
        <v>57.04</v>
      </c>
      <c r="M291" s="4">
        <v>5.19</v>
      </c>
    </row>
    <row r="292" spans="2:13" x14ac:dyDescent="0.3">
      <c r="B292" s="3">
        <v>16.89</v>
      </c>
      <c r="C292" s="3">
        <v>49.58</v>
      </c>
      <c r="D292" s="3">
        <v>4.05</v>
      </c>
      <c r="E292" s="3">
        <v>14.35</v>
      </c>
      <c r="F292" s="3">
        <v>49.62</v>
      </c>
      <c r="G292" s="3">
        <v>4.96</v>
      </c>
      <c r="H292" s="3">
        <v>16.899999999999999</v>
      </c>
      <c r="I292" s="3">
        <v>51.13</v>
      </c>
      <c r="J292" s="3">
        <v>4.4000000000000004</v>
      </c>
      <c r="K292" s="3">
        <v>17.739999999999998</v>
      </c>
      <c r="L292" s="3">
        <v>51.04</v>
      </c>
      <c r="M292" s="3">
        <v>4.13</v>
      </c>
    </row>
    <row r="293" spans="2:13" x14ac:dyDescent="0.3">
      <c r="B293" s="4">
        <v>16.559999999999999</v>
      </c>
      <c r="C293" s="4">
        <v>57.09</v>
      </c>
      <c r="D293" s="4">
        <v>3.86</v>
      </c>
      <c r="E293" s="4">
        <v>13.7</v>
      </c>
      <c r="F293" s="4">
        <v>49.59</v>
      </c>
      <c r="G293" s="4">
        <v>5.14</v>
      </c>
      <c r="H293" s="4">
        <v>11.93</v>
      </c>
      <c r="I293" s="4">
        <v>41.97</v>
      </c>
      <c r="J293" s="4">
        <v>5.43</v>
      </c>
      <c r="K293" s="4">
        <v>13.43</v>
      </c>
      <c r="L293" s="4">
        <v>64.64</v>
      </c>
      <c r="M293" s="4">
        <v>4.5599999999999996</v>
      </c>
    </row>
    <row r="294" spans="2:13" x14ac:dyDescent="0.3">
      <c r="B294" s="3">
        <v>16.739999999999998</v>
      </c>
      <c r="C294" s="3">
        <v>56.18</v>
      </c>
      <c r="D294" s="3">
        <v>4.28</v>
      </c>
      <c r="E294" s="3">
        <v>17.899999999999999</v>
      </c>
      <c r="F294" s="3">
        <v>57.03</v>
      </c>
      <c r="G294" s="3">
        <v>3.69</v>
      </c>
      <c r="H294" s="3">
        <v>12.31</v>
      </c>
      <c r="I294" s="3">
        <v>36.159999999999997</v>
      </c>
      <c r="J294" s="3">
        <v>5.36</v>
      </c>
      <c r="K294" s="3">
        <v>13.29</v>
      </c>
      <c r="L294" s="3">
        <v>49.54</v>
      </c>
      <c r="M294" s="3">
        <v>5.04</v>
      </c>
    </row>
    <row r="295" spans="2:13" x14ac:dyDescent="0.3">
      <c r="B295" s="4">
        <v>14.62</v>
      </c>
      <c r="C295" s="4">
        <v>58.39</v>
      </c>
      <c r="D295" s="4">
        <v>4.68</v>
      </c>
      <c r="E295" s="4">
        <v>14.51</v>
      </c>
      <c r="F295" s="4">
        <v>49.64</v>
      </c>
      <c r="G295" s="4">
        <v>4.72</v>
      </c>
      <c r="H295" s="4">
        <v>15.44</v>
      </c>
      <c r="I295" s="4">
        <v>64.83</v>
      </c>
      <c r="J295" s="4">
        <v>4.4000000000000004</v>
      </c>
      <c r="K295" s="4">
        <v>13.88</v>
      </c>
      <c r="L295" s="4">
        <v>57.02</v>
      </c>
      <c r="M295" s="4">
        <v>4.8099999999999996</v>
      </c>
    </row>
    <row r="296" spans="2:13" x14ac:dyDescent="0.3">
      <c r="B296" s="3">
        <v>17.59</v>
      </c>
      <c r="C296" s="3">
        <v>57.31</v>
      </c>
      <c r="D296" s="3">
        <v>5.07</v>
      </c>
      <c r="E296" s="3">
        <v>18.73</v>
      </c>
      <c r="F296" s="3">
        <v>57.2</v>
      </c>
      <c r="G296" s="3">
        <v>5.07</v>
      </c>
      <c r="H296" s="3">
        <v>14.4</v>
      </c>
      <c r="I296" s="3">
        <v>57.17</v>
      </c>
      <c r="J296" s="3">
        <v>5.72</v>
      </c>
      <c r="K296" s="3">
        <v>16.93</v>
      </c>
      <c r="L296" s="3">
        <v>59.61</v>
      </c>
      <c r="M296" s="3">
        <v>5.42</v>
      </c>
    </row>
    <row r="297" spans="2:13" x14ac:dyDescent="0.3">
      <c r="B297" s="4">
        <v>12.02</v>
      </c>
      <c r="C297" s="4">
        <v>61.59</v>
      </c>
      <c r="D297" s="4">
        <v>6.11</v>
      </c>
      <c r="E297" s="4">
        <v>12.29</v>
      </c>
      <c r="F297" s="4">
        <v>57.36</v>
      </c>
      <c r="G297" s="4">
        <v>6.04</v>
      </c>
      <c r="H297" s="4">
        <v>14.34</v>
      </c>
      <c r="I297" s="4">
        <v>64.75</v>
      </c>
      <c r="J297" s="4">
        <v>5.73</v>
      </c>
      <c r="K297" s="4">
        <v>16.5</v>
      </c>
      <c r="L297" s="4">
        <v>64.91</v>
      </c>
      <c r="M297" s="4">
        <v>5.2</v>
      </c>
    </row>
    <row r="298" spans="2:13" x14ac:dyDescent="0.3">
      <c r="B298" s="3">
        <v>17.989999999999998</v>
      </c>
      <c r="C298" s="3">
        <v>57.3</v>
      </c>
      <c r="D298" s="3">
        <v>4.96</v>
      </c>
      <c r="E298" s="3">
        <v>16.21</v>
      </c>
      <c r="F298" s="3">
        <v>60.04</v>
      </c>
      <c r="G298" s="3">
        <v>5.13</v>
      </c>
      <c r="H298" s="3">
        <v>18.600000000000001</v>
      </c>
      <c r="I298" s="3">
        <v>64.75</v>
      </c>
      <c r="J298" s="3">
        <v>4.93</v>
      </c>
      <c r="K298" s="3">
        <v>16.72</v>
      </c>
      <c r="L298" s="3">
        <v>64.680000000000007</v>
      </c>
      <c r="M298" s="3">
        <v>5.28</v>
      </c>
    </row>
    <row r="299" spans="2:13" x14ac:dyDescent="0.3">
      <c r="B299" s="4">
        <v>13.78</v>
      </c>
      <c r="C299" s="4">
        <v>53.09</v>
      </c>
      <c r="D299" s="4">
        <v>5.99</v>
      </c>
      <c r="E299" s="4">
        <v>10.82</v>
      </c>
      <c r="F299" s="4">
        <v>57.28</v>
      </c>
      <c r="G299" s="4">
        <v>6.57</v>
      </c>
      <c r="H299" s="4">
        <v>13.95</v>
      </c>
      <c r="I299" s="4">
        <v>57.28</v>
      </c>
      <c r="J299" s="4">
        <v>5.59</v>
      </c>
      <c r="K299" s="4">
        <v>12.51</v>
      </c>
      <c r="L299" s="4">
        <v>57.6</v>
      </c>
      <c r="M299" s="4">
        <v>6.07</v>
      </c>
    </row>
    <row r="300" spans="2:13" x14ac:dyDescent="0.3">
      <c r="B300" s="3">
        <v>17.21</v>
      </c>
      <c r="C300" s="3">
        <v>57.47</v>
      </c>
      <c r="D300" s="3">
        <v>5.18</v>
      </c>
      <c r="E300" s="3">
        <v>21.12</v>
      </c>
      <c r="F300" s="3">
        <v>66.069999999999993</v>
      </c>
      <c r="G300" s="3">
        <v>4.4400000000000004</v>
      </c>
      <c r="H300" s="3">
        <v>21.27</v>
      </c>
      <c r="I300" s="3">
        <v>72.33</v>
      </c>
      <c r="J300" s="3">
        <v>4.45</v>
      </c>
      <c r="K300" s="3">
        <v>19.670000000000002</v>
      </c>
      <c r="L300" s="3">
        <v>72.17</v>
      </c>
      <c r="M300" s="3">
        <v>4.8600000000000003</v>
      </c>
    </row>
    <row r="301" spans="2:13" x14ac:dyDescent="0.3">
      <c r="B301" s="4">
        <v>15.91</v>
      </c>
      <c r="C301" s="4">
        <v>64.709999999999994</v>
      </c>
      <c r="D301" s="4">
        <v>5.38</v>
      </c>
      <c r="E301" s="4">
        <v>16.43</v>
      </c>
      <c r="F301" s="4">
        <v>64.72</v>
      </c>
      <c r="G301" s="4">
        <v>5.21</v>
      </c>
      <c r="H301" s="4">
        <v>14.09</v>
      </c>
      <c r="I301" s="4">
        <v>58.55</v>
      </c>
      <c r="J301" s="4">
        <v>5.72</v>
      </c>
      <c r="K301" s="4">
        <v>15.28</v>
      </c>
      <c r="L301" s="4">
        <v>64.84</v>
      </c>
      <c r="M301" s="4">
        <v>5.48</v>
      </c>
    </row>
    <row r="302" spans="2:13" x14ac:dyDescent="0.3">
      <c r="B302" s="3">
        <v>16.649999999999999</v>
      </c>
      <c r="C302" s="3">
        <v>59.75</v>
      </c>
      <c r="D302" s="3">
        <v>5.31</v>
      </c>
      <c r="E302" s="3">
        <v>18.3</v>
      </c>
      <c r="F302" s="3">
        <v>65.02</v>
      </c>
      <c r="G302" s="3">
        <v>5.03</v>
      </c>
      <c r="H302" s="3">
        <v>18.66</v>
      </c>
      <c r="I302" s="3">
        <v>75.260000000000005</v>
      </c>
      <c r="J302" s="3">
        <v>4.97</v>
      </c>
      <c r="K302" s="3">
        <v>19.62</v>
      </c>
      <c r="L302" s="3">
        <v>58.13</v>
      </c>
      <c r="M302" s="3">
        <v>4.74</v>
      </c>
    </row>
    <row r="303" spans="2:13" x14ac:dyDescent="0.3">
      <c r="B303" s="4">
        <v>13.82</v>
      </c>
      <c r="C303" s="4">
        <v>58.4</v>
      </c>
      <c r="D303" s="4">
        <v>5.79</v>
      </c>
      <c r="E303" s="4">
        <v>15.27</v>
      </c>
      <c r="F303" s="4">
        <v>64.819999999999993</v>
      </c>
      <c r="G303" s="4">
        <v>5.78</v>
      </c>
      <c r="H303" s="4">
        <v>18.96</v>
      </c>
      <c r="I303" s="4">
        <v>75.55</v>
      </c>
      <c r="J303" s="4">
        <v>4.59</v>
      </c>
      <c r="K303" s="4">
        <v>17.25</v>
      </c>
      <c r="L303" s="4">
        <v>79.92</v>
      </c>
      <c r="M303" s="4">
        <v>5.23</v>
      </c>
    </row>
    <row r="304" spans="2:13" x14ac:dyDescent="0.3">
      <c r="B304" s="3">
        <v>15.51</v>
      </c>
      <c r="C304" s="3">
        <v>49.8</v>
      </c>
      <c r="D304" s="3">
        <v>5.32</v>
      </c>
      <c r="E304" s="3">
        <v>15.46</v>
      </c>
      <c r="F304" s="3">
        <v>64.7</v>
      </c>
      <c r="G304" s="3">
        <v>5.15</v>
      </c>
      <c r="H304" s="3">
        <v>17.72</v>
      </c>
      <c r="I304" s="3">
        <v>64.73</v>
      </c>
      <c r="J304" s="3">
        <v>5.18</v>
      </c>
      <c r="K304" s="3">
        <v>19.87</v>
      </c>
      <c r="L304" s="3">
        <v>64.86</v>
      </c>
      <c r="M304" s="3">
        <v>4.6900000000000004</v>
      </c>
    </row>
    <row r="305" spans="1:13" x14ac:dyDescent="0.3">
      <c r="B305" s="4">
        <v>15.33</v>
      </c>
      <c r="C305" s="4">
        <v>64.790000000000006</v>
      </c>
      <c r="D305" s="4">
        <v>5.69</v>
      </c>
      <c r="E305" s="4">
        <v>15.55</v>
      </c>
      <c r="F305" s="4">
        <v>64.709999999999994</v>
      </c>
      <c r="G305" s="4">
        <v>5.73</v>
      </c>
      <c r="H305" s="4">
        <v>15.9</v>
      </c>
      <c r="I305" s="4">
        <v>67.44</v>
      </c>
      <c r="J305" s="4">
        <v>5.53</v>
      </c>
      <c r="K305" s="4">
        <v>15.81</v>
      </c>
      <c r="L305" s="4">
        <v>60.53</v>
      </c>
      <c r="M305" s="4">
        <v>5.43</v>
      </c>
    </row>
    <row r="306" spans="1:13" x14ac:dyDescent="0.3">
      <c r="B306" s="3">
        <v>14.09</v>
      </c>
      <c r="C306" s="3">
        <v>57.28</v>
      </c>
      <c r="D306" s="3">
        <v>5.45</v>
      </c>
      <c r="E306" s="3">
        <v>17.440000000000001</v>
      </c>
      <c r="F306" s="3">
        <v>57.18</v>
      </c>
      <c r="G306" s="3">
        <v>4.9800000000000004</v>
      </c>
      <c r="H306" s="3">
        <v>14.49</v>
      </c>
      <c r="I306" s="3">
        <v>57.37</v>
      </c>
      <c r="J306" s="3">
        <v>5.71</v>
      </c>
      <c r="K306" s="3">
        <v>15.51</v>
      </c>
      <c r="L306" s="3">
        <v>57.36</v>
      </c>
      <c r="M306" s="3">
        <v>5.48</v>
      </c>
    </row>
    <row r="307" spans="1:13" x14ac:dyDescent="0.3">
      <c r="B307" s="4">
        <v>14.01</v>
      </c>
      <c r="C307" s="4">
        <v>64.849999999999994</v>
      </c>
      <c r="D307" s="4">
        <v>5.8</v>
      </c>
      <c r="E307" s="4">
        <v>15.91</v>
      </c>
      <c r="F307" s="4">
        <v>60.41</v>
      </c>
      <c r="G307" s="4">
        <v>5.66</v>
      </c>
      <c r="H307" s="4">
        <v>15.56</v>
      </c>
      <c r="I307" s="4">
        <v>72.209999999999994</v>
      </c>
      <c r="J307" s="4">
        <v>5.83</v>
      </c>
      <c r="K307" s="4">
        <v>14.4</v>
      </c>
      <c r="L307" s="4">
        <v>64.66</v>
      </c>
      <c r="M307" s="4">
        <v>5.59</v>
      </c>
    </row>
    <row r="309" spans="1:13" x14ac:dyDescent="0.3">
      <c r="A309" s="5" t="s">
        <v>39</v>
      </c>
      <c r="B309" s="5">
        <f>AVERAGE(B284:B307)</f>
        <v>15.090416666666664</v>
      </c>
      <c r="C309" s="5">
        <f t="shared" ref="C309:M309" si="12">AVERAGE(C284:C307)</f>
        <v>54.408333333333331</v>
      </c>
      <c r="D309" s="5">
        <f t="shared" si="12"/>
        <v>5.0283333333333333</v>
      </c>
      <c r="E309" s="5">
        <f t="shared" si="12"/>
        <v>15.437083333333334</v>
      </c>
      <c r="F309" s="5">
        <f t="shared" si="12"/>
        <v>56.808333333333337</v>
      </c>
      <c r="G309" s="5">
        <f t="shared" si="12"/>
        <v>5.0037499999999993</v>
      </c>
      <c r="H309" s="5">
        <f t="shared" si="12"/>
        <v>15.594999999999997</v>
      </c>
      <c r="I309" s="5">
        <f t="shared" si="12"/>
        <v>59.129583333333329</v>
      </c>
      <c r="J309" s="5">
        <f t="shared" si="12"/>
        <v>4.984166666666666</v>
      </c>
      <c r="K309" s="5">
        <f t="shared" si="12"/>
        <v>15.775416666666665</v>
      </c>
      <c r="L309" s="5">
        <f t="shared" si="12"/>
        <v>58.578749999999992</v>
      </c>
      <c r="M309" s="5">
        <f t="shared" si="12"/>
        <v>4.9375000000000009</v>
      </c>
    </row>
    <row r="310" spans="1:13" x14ac:dyDescent="0.3">
      <c r="A310" s="5" t="s">
        <v>35</v>
      </c>
      <c r="B310" s="5">
        <f>AVERAGE(B309,E309,H309,K309)</f>
        <v>15.474479166666665</v>
      </c>
      <c r="C310" s="5">
        <f>AVERAGE(C309,F309,I309,L309)</f>
        <v>57.231249999999996</v>
      </c>
      <c r="D310" s="5">
        <f>AVERAGE(D309,G309,J309,M309)</f>
        <v>4.9884374999999999</v>
      </c>
    </row>
  </sheetData>
  <mergeCells count="32">
    <mergeCell ref="B252:E252"/>
    <mergeCell ref="B254:D254"/>
    <mergeCell ref="E254:G254"/>
    <mergeCell ref="H254:J254"/>
    <mergeCell ref="K254:M254"/>
    <mergeCell ref="B222:D222"/>
    <mergeCell ref="E222:G222"/>
    <mergeCell ref="H222:J222"/>
    <mergeCell ref="K222:M222"/>
    <mergeCell ref="B116:E116"/>
    <mergeCell ref="B118:D118"/>
    <mergeCell ref="E118:G118"/>
    <mergeCell ref="H118:J118"/>
    <mergeCell ref="K118:M118"/>
    <mergeCell ref="B176:E176"/>
    <mergeCell ref="B178:D178"/>
    <mergeCell ref="E178:G178"/>
    <mergeCell ref="H178:J178"/>
    <mergeCell ref="K178:M178"/>
    <mergeCell ref="B220:E220"/>
    <mergeCell ref="K11:M11"/>
    <mergeCell ref="G5:G8"/>
    <mergeCell ref="B56:E56"/>
    <mergeCell ref="B58:D58"/>
    <mergeCell ref="E58:G58"/>
    <mergeCell ref="H58:J58"/>
    <mergeCell ref="K58:M58"/>
    <mergeCell ref="B2:D3"/>
    <mergeCell ref="B9:E9"/>
    <mergeCell ref="B11:D11"/>
    <mergeCell ref="E11:G11"/>
    <mergeCell ref="H11:J11"/>
  </mergeCells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D518-755F-4044-A22A-2C2B56B2244B}">
  <dimension ref="A2:M307"/>
  <sheetViews>
    <sheetView workbookViewId="0">
      <selection activeCell="B2" sqref="B2:D3"/>
    </sheetView>
  </sheetViews>
  <sheetFormatPr baseColWidth="10" defaultRowHeight="14.4" x14ac:dyDescent="0.3"/>
  <cols>
    <col min="2" max="2" width="16.33203125" bestFit="1" customWidth="1"/>
    <col min="5" max="5" width="16.33203125" bestFit="1" customWidth="1"/>
    <col min="8" max="8" width="16.33203125" bestFit="1" customWidth="1"/>
    <col min="11" max="11" width="16.33203125" bestFit="1" customWidth="1"/>
  </cols>
  <sheetData>
    <row r="2" spans="2:13" x14ac:dyDescent="0.3">
      <c r="B2" s="37" t="s">
        <v>12</v>
      </c>
      <c r="C2" s="37"/>
      <c r="D2" s="37"/>
    </row>
    <row r="3" spans="2:13" x14ac:dyDescent="0.3">
      <c r="B3" s="37"/>
      <c r="C3" s="37"/>
      <c r="D3" s="37"/>
    </row>
    <row r="4" spans="2:13" x14ac:dyDescent="0.3">
      <c r="H4" s="6" t="s">
        <v>25</v>
      </c>
      <c r="I4" s="6" t="s">
        <v>26</v>
      </c>
      <c r="J4" s="6" t="s">
        <v>23</v>
      </c>
    </row>
    <row r="5" spans="2:13" x14ac:dyDescent="0.3">
      <c r="G5" s="43" t="s">
        <v>24</v>
      </c>
      <c r="H5" s="5">
        <v>1</v>
      </c>
      <c r="I5" s="5">
        <v>2418.1149999999998</v>
      </c>
      <c r="J5" s="5">
        <v>11.715000000000002</v>
      </c>
    </row>
    <row r="6" spans="2:13" x14ac:dyDescent="0.3">
      <c r="G6" s="43"/>
      <c r="H6" s="5">
        <v>2</v>
      </c>
      <c r="I6" s="5">
        <v>2413</v>
      </c>
      <c r="J6" s="5">
        <v>10.35</v>
      </c>
    </row>
    <row r="7" spans="2:13" x14ac:dyDescent="0.3">
      <c r="G7" s="43"/>
      <c r="H7" s="5">
        <v>3</v>
      </c>
      <c r="I7" s="5">
        <v>2384</v>
      </c>
      <c r="J7" s="5">
        <v>10.26</v>
      </c>
    </row>
    <row r="8" spans="2:13" x14ac:dyDescent="0.3">
      <c r="G8" s="43"/>
      <c r="H8" s="5">
        <v>4</v>
      </c>
      <c r="I8" s="5">
        <v>5436</v>
      </c>
      <c r="J8" s="5"/>
    </row>
    <row r="9" spans="2:13" x14ac:dyDescent="0.3">
      <c r="B9" s="38" t="s">
        <v>1</v>
      </c>
      <c r="C9" s="38"/>
      <c r="D9" s="38"/>
      <c r="E9" s="38"/>
    </row>
    <row r="11" spans="2:13" x14ac:dyDescent="0.3">
      <c r="B11" s="39" t="s">
        <v>17</v>
      </c>
      <c r="C11" s="39"/>
      <c r="D11" s="39"/>
      <c r="E11" s="40" t="s">
        <v>18</v>
      </c>
      <c r="F11" s="40"/>
      <c r="G11" s="40"/>
      <c r="H11" s="41" t="s">
        <v>19</v>
      </c>
      <c r="I11" s="41"/>
      <c r="J11" s="41"/>
      <c r="K11" s="42" t="s">
        <v>20</v>
      </c>
      <c r="L11" s="42"/>
      <c r="M11" s="42"/>
    </row>
    <row r="12" spans="2:13" x14ac:dyDescent="0.3">
      <c r="B12" s="1" t="s">
        <v>21</v>
      </c>
      <c r="C12" s="1" t="s">
        <v>22</v>
      </c>
      <c r="D12" s="1" t="s">
        <v>23</v>
      </c>
      <c r="E12" s="1" t="s">
        <v>21</v>
      </c>
      <c r="F12" s="1" t="s">
        <v>22</v>
      </c>
      <c r="G12" s="1" t="s">
        <v>23</v>
      </c>
      <c r="H12" s="1" t="s">
        <v>21</v>
      </c>
      <c r="I12" s="1" t="s">
        <v>22</v>
      </c>
      <c r="J12" s="1" t="s">
        <v>23</v>
      </c>
      <c r="K12" s="1" t="s">
        <v>21</v>
      </c>
      <c r="L12" s="1" t="s">
        <v>22</v>
      </c>
      <c r="M12" s="1" t="s">
        <v>23</v>
      </c>
    </row>
    <row r="13" spans="2:13" x14ac:dyDescent="0.3">
      <c r="B13" s="3">
        <v>21.27</v>
      </c>
      <c r="C13" s="3">
        <v>123.12</v>
      </c>
      <c r="D13" s="3">
        <v>6.04</v>
      </c>
      <c r="E13" s="3">
        <v>19.899999999999999</v>
      </c>
      <c r="F13" s="3">
        <v>116.85</v>
      </c>
      <c r="G13" s="3">
        <v>6.18</v>
      </c>
      <c r="H13" s="3">
        <v>19.8</v>
      </c>
      <c r="I13" s="3">
        <v>123.33</v>
      </c>
      <c r="J13" s="3">
        <v>6.06</v>
      </c>
      <c r="K13" s="3">
        <v>18.75</v>
      </c>
      <c r="L13" s="3">
        <v>93.18</v>
      </c>
      <c r="M13" s="3">
        <v>6.6</v>
      </c>
    </row>
    <row r="14" spans="2:13" x14ac:dyDescent="0.3">
      <c r="B14" s="4">
        <v>15.33</v>
      </c>
      <c r="C14" s="4">
        <v>78.7</v>
      </c>
      <c r="D14" s="4">
        <v>7.03</v>
      </c>
      <c r="E14" s="4">
        <v>19.989999999999998</v>
      </c>
      <c r="F14" s="4">
        <v>124.25</v>
      </c>
      <c r="G14" s="4">
        <v>5.88</v>
      </c>
      <c r="H14" s="4">
        <v>14.45</v>
      </c>
      <c r="I14" s="4">
        <v>63.98</v>
      </c>
      <c r="J14" s="4">
        <v>7.42</v>
      </c>
      <c r="K14" s="4">
        <v>15.19</v>
      </c>
      <c r="L14" s="4">
        <v>78.540000000000006</v>
      </c>
      <c r="M14" s="4">
        <v>7.27</v>
      </c>
    </row>
    <row r="15" spans="2:13" x14ac:dyDescent="0.3">
      <c r="B15" s="3">
        <v>20.12</v>
      </c>
      <c r="C15" s="3">
        <v>123.26</v>
      </c>
      <c r="D15" s="3">
        <v>5.33</v>
      </c>
      <c r="E15" s="3">
        <v>15.18</v>
      </c>
      <c r="F15" s="3">
        <v>71.459999999999994</v>
      </c>
      <c r="G15" s="3">
        <v>6.42</v>
      </c>
      <c r="H15" s="3">
        <v>22.73</v>
      </c>
      <c r="I15" s="3">
        <v>139.11000000000001</v>
      </c>
      <c r="J15" s="3">
        <v>4.93</v>
      </c>
      <c r="K15" s="3">
        <v>16.579999999999998</v>
      </c>
      <c r="L15" s="3">
        <v>93.72</v>
      </c>
      <c r="M15" s="3">
        <v>6.29</v>
      </c>
    </row>
    <row r="16" spans="2:13" x14ac:dyDescent="0.3">
      <c r="B16" s="4">
        <v>23.84</v>
      </c>
      <c r="C16" s="4">
        <v>169.34</v>
      </c>
      <c r="D16" s="4">
        <v>5.0599999999999996</v>
      </c>
      <c r="E16" s="4">
        <v>24.57</v>
      </c>
      <c r="F16" s="4">
        <v>161.81</v>
      </c>
      <c r="G16" s="4">
        <v>4.8899999999999997</v>
      </c>
      <c r="H16" s="4">
        <v>25.59</v>
      </c>
      <c r="I16" s="4">
        <v>176.8</v>
      </c>
      <c r="J16" s="4">
        <v>4.91</v>
      </c>
      <c r="K16" s="4">
        <v>22.43</v>
      </c>
      <c r="L16" s="4">
        <v>138.97</v>
      </c>
      <c r="M16" s="4">
        <v>5.24</v>
      </c>
    </row>
    <row r="17" spans="2:13" x14ac:dyDescent="0.3">
      <c r="B17" s="3">
        <v>19.89</v>
      </c>
      <c r="C17" s="3">
        <v>176.54</v>
      </c>
      <c r="D17" s="3">
        <v>5.86</v>
      </c>
      <c r="E17" s="3">
        <v>22.19</v>
      </c>
      <c r="F17" s="3">
        <v>176.64</v>
      </c>
      <c r="G17" s="3">
        <v>5.32</v>
      </c>
      <c r="H17" s="3">
        <v>22.92</v>
      </c>
      <c r="I17" s="3">
        <v>198.98</v>
      </c>
      <c r="J17" s="3">
        <v>5.09</v>
      </c>
      <c r="K17" s="3">
        <v>18.170000000000002</v>
      </c>
      <c r="L17" s="3">
        <v>161.72</v>
      </c>
      <c r="M17" s="3">
        <v>6.24</v>
      </c>
    </row>
    <row r="18" spans="2:13" x14ac:dyDescent="0.3">
      <c r="B18" s="4">
        <v>21.41</v>
      </c>
      <c r="C18" s="4">
        <v>153.24</v>
      </c>
      <c r="D18" s="4">
        <v>5.8</v>
      </c>
      <c r="E18" s="4">
        <v>23.03</v>
      </c>
      <c r="F18" s="4">
        <v>154.47999999999999</v>
      </c>
      <c r="G18" s="4">
        <v>5.53</v>
      </c>
      <c r="H18" s="4">
        <v>22.37</v>
      </c>
      <c r="I18" s="4">
        <v>153.69999999999999</v>
      </c>
      <c r="J18" s="4">
        <v>5.31</v>
      </c>
      <c r="K18" s="4">
        <v>20.010000000000002</v>
      </c>
      <c r="L18" s="4">
        <v>168.92</v>
      </c>
      <c r="M18" s="4">
        <v>6.18</v>
      </c>
    </row>
    <row r="19" spans="2:13" x14ac:dyDescent="0.3">
      <c r="B19" s="3">
        <v>23.03</v>
      </c>
      <c r="C19" s="3">
        <v>134.75</v>
      </c>
      <c r="D19" s="3">
        <v>5.4</v>
      </c>
      <c r="E19" s="3">
        <v>22.98</v>
      </c>
      <c r="F19" s="3">
        <v>138.84</v>
      </c>
      <c r="G19" s="3">
        <v>5.38</v>
      </c>
      <c r="H19" s="3">
        <v>21.36</v>
      </c>
      <c r="I19" s="3">
        <v>149.03</v>
      </c>
      <c r="J19" s="3">
        <v>5.53</v>
      </c>
      <c r="K19" s="3">
        <v>21.45</v>
      </c>
      <c r="L19" s="3">
        <v>141.66999999999999</v>
      </c>
      <c r="M19" s="3">
        <v>5.44</v>
      </c>
    </row>
    <row r="20" spans="2:13" x14ac:dyDescent="0.3">
      <c r="B20" s="4">
        <v>17.39</v>
      </c>
      <c r="C20" s="4">
        <v>146.15</v>
      </c>
      <c r="D20" s="4">
        <v>6.28</v>
      </c>
      <c r="E20" s="4">
        <v>21.05</v>
      </c>
      <c r="F20" s="4">
        <v>175.89</v>
      </c>
      <c r="G20" s="4">
        <v>5.61</v>
      </c>
      <c r="H20" s="4">
        <v>18.899999999999999</v>
      </c>
      <c r="I20" s="4">
        <v>153.44999999999999</v>
      </c>
      <c r="J20" s="4">
        <v>5.7</v>
      </c>
      <c r="K20" s="4">
        <v>21.78</v>
      </c>
      <c r="L20" s="4">
        <v>191.7</v>
      </c>
      <c r="M20" s="4">
        <v>5.36</v>
      </c>
    </row>
    <row r="21" spans="2:13" x14ac:dyDescent="0.3">
      <c r="B21" s="3">
        <v>16.34</v>
      </c>
      <c r="C21" s="3">
        <v>123.7</v>
      </c>
      <c r="D21" s="3">
        <v>6.13</v>
      </c>
      <c r="E21" s="3">
        <v>10.61</v>
      </c>
      <c r="F21" s="3">
        <v>116.13</v>
      </c>
      <c r="G21" s="3">
        <v>7.6</v>
      </c>
      <c r="H21" s="3">
        <v>15.06</v>
      </c>
      <c r="I21" s="3">
        <v>115.6</v>
      </c>
      <c r="J21" s="3">
        <v>5.93</v>
      </c>
      <c r="K21" s="3">
        <v>16.63</v>
      </c>
      <c r="L21" s="3">
        <v>161.54</v>
      </c>
      <c r="M21" s="3">
        <v>5.67</v>
      </c>
    </row>
    <row r="22" spans="2:13" x14ac:dyDescent="0.3">
      <c r="B22" s="4">
        <v>19.78</v>
      </c>
      <c r="C22" s="4">
        <v>73.430000000000007</v>
      </c>
      <c r="D22" s="4">
        <v>6.3</v>
      </c>
      <c r="E22" s="4">
        <v>18.18</v>
      </c>
      <c r="F22" s="4">
        <v>81.260000000000005</v>
      </c>
      <c r="G22" s="4">
        <v>6.56</v>
      </c>
      <c r="H22" s="4">
        <v>21.28</v>
      </c>
      <c r="I22" s="4">
        <v>81.99</v>
      </c>
      <c r="J22" s="4">
        <v>5.8</v>
      </c>
      <c r="K22" s="4">
        <v>18.97</v>
      </c>
      <c r="L22" s="4">
        <v>71.12</v>
      </c>
      <c r="M22" s="4">
        <v>6.46</v>
      </c>
    </row>
    <row r="23" spans="2:13" x14ac:dyDescent="0.3">
      <c r="B23" s="3">
        <v>31.52</v>
      </c>
      <c r="C23" s="3">
        <v>199.92</v>
      </c>
      <c r="D23" s="3">
        <v>4.53</v>
      </c>
      <c r="E23" s="3">
        <v>29.92</v>
      </c>
      <c r="F23" s="3">
        <v>199.42</v>
      </c>
      <c r="G23" s="3">
        <v>4.66</v>
      </c>
      <c r="H23" s="3">
        <v>29.52</v>
      </c>
      <c r="I23" s="3">
        <v>199.61</v>
      </c>
      <c r="J23" s="3">
        <v>4.63</v>
      </c>
      <c r="K23" s="3">
        <v>27.87</v>
      </c>
      <c r="L23" s="3">
        <v>183.6</v>
      </c>
      <c r="M23" s="3">
        <v>4.7699999999999996</v>
      </c>
    </row>
    <row r="24" spans="2:13" x14ac:dyDescent="0.3">
      <c r="B24" s="4">
        <v>25.77</v>
      </c>
      <c r="C24" s="4">
        <v>161.83000000000001</v>
      </c>
      <c r="D24" s="4">
        <v>4.6100000000000003</v>
      </c>
      <c r="E24" s="4">
        <v>22.52</v>
      </c>
      <c r="F24" s="4">
        <v>161.46</v>
      </c>
      <c r="G24" s="4">
        <v>5</v>
      </c>
      <c r="H24" s="4">
        <v>18.739999999999998</v>
      </c>
      <c r="I24" s="4">
        <v>169.35</v>
      </c>
      <c r="J24" s="4">
        <v>5.64</v>
      </c>
      <c r="K24" s="4">
        <v>19.899999999999999</v>
      </c>
      <c r="L24" s="4">
        <v>161.59</v>
      </c>
      <c r="M24" s="4">
        <v>5.49</v>
      </c>
    </row>
    <row r="25" spans="2:13" x14ac:dyDescent="0.3">
      <c r="B25" s="3">
        <v>36.880000000000003</v>
      </c>
      <c r="C25" s="3">
        <v>114.85</v>
      </c>
      <c r="D25" s="3">
        <v>3.69</v>
      </c>
      <c r="E25" s="3">
        <v>35.58</v>
      </c>
      <c r="F25" s="3">
        <v>108.68</v>
      </c>
      <c r="G25" s="3">
        <v>3.99</v>
      </c>
      <c r="H25" s="3">
        <v>38.78</v>
      </c>
      <c r="I25" s="3">
        <v>115.5</v>
      </c>
      <c r="J25" s="3">
        <v>3.52</v>
      </c>
      <c r="K25" s="3">
        <v>31.76</v>
      </c>
      <c r="L25" s="3">
        <v>85.38</v>
      </c>
      <c r="M25" s="3">
        <v>4.3899999999999997</v>
      </c>
    </row>
    <row r="26" spans="2:13" x14ac:dyDescent="0.3">
      <c r="B26" s="4">
        <v>27.07</v>
      </c>
      <c r="C26" s="4">
        <v>78.709999999999994</v>
      </c>
      <c r="D26" s="4">
        <v>4.4000000000000004</v>
      </c>
      <c r="E26" s="4">
        <v>35.43</v>
      </c>
      <c r="F26" s="4">
        <v>116.15</v>
      </c>
      <c r="G26" s="4">
        <v>3.68</v>
      </c>
      <c r="H26" s="4">
        <v>29.94</v>
      </c>
      <c r="I26" s="4">
        <v>73.13</v>
      </c>
      <c r="J26" s="4">
        <v>4.1500000000000004</v>
      </c>
      <c r="K26" s="4">
        <v>28.1</v>
      </c>
      <c r="L26" s="4">
        <v>70.88</v>
      </c>
      <c r="M26" s="4">
        <v>4.54</v>
      </c>
    </row>
    <row r="27" spans="2:13" x14ac:dyDescent="0.3">
      <c r="B27" s="3">
        <v>35.82</v>
      </c>
      <c r="C27" s="3">
        <v>118.65</v>
      </c>
      <c r="D27" s="3">
        <v>2.95</v>
      </c>
      <c r="E27" s="3">
        <v>25.24</v>
      </c>
      <c r="F27" s="3">
        <v>77.55</v>
      </c>
      <c r="G27" s="3">
        <v>4.0199999999999996</v>
      </c>
      <c r="H27" s="3">
        <v>42.1</v>
      </c>
      <c r="I27" s="3">
        <v>138.86000000000001</v>
      </c>
      <c r="J27" s="3">
        <v>2.64</v>
      </c>
      <c r="K27" s="3">
        <v>27.39</v>
      </c>
      <c r="L27" s="3">
        <v>85.93</v>
      </c>
      <c r="M27" s="3">
        <v>4.0599999999999996</v>
      </c>
    </row>
    <row r="28" spans="2:13" x14ac:dyDescent="0.3">
      <c r="B28" s="4">
        <v>56.39</v>
      </c>
      <c r="C28" s="4">
        <v>189.28</v>
      </c>
      <c r="D28" s="4">
        <v>1.79</v>
      </c>
      <c r="E28" s="4">
        <v>60.05</v>
      </c>
      <c r="F28" s="4">
        <v>180.91</v>
      </c>
      <c r="G28" s="4">
        <v>1.83</v>
      </c>
      <c r="H28" s="4">
        <v>55.61</v>
      </c>
      <c r="I28" s="4">
        <v>198.1</v>
      </c>
      <c r="J28" s="4">
        <v>1.81</v>
      </c>
      <c r="K28" s="4">
        <v>50.84</v>
      </c>
      <c r="L28" s="4">
        <v>146.6</v>
      </c>
      <c r="M28" s="4">
        <v>2.1800000000000002</v>
      </c>
    </row>
    <row r="29" spans="2:13" x14ac:dyDescent="0.3">
      <c r="B29" s="3">
        <v>39.86</v>
      </c>
      <c r="C29" s="3">
        <v>176.3</v>
      </c>
      <c r="D29" s="3">
        <v>3.24</v>
      </c>
      <c r="E29" s="3">
        <v>46.75</v>
      </c>
      <c r="F29" s="3">
        <v>168.67</v>
      </c>
      <c r="G29" s="3">
        <v>2.61</v>
      </c>
      <c r="H29" s="3">
        <v>53.98</v>
      </c>
      <c r="I29" s="3">
        <v>190.73</v>
      </c>
      <c r="J29" s="3">
        <v>2.31</v>
      </c>
      <c r="K29" s="3">
        <v>41.46</v>
      </c>
      <c r="L29" s="3">
        <v>161.41999999999999</v>
      </c>
      <c r="M29" s="3">
        <v>3</v>
      </c>
    </row>
    <row r="30" spans="2:13" x14ac:dyDescent="0.3">
      <c r="B30" s="4">
        <v>48.82</v>
      </c>
      <c r="C30" s="4">
        <v>153.75</v>
      </c>
      <c r="D30" s="4">
        <v>2.91</v>
      </c>
      <c r="E30" s="4">
        <v>52.38</v>
      </c>
      <c r="F30" s="4">
        <v>153.63999999999999</v>
      </c>
      <c r="G30" s="4">
        <v>2.7</v>
      </c>
      <c r="H30" s="4">
        <v>59.51</v>
      </c>
      <c r="I30" s="4">
        <v>145.84</v>
      </c>
      <c r="J30" s="4">
        <v>2.16</v>
      </c>
      <c r="K30" s="4">
        <v>43.64</v>
      </c>
      <c r="L30" s="4">
        <v>165.41</v>
      </c>
      <c r="M30" s="4">
        <v>3.07</v>
      </c>
    </row>
    <row r="31" spans="2:13" x14ac:dyDescent="0.3">
      <c r="B31" s="3">
        <v>46.21</v>
      </c>
      <c r="C31" s="3">
        <v>150.75</v>
      </c>
      <c r="D31" s="3">
        <v>2.57</v>
      </c>
      <c r="E31" s="3">
        <v>52.35</v>
      </c>
      <c r="F31" s="3">
        <v>152.65</v>
      </c>
      <c r="G31" s="3">
        <v>2.5099999999999998</v>
      </c>
      <c r="H31" s="3">
        <v>38.33</v>
      </c>
      <c r="I31" s="3">
        <v>164.41</v>
      </c>
      <c r="J31" s="3">
        <v>3</v>
      </c>
      <c r="K31" s="3">
        <v>37.35</v>
      </c>
      <c r="L31" s="3">
        <v>141.91999999999999</v>
      </c>
      <c r="M31" s="3">
        <v>3.07</v>
      </c>
    </row>
    <row r="32" spans="2:13" x14ac:dyDescent="0.3">
      <c r="B32" s="4">
        <v>31.61</v>
      </c>
      <c r="C32" s="4">
        <v>137.49</v>
      </c>
      <c r="D32" s="4">
        <v>3.42</v>
      </c>
      <c r="E32" s="4">
        <v>34.020000000000003</v>
      </c>
      <c r="F32" s="4">
        <v>177.15</v>
      </c>
      <c r="G32" s="4">
        <v>3.53</v>
      </c>
      <c r="H32" s="4">
        <v>29.24</v>
      </c>
      <c r="I32" s="4">
        <v>152.97999999999999</v>
      </c>
      <c r="J32" s="4">
        <v>3.76</v>
      </c>
      <c r="K32" s="4">
        <v>44.3</v>
      </c>
      <c r="L32" s="4">
        <v>199.9</v>
      </c>
      <c r="M32" s="4">
        <v>2.46</v>
      </c>
    </row>
    <row r="33" spans="2:13" x14ac:dyDescent="0.3">
      <c r="B33" s="3">
        <v>33.6</v>
      </c>
      <c r="C33" s="3">
        <v>131.38999999999999</v>
      </c>
      <c r="D33" s="3">
        <v>3.53</v>
      </c>
      <c r="E33" s="3">
        <v>27.6</v>
      </c>
      <c r="F33" s="3">
        <v>108.3</v>
      </c>
      <c r="G33" s="3">
        <v>3.46</v>
      </c>
      <c r="H33" s="3">
        <v>35.86</v>
      </c>
      <c r="I33" s="3">
        <v>115.62</v>
      </c>
      <c r="J33" s="3">
        <v>2.69</v>
      </c>
      <c r="K33" s="3">
        <v>36.64</v>
      </c>
      <c r="L33" s="3">
        <v>153.13999999999999</v>
      </c>
      <c r="M33" s="3">
        <v>2.69</v>
      </c>
    </row>
    <row r="34" spans="2:13" x14ac:dyDescent="0.3">
      <c r="B34" s="4">
        <v>36.51</v>
      </c>
      <c r="C34" s="4">
        <v>113.82</v>
      </c>
      <c r="D34" s="4">
        <v>3.98</v>
      </c>
      <c r="E34" s="4">
        <v>34.409999999999997</v>
      </c>
      <c r="F34" s="4">
        <v>78.08</v>
      </c>
      <c r="G34" s="4">
        <v>3.94</v>
      </c>
      <c r="H34" s="4">
        <v>38.880000000000003</v>
      </c>
      <c r="I34" s="4">
        <v>78.5</v>
      </c>
      <c r="J34" s="4">
        <v>3.6</v>
      </c>
      <c r="K34" s="4">
        <v>37.24</v>
      </c>
      <c r="L34" s="4">
        <v>90.14</v>
      </c>
      <c r="M34" s="4">
        <v>3.69</v>
      </c>
    </row>
    <row r="35" spans="2:13" x14ac:dyDescent="0.3">
      <c r="B35" s="3">
        <v>109.73</v>
      </c>
      <c r="C35" s="3">
        <v>200</v>
      </c>
      <c r="D35" s="3">
        <v>1.1100000000000001</v>
      </c>
      <c r="E35" s="3">
        <v>96.1</v>
      </c>
      <c r="F35" s="3">
        <v>200</v>
      </c>
      <c r="G35" s="3">
        <v>1.26</v>
      </c>
      <c r="H35" s="3">
        <v>80.95</v>
      </c>
      <c r="I35" s="3">
        <v>200</v>
      </c>
      <c r="J35" s="3">
        <v>1.6</v>
      </c>
      <c r="K35" s="3">
        <v>57.83</v>
      </c>
      <c r="L35" s="3">
        <v>190.76</v>
      </c>
      <c r="M35" s="3">
        <v>2.1800000000000002</v>
      </c>
    </row>
    <row r="36" spans="2:13" x14ac:dyDescent="0.3">
      <c r="B36" s="4">
        <v>60.44</v>
      </c>
      <c r="C36" s="4">
        <v>199.84</v>
      </c>
      <c r="D36" s="4">
        <v>1.6</v>
      </c>
      <c r="E36" s="4">
        <v>44.54</v>
      </c>
      <c r="F36" s="4">
        <v>153.72</v>
      </c>
      <c r="G36" s="4">
        <v>2.36</v>
      </c>
      <c r="H36" s="4">
        <v>40.229999999999997</v>
      </c>
      <c r="I36" s="4">
        <v>190.79</v>
      </c>
      <c r="J36" s="4">
        <v>2.5099999999999998</v>
      </c>
      <c r="K36" s="4">
        <v>44.81</v>
      </c>
      <c r="L36" s="4">
        <v>167.71</v>
      </c>
      <c r="M36" s="4">
        <v>2.3199999999999998</v>
      </c>
    </row>
    <row r="37" spans="2:13" x14ac:dyDescent="0.3">
      <c r="B37" s="3">
        <v>52.97</v>
      </c>
      <c r="C37" s="3">
        <v>97.19</v>
      </c>
      <c r="D37" s="3">
        <v>3.09</v>
      </c>
      <c r="E37" s="3">
        <v>40.49</v>
      </c>
      <c r="F37" s="3">
        <v>98.08</v>
      </c>
      <c r="G37" s="3">
        <v>4.0199999999999996</v>
      </c>
      <c r="H37" s="3">
        <v>53.03</v>
      </c>
      <c r="I37" s="3">
        <v>89.3</v>
      </c>
      <c r="J37" s="3">
        <v>3.15</v>
      </c>
      <c r="K37" s="3">
        <v>55.35</v>
      </c>
      <c r="L37" s="3">
        <v>115.49</v>
      </c>
      <c r="M37" s="3">
        <v>2.68</v>
      </c>
    </row>
    <row r="38" spans="2:13" x14ac:dyDescent="0.3">
      <c r="B38" s="4">
        <v>37.83</v>
      </c>
      <c r="C38" s="4">
        <v>150.35</v>
      </c>
      <c r="D38" s="4">
        <v>3.11</v>
      </c>
      <c r="E38" s="4">
        <v>40.21</v>
      </c>
      <c r="F38" s="4">
        <v>88.83</v>
      </c>
      <c r="G38" s="4">
        <v>3.35</v>
      </c>
      <c r="H38" s="4">
        <v>38.47</v>
      </c>
      <c r="I38" s="4">
        <v>89.1</v>
      </c>
      <c r="J38" s="4">
        <v>3.26</v>
      </c>
      <c r="K38" s="4">
        <v>38</v>
      </c>
      <c r="L38" s="4">
        <v>75.97</v>
      </c>
      <c r="M38" s="4">
        <v>3.44</v>
      </c>
    </row>
    <row r="39" spans="2:13" x14ac:dyDescent="0.3">
      <c r="B39" s="3">
        <v>63.2</v>
      </c>
      <c r="C39" s="3">
        <v>104.36</v>
      </c>
      <c r="D39" s="3">
        <v>2.0499999999999998</v>
      </c>
      <c r="E39" s="3">
        <v>61.12</v>
      </c>
      <c r="F39" s="3">
        <v>200</v>
      </c>
      <c r="G39" s="3">
        <v>1.67</v>
      </c>
      <c r="H39" s="3">
        <v>36.17</v>
      </c>
      <c r="I39" s="3">
        <v>85.23</v>
      </c>
      <c r="J39" s="3">
        <v>3.33</v>
      </c>
      <c r="K39" s="3">
        <v>35.54</v>
      </c>
      <c r="L39" s="3">
        <v>83.75</v>
      </c>
      <c r="M39" s="3">
        <v>3.16</v>
      </c>
    </row>
    <row r="40" spans="2:13" x14ac:dyDescent="0.3">
      <c r="B40" s="4">
        <v>37.130000000000003</v>
      </c>
      <c r="C40" s="4">
        <v>62.65</v>
      </c>
      <c r="D40" s="4">
        <v>3.04</v>
      </c>
      <c r="E40" s="4">
        <v>92.21</v>
      </c>
      <c r="F40" s="4">
        <v>198.59</v>
      </c>
      <c r="G40" s="4">
        <v>1.22</v>
      </c>
      <c r="H40" s="4">
        <v>45.53</v>
      </c>
      <c r="I40" s="4">
        <v>85.14</v>
      </c>
      <c r="J40" s="4">
        <v>2.58</v>
      </c>
      <c r="K40" s="4">
        <v>70.08</v>
      </c>
      <c r="L40" s="4">
        <v>137.46</v>
      </c>
      <c r="M40" s="4">
        <v>1.49</v>
      </c>
    </row>
    <row r="41" spans="2:13" x14ac:dyDescent="0.3">
      <c r="B41" s="3">
        <v>55.35</v>
      </c>
      <c r="C41" s="3">
        <v>84.52</v>
      </c>
      <c r="D41" s="3">
        <v>2.72</v>
      </c>
      <c r="E41" s="3">
        <v>100.26</v>
      </c>
      <c r="F41" s="3">
        <v>172.87</v>
      </c>
      <c r="G41" s="3">
        <v>1.34</v>
      </c>
      <c r="H41" s="3">
        <v>73.48</v>
      </c>
      <c r="I41" s="3">
        <v>104.96</v>
      </c>
      <c r="J41" s="3">
        <v>1.97</v>
      </c>
      <c r="K41" s="3">
        <v>72</v>
      </c>
      <c r="L41" s="3">
        <v>109.36</v>
      </c>
      <c r="M41" s="3">
        <v>1.89</v>
      </c>
    </row>
    <row r="42" spans="2:13" x14ac:dyDescent="0.3">
      <c r="B42" s="4">
        <v>44.97</v>
      </c>
      <c r="C42" s="4">
        <v>115.07</v>
      </c>
      <c r="D42" s="4">
        <v>3.51</v>
      </c>
      <c r="E42" s="4">
        <v>51.75</v>
      </c>
      <c r="F42" s="4">
        <v>85.09</v>
      </c>
      <c r="G42" s="4">
        <v>2.94</v>
      </c>
      <c r="H42" s="4">
        <v>60.51</v>
      </c>
      <c r="I42" s="4">
        <v>99.61</v>
      </c>
      <c r="J42" s="4">
        <v>2.61</v>
      </c>
      <c r="K42" s="4">
        <v>54.56</v>
      </c>
      <c r="L42" s="4">
        <v>100.06</v>
      </c>
      <c r="M42" s="4">
        <v>2.72</v>
      </c>
    </row>
    <row r="43" spans="2:13" x14ac:dyDescent="0.3">
      <c r="B43" s="3">
        <v>63.53</v>
      </c>
      <c r="C43" s="3">
        <v>123.22</v>
      </c>
      <c r="D43" s="3">
        <v>2.42</v>
      </c>
      <c r="E43" s="3">
        <v>75.650000000000006</v>
      </c>
      <c r="F43" s="3">
        <v>137.02000000000001</v>
      </c>
      <c r="G43" s="3">
        <v>1.96</v>
      </c>
      <c r="H43" s="3">
        <v>38.64</v>
      </c>
      <c r="I43" s="3">
        <v>114.53</v>
      </c>
      <c r="J43" s="3">
        <v>3.78</v>
      </c>
      <c r="K43" s="3">
        <v>46.09</v>
      </c>
      <c r="L43" s="3">
        <v>105.19</v>
      </c>
      <c r="M43" s="3">
        <v>3.26</v>
      </c>
    </row>
    <row r="44" spans="2:13" x14ac:dyDescent="0.3">
      <c r="B44" s="4">
        <v>42.24</v>
      </c>
      <c r="C44" s="4">
        <v>114.59</v>
      </c>
      <c r="D44" s="4">
        <v>3.09</v>
      </c>
      <c r="E44" s="4">
        <v>59.38</v>
      </c>
      <c r="F44" s="4">
        <v>160.49</v>
      </c>
      <c r="G44" s="4">
        <v>2.04</v>
      </c>
      <c r="H44" s="4">
        <v>82.83</v>
      </c>
      <c r="I44" s="4">
        <v>181.56</v>
      </c>
      <c r="J44" s="4">
        <v>1.59</v>
      </c>
      <c r="K44" s="4">
        <v>73.61</v>
      </c>
      <c r="L44" s="4">
        <v>158.80000000000001</v>
      </c>
      <c r="M44" s="4">
        <v>1.74</v>
      </c>
    </row>
    <row r="45" spans="2:13" x14ac:dyDescent="0.3">
      <c r="B45" s="3">
        <v>41.12</v>
      </c>
      <c r="C45" s="3">
        <v>114.67</v>
      </c>
      <c r="D45" s="3">
        <v>3.06</v>
      </c>
      <c r="E45" s="3">
        <v>87.28</v>
      </c>
      <c r="F45" s="3">
        <v>159.34</v>
      </c>
      <c r="G45" s="3">
        <v>1.48</v>
      </c>
      <c r="H45" s="3">
        <v>53.15</v>
      </c>
      <c r="I45" s="3">
        <v>114.34</v>
      </c>
      <c r="J45" s="3">
        <v>2.4300000000000002</v>
      </c>
      <c r="K45" s="3">
        <v>50.01</v>
      </c>
      <c r="L45" s="3">
        <v>128.44</v>
      </c>
      <c r="M45" s="3">
        <v>2.58</v>
      </c>
    </row>
    <row r="46" spans="2:13" x14ac:dyDescent="0.3">
      <c r="B46" s="4">
        <v>40.61</v>
      </c>
      <c r="C46" s="4">
        <v>54.9</v>
      </c>
      <c r="D46" s="4">
        <v>3.83</v>
      </c>
      <c r="E46" s="4">
        <v>56.07</v>
      </c>
      <c r="F46" s="4">
        <v>107.86</v>
      </c>
      <c r="G46" s="4">
        <v>2.98</v>
      </c>
      <c r="H46" s="4">
        <v>77.510000000000005</v>
      </c>
      <c r="I46" s="4">
        <v>114.96</v>
      </c>
      <c r="J46" s="4">
        <v>2.2000000000000002</v>
      </c>
      <c r="K46" s="4">
        <v>36.35</v>
      </c>
      <c r="L46" s="4">
        <v>58.55</v>
      </c>
      <c r="M46" s="4">
        <v>4.24</v>
      </c>
    </row>
    <row r="47" spans="2:13" x14ac:dyDescent="0.3">
      <c r="B47" s="3">
        <v>99.92</v>
      </c>
      <c r="C47" s="3">
        <v>200</v>
      </c>
      <c r="D47" s="3">
        <v>1.23</v>
      </c>
      <c r="E47" s="3">
        <v>92.92</v>
      </c>
      <c r="F47" s="3">
        <v>173.26</v>
      </c>
      <c r="G47" s="3">
        <v>1.46</v>
      </c>
      <c r="H47" s="3">
        <v>85.01</v>
      </c>
      <c r="I47" s="3">
        <v>200</v>
      </c>
      <c r="J47" s="3">
        <v>1.59</v>
      </c>
      <c r="K47" s="3">
        <v>104.39</v>
      </c>
      <c r="L47" s="3">
        <v>170.13</v>
      </c>
      <c r="M47" s="3">
        <v>1.38</v>
      </c>
    </row>
    <row r="48" spans="2:13" x14ac:dyDescent="0.3">
      <c r="B48" s="4">
        <v>123.93</v>
      </c>
      <c r="C48" s="4">
        <v>200</v>
      </c>
      <c r="D48" s="4">
        <v>0.79</v>
      </c>
      <c r="E48" s="4">
        <v>110.35</v>
      </c>
      <c r="F48" s="4">
        <v>200</v>
      </c>
      <c r="G48" s="4">
        <v>0.97</v>
      </c>
      <c r="H48" s="4">
        <v>110.04</v>
      </c>
      <c r="I48" s="4">
        <v>200</v>
      </c>
      <c r="J48" s="4">
        <v>0.95</v>
      </c>
      <c r="K48" s="4">
        <v>100.4</v>
      </c>
      <c r="L48" s="4">
        <v>200</v>
      </c>
      <c r="M48" s="4">
        <v>1</v>
      </c>
    </row>
    <row r="50" spans="1:13" x14ac:dyDescent="0.3">
      <c r="A50" s="5" t="s">
        <v>39</v>
      </c>
      <c r="B50" s="5">
        <f>AVERAGE(B13:B48)</f>
        <v>42.261944444444445</v>
      </c>
      <c r="C50" s="5">
        <f t="shared" ref="C50:M50" si="0">AVERAGE(C13:C48)</f>
        <v>134.73138888888892</v>
      </c>
      <c r="D50" s="5">
        <f t="shared" si="0"/>
        <v>3.7638888888888888</v>
      </c>
      <c r="E50" s="5">
        <f t="shared" si="0"/>
        <v>46.173888888888897</v>
      </c>
      <c r="F50" s="5">
        <f t="shared" si="0"/>
        <v>142.65055555555557</v>
      </c>
      <c r="G50" s="5">
        <f t="shared" si="0"/>
        <v>3.6208333333333331</v>
      </c>
      <c r="H50" s="5">
        <f t="shared" si="0"/>
        <v>43.06944444444445</v>
      </c>
      <c r="I50" s="5">
        <f t="shared" si="0"/>
        <v>138.00333333333336</v>
      </c>
      <c r="J50" s="5">
        <f t="shared" si="0"/>
        <v>3.6150000000000002</v>
      </c>
      <c r="K50" s="5">
        <f t="shared" si="0"/>
        <v>40.429722222222225</v>
      </c>
      <c r="L50" s="5">
        <f t="shared" si="0"/>
        <v>131.9072222222222</v>
      </c>
      <c r="M50" s="5">
        <f t="shared" si="0"/>
        <v>3.8400000000000003</v>
      </c>
    </row>
    <row r="51" spans="1:13" x14ac:dyDescent="0.3">
      <c r="A51" s="5" t="s">
        <v>35</v>
      </c>
      <c r="B51" s="5">
        <f>AVERAGE(B50,E50,H50,K50)</f>
        <v>42.983750000000001</v>
      </c>
      <c r="C51" s="5">
        <f>AVERAGE(C50,F50,I50,L50)</f>
        <v>136.823125</v>
      </c>
      <c r="D51" s="5">
        <f>AVERAGE(D50,G50,J50,M50)</f>
        <v>3.7099305555555553</v>
      </c>
    </row>
    <row r="53" spans="1:13" x14ac:dyDescent="0.3">
      <c r="B53" s="38" t="s">
        <v>2</v>
      </c>
      <c r="C53" s="38"/>
      <c r="D53" s="38"/>
      <c r="E53" s="38"/>
    </row>
    <row r="55" spans="1:13" x14ac:dyDescent="0.3">
      <c r="B55" s="39" t="s">
        <v>17</v>
      </c>
      <c r="C55" s="39"/>
      <c r="D55" s="39"/>
      <c r="E55" s="40" t="s">
        <v>18</v>
      </c>
      <c r="F55" s="40"/>
      <c r="G55" s="40"/>
      <c r="H55" s="41" t="s">
        <v>19</v>
      </c>
      <c r="I55" s="41"/>
      <c r="J55" s="41"/>
      <c r="K55" s="42" t="s">
        <v>20</v>
      </c>
      <c r="L55" s="42"/>
      <c r="M55" s="42"/>
    </row>
    <row r="56" spans="1:13" x14ac:dyDescent="0.3">
      <c r="B56" s="1" t="s">
        <v>21</v>
      </c>
      <c r="C56" s="1" t="s">
        <v>22</v>
      </c>
      <c r="D56" s="1" t="s">
        <v>23</v>
      </c>
      <c r="E56" s="1" t="s">
        <v>21</v>
      </c>
      <c r="F56" s="1" t="s">
        <v>22</v>
      </c>
      <c r="G56" s="1" t="s">
        <v>23</v>
      </c>
      <c r="H56" s="1" t="s">
        <v>21</v>
      </c>
      <c r="I56" s="1" t="s">
        <v>22</v>
      </c>
      <c r="J56" s="1" t="s">
        <v>23</v>
      </c>
      <c r="K56" s="1" t="s">
        <v>21</v>
      </c>
      <c r="L56" s="1" t="s">
        <v>22</v>
      </c>
      <c r="M56" s="1" t="s">
        <v>23</v>
      </c>
    </row>
    <row r="57" spans="1:13" x14ac:dyDescent="0.3">
      <c r="A57" t="s">
        <v>27</v>
      </c>
      <c r="B57" s="3">
        <v>22.56</v>
      </c>
      <c r="C57" s="3">
        <v>87.47</v>
      </c>
      <c r="D57" s="3">
        <v>5.49</v>
      </c>
      <c r="E57" s="3">
        <v>21.72</v>
      </c>
      <c r="F57" s="3">
        <v>73.53</v>
      </c>
      <c r="G57" s="3">
        <v>5.63</v>
      </c>
      <c r="H57" s="3">
        <v>24.32</v>
      </c>
      <c r="I57" s="3">
        <v>94.85</v>
      </c>
      <c r="J57" s="3">
        <v>5.56</v>
      </c>
      <c r="K57" s="3">
        <v>21.77</v>
      </c>
      <c r="L57" s="3">
        <v>94.9</v>
      </c>
      <c r="M57" s="3">
        <v>5.56</v>
      </c>
    </row>
    <row r="58" spans="1:13" x14ac:dyDescent="0.3">
      <c r="B58" s="4">
        <v>22.08</v>
      </c>
      <c r="C58" s="4">
        <v>87.4</v>
      </c>
      <c r="D58" s="4">
        <v>6.07</v>
      </c>
      <c r="E58" s="4">
        <v>19.670000000000002</v>
      </c>
      <c r="F58" s="4">
        <v>80.09</v>
      </c>
      <c r="G58" s="4">
        <v>5.99</v>
      </c>
      <c r="H58" s="4">
        <v>18.68</v>
      </c>
      <c r="I58" s="4">
        <v>72.55</v>
      </c>
      <c r="J58" s="4">
        <v>6.22</v>
      </c>
      <c r="K58" s="4">
        <v>20.100000000000001</v>
      </c>
      <c r="L58" s="4">
        <v>87.47</v>
      </c>
      <c r="M58" s="4">
        <v>5.64</v>
      </c>
    </row>
    <row r="59" spans="1:13" x14ac:dyDescent="0.3">
      <c r="B59" s="3">
        <v>21.9</v>
      </c>
      <c r="C59" s="3">
        <v>87.82</v>
      </c>
      <c r="D59" s="3">
        <v>6.23</v>
      </c>
      <c r="E59" s="3">
        <v>18.239999999999998</v>
      </c>
      <c r="F59" s="3">
        <v>72.510000000000005</v>
      </c>
      <c r="G59" s="3">
        <v>6.75</v>
      </c>
      <c r="H59" s="3">
        <v>22.81</v>
      </c>
      <c r="I59" s="3">
        <v>87.51</v>
      </c>
      <c r="J59" s="3">
        <v>6.08</v>
      </c>
      <c r="K59" s="3">
        <v>22.58</v>
      </c>
      <c r="L59" s="3">
        <v>109.98</v>
      </c>
      <c r="M59" s="3">
        <v>6.37</v>
      </c>
    </row>
    <row r="60" spans="1:13" x14ac:dyDescent="0.3">
      <c r="B60" s="4">
        <v>34.520000000000003</v>
      </c>
      <c r="C60" s="4">
        <v>140.04</v>
      </c>
      <c r="D60" s="4">
        <v>4.54</v>
      </c>
      <c r="E60" s="4">
        <v>33.64</v>
      </c>
      <c r="F60" s="4">
        <v>117.38</v>
      </c>
      <c r="G60" s="4">
        <v>4.21</v>
      </c>
      <c r="H60" s="4">
        <v>33.32</v>
      </c>
      <c r="I60" s="4">
        <v>132.41999999999999</v>
      </c>
      <c r="J60" s="4">
        <v>4.45</v>
      </c>
      <c r="K60" s="4">
        <v>30.87</v>
      </c>
      <c r="L60" s="4">
        <v>125</v>
      </c>
      <c r="M60" s="4">
        <v>4.51</v>
      </c>
    </row>
    <row r="61" spans="1:13" x14ac:dyDescent="0.3">
      <c r="B61" s="3">
        <v>22.41</v>
      </c>
      <c r="C61" s="3">
        <v>72.47</v>
      </c>
      <c r="D61" s="3">
        <v>5.08</v>
      </c>
      <c r="E61" s="3">
        <v>21.91</v>
      </c>
      <c r="F61" s="3">
        <v>79.97</v>
      </c>
      <c r="G61" s="3">
        <v>6.06</v>
      </c>
      <c r="H61" s="3">
        <v>23.58</v>
      </c>
      <c r="I61" s="3">
        <v>79.91</v>
      </c>
      <c r="J61" s="3">
        <v>4.97</v>
      </c>
      <c r="K61" s="3">
        <v>22.54</v>
      </c>
      <c r="L61" s="3">
        <v>81.09</v>
      </c>
      <c r="M61" s="3">
        <v>5.51</v>
      </c>
    </row>
    <row r="62" spans="1:13" x14ac:dyDescent="0.3">
      <c r="B62" s="4">
        <v>30.48</v>
      </c>
      <c r="C62" s="4">
        <v>124.83</v>
      </c>
      <c r="D62" s="4">
        <v>5.15</v>
      </c>
      <c r="E62" s="4">
        <v>33.47</v>
      </c>
      <c r="F62" s="4">
        <v>132.47999999999999</v>
      </c>
      <c r="G62" s="4">
        <v>4.76</v>
      </c>
      <c r="H62" s="4">
        <v>37.07</v>
      </c>
      <c r="I62" s="4">
        <v>132.35</v>
      </c>
      <c r="J62" s="4">
        <v>4.68</v>
      </c>
      <c r="K62" s="4">
        <v>33.79</v>
      </c>
      <c r="L62" s="4">
        <v>124.91</v>
      </c>
      <c r="M62" s="4">
        <v>4.71</v>
      </c>
    </row>
    <row r="63" spans="1:13" x14ac:dyDescent="0.3">
      <c r="B63" s="3">
        <v>21.04</v>
      </c>
      <c r="C63" s="3">
        <v>79.930000000000007</v>
      </c>
      <c r="D63" s="3">
        <v>5.54</v>
      </c>
      <c r="E63" s="3">
        <v>18.37</v>
      </c>
      <c r="F63" s="3">
        <v>79.89</v>
      </c>
      <c r="G63" s="3">
        <v>6.34</v>
      </c>
      <c r="H63" s="3">
        <v>25.5</v>
      </c>
      <c r="I63" s="3">
        <v>87.46</v>
      </c>
      <c r="J63" s="3">
        <v>5.0599999999999996</v>
      </c>
      <c r="K63" s="3">
        <v>23.72</v>
      </c>
      <c r="L63" s="3">
        <v>73.52</v>
      </c>
      <c r="M63" s="3">
        <v>5.75</v>
      </c>
    </row>
    <row r="64" spans="1:13" x14ac:dyDescent="0.3">
      <c r="B64" s="4">
        <v>23.54</v>
      </c>
      <c r="C64" s="4">
        <v>87.36</v>
      </c>
      <c r="D64" s="4">
        <v>5.65</v>
      </c>
      <c r="E64" s="4">
        <v>33.33</v>
      </c>
      <c r="F64" s="4">
        <v>117.79</v>
      </c>
      <c r="G64" s="4">
        <v>5.03</v>
      </c>
      <c r="H64" s="4">
        <v>28.32</v>
      </c>
      <c r="I64" s="4">
        <v>96.19</v>
      </c>
      <c r="J64" s="4">
        <v>5.29</v>
      </c>
      <c r="K64" s="4">
        <v>28.38</v>
      </c>
      <c r="L64" s="4">
        <v>96.31</v>
      </c>
      <c r="M64" s="4">
        <v>5.54</v>
      </c>
    </row>
    <row r="65" spans="2:13" x14ac:dyDescent="0.3">
      <c r="B65" s="3">
        <v>41.41</v>
      </c>
      <c r="C65" s="3">
        <v>124.89</v>
      </c>
      <c r="D65" s="3">
        <v>3.88</v>
      </c>
      <c r="E65" s="3">
        <v>44.06</v>
      </c>
      <c r="F65" s="3">
        <v>118.55</v>
      </c>
      <c r="G65" s="3">
        <v>4.18</v>
      </c>
      <c r="H65" s="3">
        <v>37.07</v>
      </c>
      <c r="I65" s="3">
        <v>124.93</v>
      </c>
      <c r="J65" s="3">
        <v>4.3099999999999996</v>
      </c>
      <c r="K65" s="3">
        <v>43.04</v>
      </c>
      <c r="L65" s="3">
        <v>124.96</v>
      </c>
      <c r="M65" s="3">
        <v>4.26</v>
      </c>
    </row>
    <row r="66" spans="2:13" x14ac:dyDescent="0.3">
      <c r="B66" s="4">
        <v>27.84</v>
      </c>
      <c r="C66" s="4">
        <v>117.49</v>
      </c>
      <c r="D66" s="4">
        <v>5.3</v>
      </c>
      <c r="E66" s="4">
        <v>28.42</v>
      </c>
      <c r="F66" s="4">
        <v>102.42</v>
      </c>
      <c r="G66" s="4">
        <v>4.3499999999999996</v>
      </c>
      <c r="H66" s="4">
        <v>26.67</v>
      </c>
      <c r="I66" s="4">
        <v>103.47</v>
      </c>
      <c r="J66" s="4">
        <v>5.24</v>
      </c>
      <c r="K66" s="4">
        <v>27.03</v>
      </c>
      <c r="L66" s="4">
        <v>117.38</v>
      </c>
      <c r="M66" s="4">
        <v>5.32</v>
      </c>
    </row>
    <row r="67" spans="2:13" x14ac:dyDescent="0.3">
      <c r="B67" s="3">
        <v>19.77</v>
      </c>
      <c r="C67" s="3">
        <v>88.1</v>
      </c>
      <c r="D67" s="3">
        <v>5.94</v>
      </c>
      <c r="E67" s="3">
        <v>19.18</v>
      </c>
      <c r="F67" s="3">
        <v>87.44</v>
      </c>
      <c r="G67" s="3">
        <v>6.14</v>
      </c>
      <c r="H67" s="3">
        <v>17.829999999999998</v>
      </c>
      <c r="I67" s="3">
        <v>87.4</v>
      </c>
      <c r="J67" s="3">
        <v>5.76</v>
      </c>
      <c r="K67" s="3">
        <v>18.48</v>
      </c>
      <c r="L67" s="3">
        <v>87.5</v>
      </c>
      <c r="M67" s="3">
        <v>5.69</v>
      </c>
    </row>
    <row r="68" spans="2:13" x14ac:dyDescent="0.3">
      <c r="B68" s="4">
        <v>24.81</v>
      </c>
      <c r="C68" s="4">
        <v>87.45</v>
      </c>
      <c r="D68" s="4">
        <v>5.21</v>
      </c>
      <c r="E68" s="4">
        <v>20.13</v>
      </c>
      <c r="F68" s="4">
        <v>79.95</v>
      </c>
      <c r="G68" s="4">
        <v>5.36</v>
      </c>
      <c r="H68" s="4">
        <v>17.84</v>
      </c>
      <c r="I68" s="4">
        <v>87.56</v>
      </c>
      <c r="J68" s="4">
        <v>6.16</v>
      </c>
      <c r="K68" s="4">
        <v>18.27</v>
      </c>
      <c r="L68" s="4">
        <v>87.48</v>
      </c>
      <c r="M68" s="4">
        <v>6.09</v>
      </c>
    </row>
    <row r="69" spans="2:13" x14ac:dyDescent="0.3">
      <c r="B69" s="3">
        <v>14.47</v>
      </c>
      <c r="C69" s="3">
        <v>87.5</v>
      </c>
      <c r="D69" s="3">
        <v>8.2200000000000006</v>
      </c>
      <c r="E69" s="3">
        <v>14.7</v>
      </c>
      <c r="F69" s="3">
        <v>87.46</v>
      </c>
      <c r="G69" s="3">
        <v>8.2200000000000006</v>
      </c>
      <c r="H69" s="3">
        <v>16.84</v>
      </c>
      <c r="I69" s="3">
        <v>102.55</v>
      </c>
      <c r="J69" s="3">
        <v>7.51</v>
      </c>
      <c r="K69" s="3">
        <v>15.38</v>
      </c>
      <c r="L69" s="3">
        <v>102.52</v>
      </c>
      <c r="M69" s="3">
        <v>7.93</v>
      </c>
    </row>
    <row r="70" spans="2:13" x14ac:dyDescent="0.3">
      <c r="B70" s="4">
        <v>13.28</v>
      </c>
      <c r="C70" s="4">
        <v>87.5</v>
      </c>
      <c r="D70" s="4">
        <v>8.52</v>
      </c>
      <c r="E70" s="4">
        <v>13.57</v>
      </c>
      <c r="F70" s="4">
        <v>80.989999999999995</v>
      </c>
      <c r="G70" s="4">
        <v>8.76</v>
      </c>
      <c r="H70" s="4">
        <v>13.11</v>
      </c>
      <c r="I70" s="4">
        <v>73.83</v>
      </c>
      <c r="J70" s="4">
        <v>8.76</v>
      </c>
      <c r="K70" s="4">
        <v>14.05</v>
      </c>
      <c r="L70" s="4">
        <v>87.49</v>
      </c>
      <c r="M70" s="4">
        <v>8.56</v>
      </c>
    </row>
    <row r="71" spans="2:13" x14ac:dyDescent="0.3">
      <c r="B71" s="3">
        <v>14.69</v>
      </c>
      <c r="C71" s="3">
        <v>94.96</v>
      </c>
      <c r="D71" s="3">
        <v>8.11</v>
      </c>
      <c r="E71" s="3">
        <v>12.09</v>
      </c>
      <c r="F71" s="3">
        <v>81.28</v>
      </c>
      <c r="G71" s="3">
        <v>8.9600000000000009</v>
      </c>
      <c r="H71" s="3">
        <v>14.18</v>
      </c>
      <c r="I71" s="3">
        <v>87.46</v>
      </c>
      <c r="J71" s="3">
        <v>8.43</v>
      </c>
      <c r="K71" s="3">
        <v>15.07</v>
      </c>
      <c r="L71" s="3">
        <v>95.11</v>
      </c>
      <c r="M71" s="3">
        <v>8.0500000000000007</v>
      </c>
    </row>
    <row r="72" spans="2:13" x14ac:dyDescent="0.3">
      <c r="B72" s="4">
        <v>23.22</v>
      </c>
      <c r="C72" s="4">
        <v>140.02000000000001</v>
      </c>
      <c r="D72" s="4">
        <v>6.52</v>
      </c>
      <c r="E72" s="4">
        <v>20.53</v>
      </c>
      <c r="F72" s="4">
        <v>117.46</v>
      </c>
      <c r="G72" s="4">
        <v>7.03</v>
      </c>
      <c r="H72" s="4">
        <v>20.83</v>
      </c>
      <c r="I72" s="4">
        <v>132.44999999999999</v>
      </c>
      <c r="J72" s="4">
        <v>6.82</v>
      </c>
      <c r="K72" s="4">
        <v>20.03</v>
      </c>
      <c r="L72" s="4">
        <v>126.01</v>
      </c>
      <c r="M72" s="4">
        <v>6.92</v>
      </c>
    </row>
    <row r="73" spans="2:13" x14ac:dyDescent="0.3">
      <c r="B73" s="3">
        <v>15.05</v>
      </c>
      <c r="C73" s="3">
        <v>79.900000000000006</v>
      </c>
      <c r="D73" s="3">
        <v>8.36</v>
      </c>
      <c r="E73" s="3">
        <v>14.95</v>
      </c>
      <c r="F73" s="3">
        <v>87.54</v>
      </c>
      <c r="G73" s="3">
        <v>8.11</v>
      </c>
      <c r="H73" s="3">
        <v>15.58</v>
      </c>
      <c r="I73" s="3">
        <v>87.42</v>
      </c>
      <c r="J73" s="3">
        <v>8.27</v>
      </c>
      <c r="K73" s="3">
        <v>15.17</v>
      </c>
      <c r="L73" s="3">
        <v>94.93</v>
      </c>
      <c r="M73" s="3">
        <v>8.09</v>
      </c>
    </row>
    <row r="74" spans="2:13" x14ac:dyDescent="0.3">
      <c r="B74" s="4">
        <v>21.76</v>
      </c>
      <c r="C74" s="4">
        <v>132.5</v>
      </c>
      <c r="D74" s="4">
        <v>6.89</v>
      </c>
      <c r="E74" s="4">
        <v>24.85</v>
      </c>
      <c r="F74" s="4">
        <v>140.04</v>
      </c>
      <c r="G74" s="4">
        <v>6.29</v>
      </c>
      <c r="H74" s="4">
        <v>26.1</v>
      </c>
      <c r="I74" s="4">
        <v>133.06</v>
      </c>
      <c r="J74" s="4">
        <v>6.42</v>
      </c>
      <c r="K74" s="4">
        <v>22.25</v>
      </c>
      <c r="L74" s="4">
        <v>132.59</v>
      </c>
      <c r="M74" s="4">
        <v>6.83</v>
      </c>
    </row>
    <row r="75" spans="2:13" x14ac:dyDescent="0.3">
      <c r="B75" s="3">
        <v>14.66</v>
      </c>
      <c r="C75" s="3">
        <v>87.46</v>
      </c>
      <c r="D75" s="3">
        <v>8.4600000000000009</v>
      </c>
      <c r="E75" s="3">
        <v>13.5</v>
      </c>
      <c r="F75" s="3">
        <v>72.44</v>
      </c>
      <c r="G75" s="3">
        <v>8.73</v>
      </c>
      <c r="H75" s="3">
        <v>14.54</v>
      </c>
      <c r="I75" s="3">
        <v>87.41</v>
      </c>
      <c r="J75" s="3">
        <v>8.41</v>
      </c>
      <c r="K75" s="3">
        <v>13.97</v>
      </c>
      <c r="L75" s="3">
        <v>87.44</v>
      </c>
      <c r="M75" s="3">
        <v>8.58</v>
      </c>
    </row>
    <row r="76" spans="2:13" x14ac:dyDescent="0.3">
      <c r="B76" s="4">
        <v>15.79</v>
      </c>
      <c r="C76" s="4">
        <v>102.49</v>
      </c>
      <c r="D76" s="4">
        <v>7.95</v>
      </c>
      <c r="E76" s="4">
        <v>21.41</v>
      </c>
      <c r="F76" s="4">
        <v>125.21</v>
      </c>
      <c r="G76" s="4">
        <v>6.95</v>
      </c>
      <c r="H76" s="4">
        <v>17.41</v>
      </c>
      <c r="I76" s="4">
        <v>102.56</v>
      </c>
      <c r="J76" s="4">
        <v>7.51</v>
      </c>
      <c r="K76" s="4">
        <v>18.63</v>
      </c>
      <c r="L76" s="4">
        <v>111.2</v>
      </c>
      <c r="M76" s="4">
        <v>7.35</v>
      </c>
    </row>
    <row r="77" spans="2:13" x14ac:dyDescent="0.3">
      <c r="B77" s="3">
        <v>27.71</v>
      </c>
      <c r="C77" s="3">
        <v>126.02</v>
      </c>
      <c r="D77" s="3">
        <v>6.22</v>
      </c>
      <c r="E77" s="3">
        <v>26.27</v>
      </c>
      <c r="F77" s="3">
        <v>118.48</v>
      </c>
      <c r="G77" s="3">
        <v>6.38</v>
      </c>
      <c r="H77" s="3">
        <v>23.7</v>
      </c>
      <c r="I77" s="3">
        <v>132.41999999999999</v>
      </c>
      <c r="J77" s="3">
        <v>6.54</v>
      </c>
      <c r="K77" s="3">
        <v>27.64</v>
      </c>
      <c r="L77" s="3">
        <v>132.53</v>
      </c>
      <c r="M77" s="3">
        <v>5.98</v>
      </c>
    </row>
    <row r="78" spans="2:13" x14ac:dyDescent="0.3">
      <c r="B78" s="4">
        <v>20.399999999999999</v>
      </c>
      <c r="C78" s="4">
        <v>117.5</v>
      </c>
      <c r="D78" s="4">
        <v>6.71</v>
      </c>
      <c r="E78" s="4">
        <v>16.27</v>
      </c>
      <c r="F78" s="4">
        <v>94.96</v>
      </c>
      <c r="G78" s="4">
        <v>7.65</v>
      </c>
      <c r="H78" s="4">
        <v>19.27</v>
      </c>
      <c r="I78" s="4">
        <v>103.74</v>
      </c>
      <c r="J78" s="4">
        <v>6.79</v>
      </c>
      <c r="K78" s="4">
        <v>19.010000000000002</v>
      </c>
      <c r="L78" s="4">
        <v>125.09</v>
      </c>
      <c r="M78" s="4">
        <v>7.16</v>
      </c>
    </row>
    <row r="79" spans="2:13" x14ac:dyDescent="0.3">
      <c r="B79" s="3">
        <v>14.21</v>
      </c>
      <c r="C79" s="3">
        <v>87.54</v>
      </c>
      <c r="D79" s="3">
        <v>8.17</v>
      </c>
      <c r="E79" s="3">
        <v>13.37</v>
      </c>
      <c r="F79" s="3">
        <v>95.01</v>
      </c>
      <c r="G79" s="3">
        <v>8.08</v>
      </c>
      <c r="H79" s="3">
        <v>13.33</v>
      </c>
      <c r="I79" s="3">
        <v>87.42</v>
      </c>
      <c r="J79" s="3">
        <v>8.65</v>
      </c>
      <c r="K79" s="3">
        <v>13.23</v>
      </c>
      <c r="L79" s="3">
        <v>95.21</v>
      </c>
      <c r="M79" s="3">
        <v>8.43</v>
      </c>
    </row>
    <row r="80" spans="2:13" x14ac:dyDescent="0.3">
      <c r="B80" s="4">
        <v>13.81</v>
      </c>
      <c r="C80" s="4">
        <v>87.5</v>
      </c>
      <c r="D80" s="4">
        <v>8.39</v>
      </c>
      <c r="E80" s="4">
        <v>13.96</v>
      </c>
      <c r="F80" s="4">
        <v>87.49</v>
      </c>
      <c r="G80" s="4">
        <v>8.02</v>
      </c>
      <c r="H80" s="4">
        <v>12.87</v>
      </c>
      <c r="I80" s="4">
        <v>87.51</v>
      </c>
      <c r="J80" s="4">
        <v>8.39</v>
      </c>
      <c r="K80" s="4">
        <v>14.06</v>
      </c>
      <c r="L80" s="4">
        <v>88.61</v>
      </c>
      <c r="M80" s="4">
        <v>7.96</v>
      </c>
    </row>
    <row r="82" spans="1:13" x14ac:dyDescent="0.3">
      <c r="A82" s="5" t="s">
        <v>39</v>
      </c>
      <c r="B82" s="5">
        <f>AVERAGE(B57:B80)</f>
        <v>21.725416666666664</v>
      </c>
      <c r="C82" s="5">
        <f t="shared" ref="C82:M82" si="1">AVERAGE(C57:C80)</f>
        <v>100.67250000000001</v>
      </c>
      <c r="D82" s="5">
        <f t="shared" si="1"/>
        <v>6.5249999999999986</v>
      </c>
      <c r="E82" s="5">
        <f t="shared" si="1"/>
        <v>21.567083333333333</v>
      </c>
      <c r="F82" s="5">
        <f t="shared" si="1"/>
        <v>97.098333333333343</v>
      </c>
      <c r="G82" s="5">
        <f t="shared" si="1"/>
        <v>6.5825000000000022</v>
      </c>
      <c r="H82" s="5">
        <f t="shared" si="1"/>
        <v>21.698749999999993</v>
      </c>
      <c r="I82" s="5">
        <f t="shared" si="1"/>
        <v>100.18458333333335</v>
      </c>
      <c r="J82" s="5">
        <f t="shared" si="1"/>
        <v>6.5116666666666676</v>
      </c>
      <c r="K82" s="5">
        <f t="shared" si="1"/>
        <v>21.627500000000001</v>
      </c>
      <c r="L82" s="5">
        <f t="shared" si="1"/>
        <v>103.71791666666668</v>
      </c>
      <c r="M82" s="5">
        <f t="shared" si="1"/>
        <v>6.532916666666666</v>
      </c>
    </row>
    <row r="83" spans="1:13" x14ac:dyDescent="0.3">
      <c r="A83" s="5" t="s">
        <v>35</v>
      </c>
      <c r="B83" s="5">
        <f>AVERAGE(B82,E82,H82,K82)</f>
        <v>21.654687499999998</v>
      </c>
      <c r="C83" s="5">
        <f>AVERAGE(C82,F82,I82,L82)</f>
        <v>100.41833333333335</v>
      </c>
      <c r="D83" s="5">
        <f>AVERAGE(D82,G82,J82,M82)</f>
        <v>6.5380208333333334</v>
      </c>
    </row>
    <row r="85" spans="1:13" x14ac:dyDescent="0.3">
      <c r="A85" t="s">
        <v>28</v>
      </c>
      <c r="B85" s="3">
        <v>31.49</v>
      </c>
      <c r="C85" s="3">
        <v>57.43</v>
      </c>
      <c r="D85" s="3">
        <v>4.34</v>
      </c>
      <c r="E85" s="3">
        <v>21.4</v>
      </c>
      <c r="F85" s="3">
        <v>42.33</v>
      </c>
      <c r="G85" s="3">
        <v>6.27</v>
      </c>
      <c r="H85" s="3">
        <v>34.08</v>
      </c>
      <c r="I85" s="3">
        <v>42.27</v>
      </c>
      <c r="J85" s="3">
        <v>4.37</v>
      </c>
      <c r="K85" s="3">
        <v>32.85</v>
      </c>
      <c r="L85" s="3">
        <v>57.51</v>
      </c>
      <c r="M85" s="3">
        <v>4.4400000000000004</v>
      </c>
    </row>
    <row r="86" spans="1:13" x14ac:dyDescent="0.3">
      <c r="B86" s="4">
        <v>32.92</v>
      </c>
      <c r="C86" s="4">
        <v>42.23</v>
      </c>
      <c r="D86" s="4">
        <v>4.12</v>
      </c>
      <c r="E86" s="4">
        <v>35.81</v>
      </c>
      <c r="F86" s="4">
        <v>57.36</v>
      </c>
      <c r="G86" s="4">
        <v>2.75</v>
      </c>
      <c r="H86" s="4">
        <v>39.96</v>
      </c>
      <c r="I86" s="4">
        <v>49.92</v>
      </c>
      <c r="J86" s="4">
        <v>3.67</v>
      </c>
      <c r="K86" s="4">
        <v>32.39</v>
      </c>
      <c r="L86" s="4">
        <v>49.76</v>
      </c>
      <c r="M86" s="4">
        <v>4.49</v>
      </c>
    </row>
    <row r="87" spans="1:13" x14ac:dyDescent="0.3">
      <c r="B87" s="3">
        <v>44.01</v>
      </c>
      <c r="C87" s="3">
        <v>34.61</v>
      </c>
      <c r="D87" s="3">
        <v>3.17</v>
      </c>
      <c r="E87" s="3">
        <v>48.7</v>
      </c>
      <c r="F87" s="3">
        <v>27.32</v>
      </c>
      <c r="G87" s="3">
        <v>3.66</v>
      </c>
      <c r="H87" s="3">
        <v>29.8</v>
      </c>
      <c r="I87" s="3">
        <v>12.43</v>
      </c>
      <c r="J87" s="3">
        <v>4.57</v>
      </c>
      <c r="K87" s="3">
        <v>27.56</v>
      </c>
      <c r="L87" s="3">
        <v>19.82</v>
      </c>
      <c r="M87" s="3">
        <v>3.93</v>
      </c>
    </row>
    <row r="88" spans="1:13" x14ac:dyDescent="0.3">
      <c r="B88" s="4">
        <v>13.35</v>
      </c>
      <c r="C88" s="4">
        <v>50.2</v>
      </c>
      <c r="D88" s="4">
        <v>8.8699999999999992</v>
      </c>
      <c r="E88" s="4">
        <v>30.7</v>
      </c>
      <c r="F88" s="4">
        <v>58.57</v>
      </c>
      <c r="G88" s="4">
        <v>4.37</v>
      </c>
      <c r="H88" s="4">
        <v>7.68</v>
      </c>
      <c r="I88" s="4">
        <v>49.87</v>
      </c>
      <c r="J88" s="4">
        <v>10.69</v>
      </c>
      <c r="K88" s="4">
        <v>1.97</v>
      </c>
      <c r="L88" s="4">
        <v>4.5999999999999996</v>
      </c>
      <c r="M88" s="4">
        <v>13.68</v>
      </c>
    </row>
    <row r="89" spans="1:13" x14ac:dyDescent="0.3">
      <c r="B89" s="3">
        <v>42.03</v>
      </c>
      <c r="C89" s="3">
        <v>57.36</v>
      </c>
      <c r="D89" s="3">
        <v>4.03</v>
      </c>
      <c r="E89" s="3">
        <v>42.07</v>
      </c>
      <c r="F89" s="3">
        <v>58.45</v>
      </c>
      <c r="G89" s="3">
        <v>3.78</v>
      </c>
      <c r="H89" s="3">
        <v>42.48</v>
      </c>
      <c r="I89" s="3">
        <v>49.88</v>
      </c>
      <c r="J89" s="3">
        <v>3.72</v>
      </c>
      <c r="K89" s="3">
        <v>47.12</v>
      </c>
      <c r="L89" s="3">
        <v>57.4</v>
      </c>
      <c r="M89" s="3">
        <v>3.59</v>
      </c>
    </row>
    <row r="90" spans="1:13" x14ac:dyDescent="0.3">
      <c r="B90" s="4">
        <v>34.159999999999997</v>
      </c>
      <c r="C90" s="4">
        <v>72.31</v>
      </c>
      <c r="D90" s="4">
        <v>4.4800000000000004</v>
      </c>
      <c r="E90" s="4">
        <v>52.08</v>
      </c>
      <c r="F90" s="4">
        <v>72.98</v>
      </c>
      <c r="G90" s="4">
        <v>3.36</v>
      </c>
      <c r="H90" s="4">
        <v>35.19</v>
      </c>
      <c r="I90" s="4">
        <v>95.14</v>
      </c>
      <c r="J90" s="4">
        <v>4.78</v>
      </c>
      <c r="K90" s="4">
        <v>36.9</v>
      </c>
      <c r="L90" s="4">
        <v>72.5</v>
      </c>
      <c r="M90" s="4">
        <v>4.59</v>
      </c>
    </row>
    <row r="91" spans="1:13" x14ac:dyDescent="0.3">
      <c r="B91" s="3">
        <v>48.1</v>
      </c>
      <c r="C91" s="3">
        <v>42.73</v>
      </c>
      <c r="D91" s="3">
        <v>4.08</v>
      </c>
      <c r="E91" s="3">
        <v>43.9</v>
      </c>
      <c r="F91" s="3">
        <v>42.57</v>
      </c>
      <c r="G91" s="3">
        <v>4.13</v>
      </c>
      <c r="H91" s="3">
        <v>46.03</v>
      </c>
      <c r="I91" s="3">
        <v>34.200000000000003</v>
      </c>
      <c r="J91" s="3">
        <v>4.4400000000000004</v>
      </c>
      <c r="K91" s="3">
        <v>42.67</v>
      </c>
      <c r="L91" s="3">
        <v>64.75</v>
      </c>
      <c r="M91" s="3">
        <v>3.2</v>
      </c>
    </row>
    <row r="92" spans="1:13" x14ac:dyDescent="0.3">
      <c r="B92" s="4">
        <v>17.29</v>
      </c>
      <c r="C92" s="4">
        <v>35.06</v>
      </c>
      <c r="D92" s="4">
        <v>7.72</v>
      </c>
      <c r="E92" s="4">
        <v>32.57</v>
      </c>
      <c r="F92" s="4">
        <v>57.33</v>
      </c>
      <c r="G92" s="4">
        <v>4.43</v>
      </c>
      <c r="H92" s="4">
        <v>29.39</v>
      </c>
      <c r="I92" s="4">
        <v>50.21</v>
      </c>
      <c r="J92" s="4">
        <v>4.9000000000000004</v>
      </c>
      <c r="K92" s="4">
        <v>18.18</v>
      </c>
      <c r="L92" s="4">
        <v>34.86</v>
      </c>
      <c r="M92" s="4">
        <v>6.94</v>
      </c>
    </row>
    <row r="93" spans="1:13" x14ac:dyDescent="0.3">
      <c r="B93" s="3">
        <v>17.41</v>
      </c>
      <c r="C93" s="3">
        <v>42.29</v>
      </c>
      <c r="D93" s="3">
        <v>6.52</v>
      </c>
      <c r="E93" s="3">
        <v>21.93</v>
      </c>
      <c r="F93" s="3">
        <v>42.29</v>
      </c>
      <c r="G93" s="3">
        <v>5.6</v>
      </c>
      <c r="H93" s="3">
        <v>29.09</v>
      </c>
      <c r="I93" s="3">
        <v>49.86</v>
      </c>
      <c r="J93" s="3">
        <v>5.15</v>
      </c>
      <c r="K93" s="3">
        <v>27.29</v>
      </c>
      <c r="L93" s="3">
        <v>57.57</v>
      </c>
      <c r="M93" s="3">
        <v>4.7</v>
      </c>
    </row>
    <row r="94" spans="1:13" x14ac:dyDescent="0.3">
      <c r="B94" s="4">
        <v>27.94</v>
      </c>
      <c r="C94" s="4">
        <v>57.28</v>
      </c>
      <c r="D94" s="4">
        <v>4.88</v>
      </c>
      <c r="E94" s="4">
        <v>33.81</v>
      </c>
      <c r="F94" s="4">
        <v>57.46</v>
      </c>
      <c r="G94" s="4">
        <v>4.09</v>
      </c>
      <c r="H94" s="4">
        <v>47.53</v>
      </c>
      <c r="I94" s="4">
        <v>58.18</v>
      </c>
      <c r="J94" s="4">
        <v>3.33</v>
      </c>
      <c r="K94" s="4">
        <v>17.78</v>
      </c>
      <c r="L94" s="4">
        <v>42.45</v>
      </c>
      <c r="M94" s="4">
        <v>6.62</v>
      </c>
    </row>
    <row r="95" spans="1:13" x14ac:dyDescent="0.3">
      <c r="B95" s="3">
        <v>26.59</v>
      </c>
      <c r="C95" s="3">
        <v>27.31</v>
      </c>
      <c r="D95" s="3">
        <v>5.26</v>
      </c>
      <c r="E95" s="3">
        <v>19.07</v>
      </c>
      <c r="F95" s="3">
        <v>34.880000000000003</v>
      </c>
      <c r="G95" s="3">
        <v>6.41</v>
      </c>
      <c r="H95" s="3">
        <v>41.57</v>
      </c>
      <c r="I95" s="3">
        <v>42.7</v>
      </c>
      <c r="J95" s="3">
        <v>4.37</v>
      </c>
      <c r="K95" s="3">
        <v>42.68</v>
      </c>
      <c r="L95" s="3">
        <v>49.87</v>
      </c>
      <c r="M95" s="3">
        <v>3.87</v>
      </c>
    </row>
    <row r="96" spans="1:13" x14ac:dyDescent="0.3">
      <c r="B96" s="4">
        <v>20.440000000000001</v>
      </c>
      <c r="C96" s="4">
        <v>42.3</v>
      </c>
      <c r="D96" s="4">
        <v>6.18</v>
      </c>
      <c r="E96" s="4">
        <v>37.25</v>
      </c>
      <c r="F96" s="4">
        <v>64.86</v>
      </c>
      <c r="G96" s="4">
        <v>3.26</v>
      </c>
      <c r="H96" s="4">
        <v>33.71</v>
      </c>
      <c r="I96" s="4">
        <v>50.32</v>
      </c>
      <c r="J96" s="4">
        <v>4.96</v>
      </c>
      <c r="K96" s="4">
        <v>13.49</v>
      </c>
      <c r="L96" s="4">
        <v>28.26</v>
      </c>
      <c r="M96" s="4">
        <v>7.4</v>
      </c>
    </row>
    <row r="97" spans="1:13" x14ac:dyDescent="0.3">
      <c r="B97" s="3">
        <v>13.18</v>
      </c>
      <c r="C97" s="3">
        <v>57.17</v>
      </c>
      <c r="D97" s="3">
        <v>8.75</v>
      </c>
      <c r="E97" s="3">
        <v>14.82</v>
      </c>
      <c r="F97" s="3">
        <v>57.23</v>
      </c>
      <c r="G97" s="3">
        <v>8.42</v>
      </c>
      <c r="H97" s="3">
        <v>16.940000000000001</v>
      </c>
      <c r="I97" s="3">
        <v>72.33</v>
      </c>
      <c r="J97" s="3">
        <v>8.19</v>
      </c>
      <c r="K97" s="3">
        <v>12.8</v>
      </c>
      <c r="L97" s="3">
        <v>64.739999999999995</v>
      </c>
      <c r="M97" s="3">
        <v>8.19</v>
      </c>
    </row>
    <row r="98" spans="1:13" x14ac:dyDescent="0.3">
      <c r="B98" s="4">
        <v>18.96</v>
      </c>
      <c r="C98" s="4">
        <v>42.31</v>
      </c>
      <c r="D98" s="4">
        <v>6.84</v>
      </c>
      <c r="E98" s="4">
        <v>19.78</v>
      </c>
      <c r="F98" s="4">
        <v>65.849999999999994</v>
      </c>
      <c r="G98" s="4">
        <v>6.53</v>
      </c>
      <c r="H98" s="4">
        <v>24.26</v>
      </c>
      <c r="I98" s="4">
        <v>72.27</v>
      </c>
      <c r="J98" s="4">
        <v>6.12</v>
      </c>
      <c r="K98" s="4">
        <v>22.07</v>
      </c>
      <c r="L98" s="4">
        <v>72.16</v>
      </c>
      <c r="M98" s="4">
        <v>6.95</v>
      </c>
    </row>
    <row r="99" spans="1:13" x14ac:dyDescent="0.3">
      <c r="B99" s="3">
        <v>17.89</v>
      </c>
      <c r="C99" s="3">
        <v>49.74</v>
      </c>
      <c r="D99" s="3">
        <v>7.2</v>
      </c>
      <c r="E99" s="3">
        <v>16.68</v>
      </c>
      <c r="F99" s="3">
        <v>27.14</v>
      </c>
      <c r="G99" s="3">
        <v>6.91</v>
      </c>
      <c r="H99" s="3">
        <v>8.7200000000000006</v>
      </c>
      <c r="I99" s="3">
        <v>27.24</v>
      </c>
      <c r="J99" s="3">
        <v>9.86</v>
      </c>
      <c r="K99" s="3">
        <v>17.32</v>
      </c>
      <c r="L99" s="3">
        <v>42.17</v>
      </c>
      <c r="M99" s="3">
        <v>7.34</v>
      </c>
    </row>
    <row r="100" spans="1:13" x14ac:dyDescent="0.3">
      <c r="B100" s="4">
        <v>8.89</v>
      </c>
      <c r="C100" s="4">
        <v>49.81</v>
      </c>
      <c r="D100" s="4">
        <v>10.43</v>
      </c>
      <c r="E100" s="4">
        <v>15.48</v>
      </c>
      <c r="F100" s="4">
        <v>64.62</v>
      </c>
      <c r="G100" s="4">
        <v>8.61</v>
      </c>
      <c r="H100" s="4">
        <v>7.61</v>
      </c>
      <c r="I100" s="4">
        <v>57.46</v>
      </c>
      <c r="J100" s="4">
        <v>10.59</v>
      </c>
      <c r="K100" s="4">
        <v>2.84</v>
      </c>
      <c r="L100" s="4">
        <v>5</v>
      </c>
      <c r="M100" s="4">
        <v>12.58</v>
      </c>
    </row>
    <row r="101" spans="1:13" x14ac:dyDescent="0.3">
      <c r="B101" s="3">
        <v>23.49</v>
      </c>
      <c r="C101" s="3">
        <v>64.73</v>
      </c>
      <c r="D101" s="3">
        <v>6.96</v>
      </c>
      <c r="E101" s="3">
        <v>23.25</v>
      </c>
      <c r="F101" s="3">
        <v>65.989999999999995</v>
      </c>
      <c r="G101" s="3">
        <v>6.42</v>
      </c>
      <c r="H101" s="3">
        <v>24.68</v>
      </c>
      <c r="I101" s="3">
        <v>64.94</v>
      </c>
      <c r="J101" s="3">
        <v>6.66</v>
      </c>
      <c r="K101" s="3">
        <v>23.41</v>
      </c>
      <c r="L101" s="3">
        <v>64.73</v>
      </c>
      <c r="M101" s="3">
        <v>6.96</v>
      </c>
    </row>
    <row r="102" spans="1:13" x14ac:dyDescent="0.3">
      <c r="B102" s="4">
        <v>23.42</v>
      </c>
      <c r="C102" s="4">
        <v>72.3</v>
      </c>
      <c r="D102" s="4">
        <v>6.56</v>
      </c>
      <c r="E102" s="4">
        <v>22.37</v>
      </c>
      <c r="F102" s="4">
        <v>73.569999999999993</v>
      </c>
      <c r="G102" s="4">
        <v>6.78</v>
      </c>
      <c r="H102" s="4">
        <v>25.26</v>
      </c>
      <c r="I102" s="4">
        <v>94.81</v>
      </c>
      <c r="J102" s="4">
        <v>6.57</v>
      </c>
      <c r="K102" s="4">
        <v>20.57</v>
      </c>
      <c r="L102" s="4">
        <v>79.599999999999994</v>
      </c>
      <c r="M102" s="4">
        <v>7.08</v>
      </c>
    </row>
    <row r="103" spans="1:13" x14ac:dyDescent="0.3">
      <c r="B103" s="3">
        <v>17.95</v>
      </c>
      <c r="C103" s="3">
        <v>48.77</v>
      </c>
      <c r="D103" s="3">
        <v>7.54</v>
      </c>
      <c r="E103" s="3">
        <v>22.49</v>
      </c>
      <c r="F103" s="3">
        <v>57.22</v>
      </c>
      <c r="G103" s="3">
        <v>6.7</v>
      </c>
      <c r="H103" s="3">
        <v>17.670000000000002</v>
      </c>
      <c r="I103" s="3">
        <v>35.57</v>
      </c>
      <c r="J103" s="3">
        <v>7.79</v>
      </c>
      <c r="K103" s="3">
        <v>24.15</v>
      </c>
      <c r="L103" s="3">
        <v>64.59</v>
      </c>
      <c r="M103" s="3">
        <v>6.97</v>
      </c>
    </row>
    <row r="104" spans="1:13" x14ac:dyDescent="0.3">
      <c r="B104" s="4">
        <v>13.97</v>
      </c>
      <c r="C104" s="4">
        <v>42.24</v>
      </c>
      <c r="D104" s="4">
        <v>8.08</v>
      </c>
      <c r="E104" s="4">
        <v>18.02</v>
      </c>
      <c r="F104" s="4">
        <v>58.61</v>
      </c>
      <c r="G104" s="4">
        <v>7.95</v>
      </c>
      <c r="H104" s="4">
        <v>16.07</v>
      </c>
      <c r="I104" s="4">
        <v>42.23</v>
      </c>
      <c r="J104" s="4">
        <v>7.55</v>
      </c>
      <c r="K104" s="4">
        <v>12.05</v>
      </c>
      <c r="L104" s="4">
        <v>28.45</v>
      </c>
      <c r="M104" s="4">
        <v>9.4</v>
      </c>
    </row>
    <row r="105" spans="1:13" x14ac:dyDescent="0.3">
      <c r="B105" s="3">
        <v>13.43</v>
      </c>
      <c r="C105" s="3">
        <v>42.29</v>
      </c>
      <c r="D105" s="3">
        <v>9.16</v>
      </c>
      <c r="E105" s="3">
        <v>13.69</v>
      </c>
      <c r="F105" s="3">
        <v>49.65</v>
      </c>
      <c r="G105" s="3">
        <v>8.76</v>
      </c>
      <c r="H105" s="3">
        <v>14.84</v>
      </c>
      <c r="I105" s="3">
        <v>57.15</v>
      </c>
      <c r="J105" s="3">
        <v>8.16</v>
      </c>
      <c r="K105" s="3">
        <v>16.52</v>
      </c>
      <c r="L105" s="3">
        <v>64.84</v>
      </c>
      <c r="M105" s="3">
        <v>8.2100000000000009</v>
      </c>
    </row>
    <row r="106" spans="1:13" x14ac:dyDescent="0.3">
      <c r="B106" s="4">
        <v>15.46</v>
      </c>
      <c r="C106" s="4">
        <v>57.31</v>
      </c>
      <c r="D106" s="4">
        <v>7.88</v>
      </c>
      <c r="E106" s="4">
        <v>23.63</v>
      </c>
      <c r="F106" s="4">
        <v>64.709999999999994</v>
      </c>
      <c r="G106" s="4">
        <v>7.07</v>
      </c>
      <c r="H106" s="4">
        <v>18.14</v>
      </c>
      <c r="I106" s="4">
        <v>64.7</v>
      </c>
      <c r="J106" s="4">
        <v>7.36</v>
      </c>
      <c r="K106" s="4">
        <v>16.78</v>
      </c>
      <c r="L106" s="4">
        <v>49.71</v>
      </c>
      <c r="M106" s="4">
        <v>7.54</v>
      </c>
    </row>
    <row r="107" spans="1:13" x14ac:dyDescent="0.3">
      <c r="B107" s="3">
        <v>18.510000000000002</v>
      </c>
      <c r="C107" s="3">
        <v>57.1</v>
      </c>
      <c r="D107" s="3">
        <v>6.82</v>
      </c>
      <c r="E107" s="3">
        <v>13.04</v>
      </c>
      <c r="F107" s="3">
        <v>42.29</v>
      </c>
      <c r="G107" s="3">
        <v>8.9600000000000009</v>
      </c>
      <c r="H107" s="3">
        <v>24.39</v>
      </c>
      <c r="I107" s="3">
        <v>49.7</v>
      </c>
      <c r="J107" s="3">
        <v>6.64</v>
      </c>
      <c r="K107" s="3">
        <v>25.62</v>
      </c>
      <c r="L107" s="3">
        <v>64.59</v>
      </c>
      <c r="M107" s="3">
        <v>6.11</v>
      </c>
    </row>
    <row r="108" spans="1:13" x14ac:dyDescent="0.3">
      <c r="B108" s="4">
        <v>10.31</v>
      </c>
      <c r="C108" s="4">
        <v>49.64</v>
      </c>
      <c r="D108" s="4">
        <v>8.5399999999999991</v>
      </c>
      <c r="E108" s="4">
        <v>13.89</v>
      </c>
      <c r="F108" s="4">
        <v>64.64</v>
      </c>
      <c r="G108" s="4">
        <v>8</v>
      </c>
      <c r="H108" s="4">
        <v>12.61</v>
      </c>
      <c r="I108" s="4">
        <v>49.7</v>
      </c>
      <c r="J108" s="4">
        <v>7.96</v>
      </c>
      <c r="K108" s="4">
        <v>13.1</v>
      </c>
      <c r="L108" s="4">
        <v>49.7</v>
      </c>
      <c r="M108" s="4">
        <v>8.56</v>
      </c>
    </row>
    <row r="110" spans="1:13" x14ac:dyDescent="0.3">
      <c r="A110" s="5" t="s">
        <v>39</v>
      </c>
      <c r="B110" s="5">
        <f>AVERAGE(B85:B108)</f>
        <v>22.966249999999999</v>
      </c>
      <c r="C110" s="5">
        <f t="shared" ref="C110:M110" si="2">AVERAGE(C85:C108)</f>
        <v>49.771666666666654</v>
      </c>
      <c r="D110" s="5">
        <f t="shared" si="2"/>
        <v>6.6004166666666668</v>
      </c>
      <c r="E110" s="5">
        <f t="shared" si="2"/>
        <v>26.517916666666665</v>
      </c>
      <c r="F110" s="5">
        <f t="shared" si="2"/>
        <v>54.49666666666667</v>
      </c>
      <c r="G110" s="5">
        <f t="shared" si="2"/>
        <v>5.9675000000000002</v>
      </c>
      <c r="H110" s="5">
        <f t="shared" si="2"/>
        <v>26.154166666666665</v>
      </c>
      <c r="I110" s="5">
        <f t="shared" si="2"/>
        <v>53.045000000000009</v>
      </c>
      <c r="J110" s="5">
        <f t="shared" si="2"/>
        <v>6.3500000000000005</v>
      </c>
      <c r="K110" s="5">
        <f t="shared" si="2"/>
        <v>22.837916666666668</v>
      </c>
      <c r="L110" s="5">
        <f t="shared" si="2"/>
        <v>49.567916666666669</v>
      </c>
      <c r="M110" s="5">
        <f t="shared" si="2"/>
        <v>6.8058333333333332</v>
      </c>
    </row>
    <row r="111" spans="1:13" x14ac:dyDescent="0.3">
      <c r="A111" s="5" t="s">
        <v>35</v>
      </c>
      <c r="B111" s="5">
        <f>AVERAGE(B110,E110,H110,K110)</f>
        <v>24.619062500000002</v>
      </c>
      <c r="C111" s="5">
        <f>AVERAGE(C110,F110,I110,L110)</f>
        <v>51.720312499999999</v>
      </c>
      <c r="D111" s="5">
        <f>AVERAGE(D110,G110,J110,M110)</f>
        <v>6.4309374999999998</v>
      </c>
    </row>
    <row r="113" spans="1:13" x14ac:dyDescent="0.3">
      <c r="B113" s="38" t="s">
        <v>29</v>
      </c>
      <c r="C113" s="38"/>
      <c r="D113" s="38"/>
      <c r="E113" s="38"/>
    </row>
    <row r="115" spans="1:13" x14ac:dyDescent="0.3">
      <c r="B115" s="39" t="s">
        <v>17</v>
      </c>
      <c r="C115" s="39"/>
      <c r="D115" s="39"/>
      <c r="E115" s="40" t="s">
        <v>18</v>
      </c>
      <c r="F115" s="40"/>
      <c r="G115" s="40"/>
      <c r="H115" s="41" t="s">
        <v>19</v>
      </c>
      <c r="I115" s="41"/>
      <c r="J115" s="41"/>
      <c r="K115" s="42" t="s">
        <v>20</v>
      </c>
      <c r="L115" s="42"/>
      <c r="M115" s="42"/>
    </row>
    <row r="116" spans="1:13" x14ac:dyDescent="0.3">
      <c r="B116" s="1" t="s">
        <v>21</v>
      </c>
      <c r="C116" s="1" t="s">
        <v>22</v>
      </c>
      <c r="D116" s="1" t="s">
        <v>23</v>
      </c>
      <c r="E116" s="1" t="s">
        <v>21</v>
      </c>
      <c r="F116" s="1" t="s">
        <v>22</v>
      </c>
      <c r="G116" s="1" t="s">
        <v>23</v>
      </c>
      <c r="H116" s="1" t="s">
        <v>21</v>
      </c>
      <c r="I116" s="1" t="s">
        <v>22</v>
      </c>
      <c r="J116" s="1" t="s">
        <v>23</v>
      </c>
      <c r="K116" s="1" t="s">
        <v>21</v>
      </c>
      <c r="L116" s="1" t="s">
        <v>22</v>
      </c>
      <c r="M116" s="1" t="s">
        <v>23</v>
      </c>
    </row>
    <row r="117" spans="1:13" x14ac:dyDescent="0.3">
      <c r="A117" t="s">
        <v>27</v>
      </c>
      <c r="B117" s="3">
        <v>12.2</v>
      </c>
      <c r="C117" s="3">
        <v>42.42</v>
      </c>
      <c r="D117" s="3">
        <v>7.98</v>
      </c>
      <c r="E117" s="3">
        <v>13.79</v>
      </c>
      <c r="F117" s="3">
        <v>42.49</v>
      </c>
      <c r="G117" s="3">
        <v>7.13</v>
      </c>
      <c r="H117" s="3">
        <v>10.33</v>
      </c>
      <c r="I117" s="3">
        <v>42.58</v>
      </c>
      <c r="J117" s="3">
        <v>8.3800000000000008</v>
      </c>
      <c r="K117" s="3">
        <v>11.63</v>
      </c>
      <c r="L117" s="3">
        <v>41.96</v>
      </c>
      <c r="M117" s="3">
        <v>8.18</v>
      </c>
    </row>
    <row r="118" spans="1:13" x14ac:dyDescent="0.3">
      <c r="B118" s="4">
        <v>30.13</v>
      </c>
      <c r="C118" s="4">
        <v>42.18</v>
      </c>
      <c r="D118" s="4">
        <v>3.64</v>
      </c>
      <c r="E118" s="4">
        <v>26.92</v>
      </c>
      <c r="F118" s="4">
        <v>42.17</v>
      </c>
      <c r="G118" s="4">
        <v>4.3</v>
      </c>
      <c r="H118" s="4">
        <v>29.48</v>
      </c>
      <c r="I118" s="4">
        <v>50.16</v>
      </c>
      <c r="J118" s="4">
        <v>3.65</v>
      </c>
      <c r="K118" s="4">
        <v>29.38</v>
      </c>
      <c r="L118" s="4">
        <v>42.44</v>
      </c>
      <c r="M118" s="4">
        <v>3.48</v>
      </c>
    </row>
    <row r="119" spans="1:13" x14ac:dyDescent="0.3">
      <c r="B119" s="3">
        <v>33.96</v>
      </c>
      <c r="C119" s="3">
        <v>34.94</v>
      </c>
      <c r="D119" s="3">
        <v>4.7300000000000004</v>
      </c>
      <c r="E119" s="3">
        <v>31.59</v>
      </c>
      <c r="F119" s="3">
        <v>42.78</v>
      </c>
      <c r="G119" s="3">
        <v>5.62</v>
      </c>
      <c r="H119" s="3">
        <v>35.11</v>
      </c>
      <c r="I119" s="3">
        <v>27.46</v>
      </c>
      <c r="J119" s="3">
        <v>4.68</v>
      </c>
      <c r="K119" s="3">
        <v>29.46</v>
      </c>
      <c r="L119" s="3">
        <v>35.200000000000003</v>
      </c>
      <c r="M119" s="3">
        <v>5.91</v>
      </c>
    </row>
    <row r="120" spans="1:13" x14ac:dyDescent="0.3">
      <c r="B120" s="4">
        <v>20.84</v>
      </c>
      <c r="C120" s="4">
        <v>27.54</v>
      </c>
      <c r="D120" s="4">
        <v>5.85</v>
      </c>
      <c r="E120" s="4">
        <v>24.64</v>
      </c>
      <c r="F120" s="4">
        <v>34.97</v>
      </c>
      <c r="G120" s="4">
        <v>5.82</v>
      </c>
      <c r="H120" s="4">
        <v>23.5</v>
      </c>
      <c r="I120" s="4">
        <v>35.04</v>
      </c>
      <c r="J120" s="4">
        <v>5.8</v>
      </c>
      <c r="K120" s="4">
        <v>24.23</v>
      </c>
      <c r="L120" s="4">
        <v>34.93</v>
      </c>
      <c r="M120" s="4">
        <v>5.42</v>
      </c>
    </row>
    <row r="121" spans="1:13" x14ac:dyDescent="0.3">
      <c r="B121" s="3">
        <v>18.059999999999999</v>
      </c>
      <c r="C121" s="3">
        <v>34.869999999999997</v>
      </c>
      <c r="D121" s="3">
        <v>5.56</v>
      </c>
      <c r="E121" s="3">
        <v>21.01</v>
      </c>
      <c r="F121" s="3">
        <v>19.940000000000001</v>
      </c>
      <c r="G121" s="3">
        <v>5.94</v>
      </c>
      <c r="H121" s="3">
        <v>17.34</v>
      </c>
      <c r="I121" s="3">
        <v>34.68</v>
      </c>
      <c r="J121" s="3">
        <v>6.52</v>
      </c>
      <c r="K121" s="3">
        <v>18.8</v>
      </c>
      <c r="L121" s="3">
        <v>42.43</v>
      </c>
      <c r="M121" s="3">
        <v>4.93</v>
      </c>
    </row>
    <row r="122" spans="1:13" x14ac:dyDescent="0.3">
      <c r="B122" s="4">
        <v>23.87</v>
      </c>
      <c r="C122" s="4">
        <v>34.869999999999997</v>
      </c>
      <c r="D122" s="4">
        <v>5.41</v>
      </c>
      <c r="E122" s="4">
        <v>19.5</v>
      </c>
      <c r="F122" s="4">
        <v>27.47</v>
      </c>
      <c r="G122" s="4">
        <v>7.6</v>
      </c>
      <c r="H122" s="4">
        <v>19.77</v>
      </c>
      <c r="I122" s="4">
        <v>27.37</v>
      </c>
      <c r="J122" s="4">
        <v>7.49</v>
      </c>
      <c r="K122" s="4">
        <v>27.57</v>
      </c>
      <c r="L122" s="4">
        <v>34.950000000000003</v>
      </c>
      <c r="M122" s="4">
        <v>6.76</v>
      </c>
    </row>
    <row r="123" spans="1:13" x14ac:dyDescent="0.3">
      <c r="B123" s="3">
        <v>32.090000000000003</v>
      </c>
      <c r="C123" s="3">
        <v>42.62</v>
      </c>
      <c r="D123" s="3">
        <v>5.19</v>
      </c>
      <c r="E123" s="3">
        <v>19.89</v>
      </c>
      <c r="F123" s="3">
        <v>27.52</v>
      </c>
      <c r="G123" s="3">
        <v>6.89</v>
      </c>
      <c r="H123" s="3">
        <v>27.69</v>
      </c>
      <c r="I123" s="3">
        <v>42.72</v>
      </c>
      <c r="J123" s="3">
        <v>7.03</v>
      </c>
      <c r="K123" s="3">
        <v>22.77</v>
      </c>
      <c r="L123" s="3">
        <v>35.11</v>
      </c>
      <c r="M123" s="3">
        <v>6.66</v>
      </c>
    </row>
    <row r="124" spans="1:13" x14ac:dyDescent="0.3">
      <c r="B124" s="4">
        <v>25.75</v>
      </c>
      <c r="C124" s="4">
        <v>34.93</v>
      </c>
      <c r="D124" s="4">
        <v>6.09</v>
      </c>
      <c r="E124" s="4">
        <v>35.229999999999997</v>
      </c>
      <c r="F124" s="4">
        <v>42.61</v>
      </c>
      <c r="G124" s="4">
        <v>4.6500000000000004</v>
      </c>
      <c r="H124" s="4">
        <v>24.41</v>
      </c>
      <c r="I124" s="4">
        <v>27.36</v>
      </c>
      <c r="J124" s="4">
        <v>6.02</v>
      </c>
      <c r="K124" s="4">
        <v>28.03</v>
      </c>
      <c r="L124" s="4">
        <v>42.61</v>
      </c>
      <c r="M124" s="4">
        <v>6.78</v>
      </c>
    </row>
    <row r="125" spans="1:13" x14ac:dyDescent="0.3">
      <c r="B125" s="3">
        <v>27.5</v>
      </c>
      <c r="C125" s="3">
        <v>27.31</v>
      </c>
      <c r="D125" s="3">
        <v>5.49</v>
      </c>
      <c r="E125" s="3">
        <v>27.2</v>
      </c>
      <c r="F125" s="3">
        <v>27.43</v>
      </c>
      <c r="G125" s="3">
        <v>4.51</v>
      </c>
      <c r="H125" s="3">
        <v>26.01</v>
      </c>
      <c r="I125" s="3">
        <v>27.33</v>
      </c>
      <c r="J125" s="3">
        <v>6</v>
      </c>
      <c r="K125" s="3">
        <v>33.1</v>
      </c>
      <c r="L125" s="3">
        <v>34.840000000000003</v>
      </c>
      <c r="M125" s="3">
        <v>5.32</v>
      </c>
    </row>
    <row r="126" spans="1:13" x14ac:dyDescent="0.3">
      <c r="B126" s="4">
        <v>23.57</v>
      </c>
      <c r="C126" s="4">
        <v>20.010000000000002</v>
      </c>
      <c r="D126" s="4">
        <v>5.76</v>
      </c>
      <c r="E126" s="4">
        <v>15.38</v>
      </c>
      <c r="F126" s="4">
        <v>27.46</v>
      </c>
      <c r="G126" s="4">
        <v>7.13</v>
      </c>
      <c r="H126" s="4">
        <v>27.93</v>
      </c>
      <c r="I126" s="4">
        <v>27.44</v>
      </c>
      <c r="J126" s="4">
        <v>6.2</v>
      </c>
      <c r="K126" s="4">
        <v>26.02</v>
      </c>
      <c r="L126" s="4">
        <v>27.45</v>
      </c>
      <c r="M126" s="4">
        <v>6.62</v>
      </c>
    </row>
    <row r="127" spans="1:13" x14ac:dyDescent="0.3">
      <c r="B127" s="3">
        <v>21.31</v>
      </c>
      <c r="C127" s="3">
        <v>34.83</v>
      </c>
      <c r="D127" s="3">
        <v>5.82</v>
      </c>
      <c r="E127" s="3">
        <v>19.899999999999999</v>
      </c>
      <c r="F127" s="3">
        <v>42.48</v>
      </c>
      <c r="G127" s="3">
        <v>5.05</v>
      </c>
      <c r="H127" s="3">
        <v>15.29</v>
      </c>
      <c r="I127" s="3">
        <v>34.85</v>
      </c>
      <c r="J127" s="3">
        <v>7.29</v>
      </c>
      <c r="K127" s="3">
        <v>18.88</v>
      </c>
      <c r="L127" s="3">
        <v>42.34</v>
      </c>
      <c r="M127" s="3">
        <v>4.7300000000000004</v>
      </c>
    </row>
    <row r="128" spans="1:13" x14ac:dyDescent="0.3">
      <c r="B128" s="4">
        <v>40.86</v>
      </c>
      <c r="C128" s="4">
        <v>50.02</v>
      </c>
      <c r="D128" s="4">
        <v>4.22</v>
      </c>
      <c r="E128" s="4">
        <v>31.72</v>
      </c>
      <c r="F128" s="4">
        <v>34.869999999999997</v>
      </c>
      <c r="G128" s="4">
        <v>4.88</v>
      </c>
      <c r="H128" s="4">
        <v>28.9</v>
      </c>
      <c r="I128" s="4">
        <v>42.43</v>
      </c>
      <c r="J128" s="4">
        <v>4.7</v>
      </c>
      <c r="K128" s="4">
        <v>30.72</v>
      </c>
      <c r="L128" s="4">
        <v>27.55</v>
      </c>
      <c r="M128" s="4">
        <v>4.57</v>
      </c>
    </row>
    <row r="129" spans="1:13" x14ac:dyDescent="0.3">
      <c r="B129" s="3">
        <v>11.33</v>
      </c>
      <c r="C129" s="3">
        <v>50.03</v>
      </c>
      <c r="D129" s="3">
        <v>10.16</v>
      </c>
      <c r="E129" s="3">
        <v>10.62</v>
      </c>
      <c r="F129" s="3">
        <v>41.94</v>
      </c>
      <c r="G129" s="3">
        <v>10.06</v>
      </c>
      <c r="H129" s="3">
        <v>9.8699999999999992</v>
      </c>
      <c r="I129" s="3">
        <v>34.96</v>
      </c>
      <c r="J129" s="3">
        <v>10.24</v>
      </c>
      <c r="K129" s="3">
        <v>8.83</v>
      </c>
      <c r="L129" s="3">
        <v>42.42</v>
      </c>
      <c r="M129" s="3">
        <v>10.27</v>
      </c>
    </row>
    <row r="130" spans="1:13" x14ac:dyDescent="0.3">
      <c r="B130" s="4">
        <v>20.41</v>
      </c>
      <c r="C130" s="4">
        <v>49.71</v>
      </c>
      <c r="D130" s="4">
        <v>6.96</v>
      </c>
      <c r="E130" s="4">
        <v>20.97</v>
      </c>
      <c r="F130" s="4">
        <v>34.61</v>
      </c>
      <c r="G130" s="4">
        <v>7.29</v>
      </c>
      <c r="H130" s="4">
        <v>18.420000000000002</v>
      </c>
      <c r="I130" s="4">
        <v>42.59</v>
      </c>
      <c r="J130" s="4">
        <v>7.68</v>
      </c>
      <c r="K130" s="4">
        <v>18.03</v>
      </c>
      <c r="L130" s="4">
        <v>50.28</v>
      </c>
      <c r="M130" s="4">
        <v>7.66</v>
      </c>
    </row>
    <row r="131" spans="1:13" x14ac:dyDescent="0.3">
      <c r="B131" s="3">
        <v>22.11</v>
      </c>
      <c r="C131" s="3">
        <v>42.58</v>
      </c>
      <c r="D131" s="3">
        <v>7.84</v>
      </c>
      <c r="E131" s="3">
        <v>30.45</v>
      </c>
      <c r="F131" s="3">
        <v>42.71</v>
      </c>
      <c r="G131" s="3">
        <v>6.99</v>
      </c>
      <c r="H131" s="3">
        <v>23.39</v>
      </c>
      <c r="I131" s="3">
        <v>34.9</v>
      </c>
      <c r="J131" s="3">
        <v>7.63</v>
      </c>
      <c r="K131" s="3">
        <v>24.67</v>
      </c>
      <c r="L131" s="3">
        <v>34.9</v>
      </c>
      <c r="M131" s="3">
        <v>7.11</v>
      </c>
    </row>
    <row r="132" spans="1:13" x14ac:dyDescent="0.3">
      <c r="B132" s="4">
        <v>17.29</v>
      </c>
      <c r="C132" s="4">
        <v>27.34</v>
      </c>
      <c r="D132" s="4">
        <v>9.2100000000000009</v>
      </c>
      <c r="E132" s="4">
        <v>13.01</v>
      </c>
      <c r="F132" s="4">
        <v>27.46</v>
      </c>
      <c r="G132" s="4">
        <v>10.17</v>
      </c>
      <c r="H132" s="4">
        <v>15.79</v>
      </c>
      <c r="I132" s="4">
        <v>42.39</v>
      </c>
      <c r="J132" s="4">
        <v>9.5299999999999994</v>
      </c>
      <c r="K132" s="4">
        <v>13.71</v>
      </c>
      <c r="L132" s="4">
        <v>27.38</v>
      </c>
      <c r="M132" s="4">
        <v>9.85</v>
      </c>
    </row>
    <row r="133" spans="1:13" x14ac:dyDescent="0.3">
      <c r="B133" s="3">
        <v>13.64</v>
      </c>
      <c r="C133" s="3">
        <v>27.54</v>
      </c>
      <c r="D133" s="3">
        <v>8.86</v>
      </c>
      <c r="E133" s="3">
        <v>14.38</v>
      </c>
      <c r="F133" s="3">
        <v>19.87</v>
      </c>
      <c r="G133" s="3">
        <v>8.7200000000000006</v>
      </c>
      <c r="H133" s="3">
        <v>17.57</v>
      </c>
      <c r="I133" s="3">
        <v>42.12</v>
      </c>
      <c r="J133" s="3">
        <v>7.17</v>
      </c>
      <c r="K133" s="3">
        <v>14.54</v>
      </c>
      <c r="L133" s="3">
        <v>34.76</v>
      </c>
      <c r="M133" s="3">
        <v>7.99</v>
      </c>
    </row>
    <row r="134" spans="1:13" x14ac:dyDescent="0.3">
      <c r="B134" s="4">
        <v>16.940000000000001</v>
      </c>
      <c r="C134" s="4">
        <v>35.11</v>
      </c>
      <c r="D134" s="4">
        <v>8.7200000000000006</v>
      </c>
      <c r="E134" s="4">
        <v>26.35</v>
      </c>
      <c r="F134" s="4">
        <v>27.38</v>
      </c>
      <c r="G134" s="4">
        <v>7.5</v>
      </c>
      <c r="H134" s="4">
        <v>17.579999999999998</v>
      </c>
      <c r="I134" s="4">
        <v>27.4</v>
      </c>
      <c r="J134" s="4">
        <v>8.6999999999999993</v>
      </c>
      <c r="K134" s="4">
        <v>17.86</v>
      </c>
      <c r="L134" s="4">
        <v>27.43</v>
      </c>
      <c r="M134" s="4">
        <v>8.2799999999999994</v>
      </c>
    </row>
    <row r="135" spans="1:13" x14ac:dyDescent="0.3">
      <c r="B135" s="3">
        <v>17.52</v>
      </c>
      <c r="C135" s="3">
        <v>34.97</v>
      </c>
      <c r="D135" s="3">
        <v>8.75</v>
      </c>
      <c r="E135" s="3">
        <v>15.71</v>
      </c>
      <c r="F135" s="3">
        <v>34.81</v>
      </c>
      <c r="G135" s="3">
        <v>9.42</v>
      </c>
      <c r="H135" s="3">
        <v>20.73</v>
      </c>
      <c r="I135" s="3">
        <v>42.43</v>
      </c>
      <c r="J135" s="3">
        <v>8.6199999999999992</v>
      </c>
      <c r="K135" s="3">
        <v>17.260000000000002</v>
      </c>
      <c r="L135" s="3">
        <v>34.92</v>
      </c>
      <c r="M135" s="3">
        <v>9.2100000000000009</v>
      </c>
    </row>
    <row r="136" spans="1:13" x14ac:dyDescent="0.3">
      <c r="B136" s="4">
        <v>18.47</v>
      </c>
      <c r="C136" s="4">
        <v>34.76</v>
      </c>
      <c r="D136" s="4">
        <v>8.76</v>
      </c>
      <c r="E136" s="4">
        <v>15.76</v>
      </c>
      <c r="F136" s="4">
        <v>34.86</v>
      </c>
      <c r="G136" s="4">
        <v>9.75</v>
      </c>
      <c r="H136" s="4">
        <v>17.23</v>
      </c>
      <c r="I136" s="4">
        <v>35.01</v>
      </c>
      <c r="J136" s="4">
        <v>8.9600000000000009</v>
      </c>
      <c r="K136" s="4">
        <v>22.19</v>
      </c>
      <c r="L136" s="4">
        <v>42.66</v>
      </c>
      <c r="M136" s="4">
        <v>7.82</v>
      </c>
    </row>
    <row r="137" spans="1:13" x14ac:dyDescent="0.3">
      <c r="B137" s="3">
        <v>17.47</v>
      </c>
      <c r="C137" s="3">
        <v>27.3</v>
      </c>
      <c r="D137" s="3">
        <v>8.24</v>
      </c>
      <c r="E137" s="3">
        <v>20.75</v>
      </c>
      <c r="F137" s="3">
        <v>35.32</v>
      </c>
      <c r="G137" s="3">
        <v>8.5500000000000007</v>
      </c>
      <c r="H137" s="3">
        <v>15.72</v>
      </c>
      <c r="I137" s="3">
        <v>19.78</v>
      </c>
      <c r="J137" s="3">
        <v>8.4</v>
      </c>
      <c r="K137" s="3">
        <v>18.23</v>
      </c>
      <c r="L137" s="3">
        <v>27.34</v>
      </c>
      <c r="M137" s="3">
        <v>8.36</v>
      </c>
    </row>
    <row r="138" spans="1:13" x14ac:dyDescent="0.3">
      <c r="B138" s="4">
        <v>11.19</v>
      </c>
      <c r="C138" s="4">
        <v>19.82</v>
      </c>
      <c r="D138" s="4">
        <v>10.86</v>
      </c>
      <c r="E138" s="4">
        <v>15.99</v>
      </c>
      <c r="F138" s="4">
        <v>27.27</v>
      </c>
      <c r="G138" s="4">
        <v>9.3000000000000007</v>
      </c>
      <c r="H138" s="4">
        <v>16.96</v>
      </c>
      <c r="I138" s="4">
        <v>27.3</v>
      </c>
      <c r="J138" s="4">
        <v>9.42</v>
      </c>
      <c r="K138" s="4">
        <v>15.17</v>
      </c>
      <c r="L138" s="4">
        <v>27.43</v>
      </c>
      <c r="M138" s="4">
        <v>9.32</v>
      </c>
    </row>
    <row r="139" spans="1:13" x14ac:dyDescent="0.3">
      <c r="B139" s="3">
        <v>11.49</v>
      </c>
      <c r="C139" s="3">
        <v>34.799999999999997</v>
      </c>
      <c r="D139" s="3">
        <v>9.9499999999999993</v>
      </c>
      <c r="E139" s="3">
        <v>13.11</v>
      </c>
      <c r="F139" s="3">
        <v>34.85</v>
      </c>
      <c r="G139" s="3">
        <v>9.4700000000000006</v>
      </c>
      <c r="H139" s="3">
        <v>10.07</v>
      </c>
      <c r="I139" s="3">
        <v>34.75</v>
      </c>
      <c r="J139" s="3">
        <v>10.34</v>
      </c>
      <c r="K139" s="3">
        <v>9.73</v>
      </c>
      <c r="L139" s="3">
        <v>42.37</v>
      </c>
      <c r="M139" s="3">
        <v>10.62</v>
      </c>
    </row>
    <row r="140" spans="1:13" x14ac:dyDescent="0.3">
      <c r="B140" s="4">
        <v>19.64</v>
      </c>
      <c r="C140" s="4">
        <v>49.83</v>
      </c>
      <c r="D140" s="4">
        <v>8.0500000000000007</v>
      </c>
      <c r="E140" s="4">
        <v>20.76</v>
      </c>
      <c r="F140" s="4">
        <v>34.74</v>
      </c>
      <c r="G140" s="4">
        <v>7.72</v>
      </c>
      <c r="H140" s="4">
        <v>18.600000000000001</v>
      </c>
      <c r="I140" s="4">
        <v>42.27</v>
      </c>
      <c r="J140" s="4">
        <v>7.77</v>
      </c>
      <c r="K140" s="4">
        <v>16.43</v>
      </c>
      <c r="L140" s="4">
        <v>27.33</v>
      </c>
      <c r="M140" s="4">
        <v>8.43</v>
      </c>
    </row>
    <row r="142" spans="1:13" x14ac:dyDescent="0.3">
      <c r="A142" s="5" t="s">
        <v>39</v>
      </c>
      <c r="B142" s="5">
        <f>AVERAGE(B117:B140)</f>
        <v>21.151666666666667</v>
      </c>
      <c r="C142" s="5">
        <f t="shared" ref="C142:M142" si="3">AVERAGE(C117:C140)</f>
        <v>35.847083333333337</v>
      </c>
      <c r="D142" s="5">
        <f t="shared" si="3"/>
        <v>7.1708333333333343</v>
      </c>
      <c r="E142" s="5">
        <f t="shared" si="3"/>
        <v>21.026250000000001</v>
      </c>
      <c r="F142" s="5">
        <f t="shared" si="3"/>
        <v>33.667083333333338</v>
      </c>
      <c r="G142" s="5">
        <f t="shared" si="3"/>
        <v>7.269166666666667</v>
      </c>
      <c r="H142" s="5">
        <f t="shared" si="3"/>
        <v>20.32041666666667</v>
      </c>
      <c r="I142" s="5">
        <f t="shared" si="3"/>
        <v>35.221666666666657</v>
      </c>
      <c r="J142" s="5">
        <f t="shared" si="3"/>
        <v>7.4258333333333342</v>
      </c>
      <c r="K142" s="5">
        <f t="shared" si="3"/>
        <v>20.718333333333337</v>
      </c>
      <c r="L142" s="5">
        <f t="shared" si="3"/>
        <v>35.876249999999992</v>
      </c>
      <c r="M142" s="5">
        <f t="shared" si="3"/>
        <v>7.2616666666666658</v>
      </c>
    </row>
    <row r="143" spans="1:13" x14ac:dyDescent="0.3">
      <c r="A143" s="5" t="s">
        <v>35</v>
      </c>
      <c r="B143" s="5">
        <f>AVERAGE(B142,E142,H142,K142)</f>
        <v>20.804166666666667</v>
      </c>
      <c r="C143" s="5">
        <f>AVERAGE(C142,F142,I142,L142)</f>
        <v>35.153020833333336</v>
      </c>
      <c r="D143" s="5">
        <f>AVERAGE(D142,G142,J142,M142)</f>
        <v>7.2818750000000003</v>
      </c>
    </row>
    <row r="145" spans="1:13" x14ac:dyDescent="0.3">
      <c r="A145" s="16" t="s">
        <v>28</v>
      </c>
      <c r="B145" s="3">
        <v>2.7</v>
      </c>
      <c r="C145" s="3">
        <v>13.18</v>
      </c>
      <c r="D145" s="3">
        <v>20.93</v>
      </c>
      <c r="E145" s="3">
        <v>3.64</v>
      </c>
      <c r="F145" s="3">
        <v>13.27</v>
      </c>
      <c r="G145" s="3">
        <v>19.3</v>
      </c>
      <c r="H145" s="3">
        <v>1.85</v>
      </c>
      <c r="I145" s="3">
        <v>13.32</v>
      </c>
      <c r="J145" s="3">
        <v>25.88</v>
      </c>
      <c r="K145" s="3">
        <v>4.6900000000000004</v>
      </c>
      <c r="L145" s="3">
        <v>13.29</v>
      </c>
      <c r="M145" s="3">
        <v>17.989999999999998</v>
      </c>
    </row>
    <row r="146" spans="1:13" x14ac:dyDescent="0.3">
      <c r="B146" s="4">
        <v>13.59</v>
      </c>
      <c r="C146" s="4">
        <v>27.74</v>
      </c>
      <c r="D146" s="4">
        <v>7.19</v>
      </c>
      <c r="E146" s="4">
        <v>10.15</v>
      </c>
      <c r="F146" s="4">
        <v>28.56</v>
      </c>
      <c r="G146" s="4">
        <v>10.220000000000001</v>
      </c>
      <c r="H146" s="4">
        <v>5.33</v>
      </c>
      <c r="I146" s="4">
        <v>21.01</v>
      </c>
      <c r="J146" s="4">
        <v>15.77</v>
      </c>
      <c r="K146" s="4">
        <v>7.7</v>
      </c>
      <c r="L146" s="4">
        <v>21.18</v>
      </c>
      <c r="M146" s="4">
        <v>10.07</v>
      </c>
    </row>
    <row r="147" spans="1:13" x14ac:dyDescent="0.3">
      <c r="B147" s="3">
        <v>8.58</v>
      </c>
      <c r="C147" s="3">
        <v>20.86</v>
      </c>
      <c r="D147" s="3">
        <v>12.22</v>
      </c>
      <c r="E147" s="3">
        <v>8.9</v>
      </c>
      <c r="F147" s="3">
        <v>29.15</v>
      </c>
      <c r="G147" s="3">
        <v>11.85</v>
      </c>
      <c r="H147" s="3">
        <v>6.44</v>
      </c>
      <c r="I147" s="3">
        <v>20.37</v>
      </c>
      <c r="J147" s="3">
        <v>14.06</v>
      </c>
      <c r="K147" s="3">
        <v>10.96</v>
      </c>
      <c r="L147" s="3">
        <v>27.81</v>
      </c>
      <c r="M147" s="3">
        <v>10.09</v>
      </c>
    </row>
    <row r="148" spans="1:13" x14ac:dyDescent="0.3">
      <c r="B148" s="4">
        <v>10.61</v>
      </c>
      <c r="C148" s="4">
        <v>58.78</v>
      </c>
      <c r="D148" s="4">
        <v>9.67</v>
      </c>
      <c r="E148" s="4">
        <v>8.5</v>
      </c>
      <c r="F148" s="4">
        <v>44.23</v>
      </c>
      <c r="G148" s="4">
        <v>11.1</v>
      </c>
      <c r="H148" s="4">
        <v>4.8600000000000003</v>
      </c>
      <c r="I148" s="4">
        <v>21.13</v>
      </c>
      <c r="J148" s="4">
        <v>16.899999999999999</v>
      </c>
      <c r="K148" s="4">
        <v>9.16</v>
      </c>
      <c r="L148" s="4">
        <v>29.08</v>
      </c>
      <c r="M148" s="4">
        <v>10.7</v>
      </c>
    </row>
    <row r="149" spans="1:13" x14ac:dyDescent="0.3">
      <c r="B149" s="3">
        <v>5.69</v>
      </c>
      <c r="C149" s="3">
        <v>20.34</v>
      </c>
      <c r="D149" s="3">
        <v>12.86</v>
      </c>
      <c r="E149" s="3">
        <v>11.41</v>
      </c>
      <c r="F149" s="3">
        <v>28.59</v>
      </c>
      <c r="G149" s="3">
        <v>9.07</v>
      </c>
      <c r="H149" s="3">
        <v>13.59</v>
      </c>
      <c r="I149" s="3">
        <v>29.1</v>
      </c>
      <c r="J149" s="3">
        <v>8.7799999999999994</v>
      </c>
      <c r="K149" s="3">
        <v>16.38</v>
      </c>
      <c r="L149" s="3">
        <v>43.36</v>
      </c>
      <c r="M149" s="3">
        <v>7.45</v>
      </c>
    </row>
    <row r="150" spans="1:13" x14ac:dyDescent="0.3">
      <c r="B150" s="4">
        <v>11.29</v>
      </c>
      <c r="C150" s="4">
        <v>44.25</v>
      </c>
      <c r="D150" s="4">
        <v>9.49</v>
      </c>
      <c r="E150" s="4">
        <v>15.4</v>
      </c>
      <c r="F150" s="4">
        <v>51.22</v>
      </c>
      <c r="G150" s="4">
        <v>8.1999999999999993</v>
      </c>
      <c r="H150" s="4">
        <v>9.0500000000000007</v>
      </c>
      <c r="I150" s="4">
        <v>36.229999999999997</v>
      </c>
      <c r="J150" s="4">
        <v>11.31</v>
      </c>
      <c r="K150" s="4">
        <v>8.02</v>
      </c>
      <c r="L150" s="4">
        <v>28.9</v>
      </c>
      <c r="M150" s="4">
        <v>11.35</v>
      </c>
    </row>
    <row r="151" spans="1:13" x14ac:dyDescent="0.3">
      <c r="B151" s="3">
        <v>4.9000000000000004</v>
      </c>
      <c r="C151" s="3">
        <v>20.89</v>
      </c>
      <c r="D151" s="3">
        <v>15.69</v>
      </c>
      <c r="E151" s="3">
        <v>5.18</v>
      </c>
      <c r="F151" s="3">
        <v>21.05</v>
      </c>
      <c r="G151" s="3">
        <v>15</v>
      </c>
      <c r="H151" s="3">
        <v>8.5299999999999994</v>
      </c>
      <c r="I151" s="3">
        <v>29.27</v>
      </c>
      <c r="J151" s="3">
        <v>11.68</v>
      </c>
      <c r="K151" s="3">
        <v>5.95</v>
      </c>
      <c r="L151" s="3">
        <v>13.52</v>
      </c>
      <c r="M151" s="3">
        <v>14.44</v>
      </c>
    </row>
    <row r="152" spans="1:13" x14ac:dyDescent="0.3">
      <c r="B152" s="4">
        <v>14.41</v>
      </c>
      <c r="C152" s="4">
        <v>36.83</v>
      </c>
      <c r="D152" s="4">
        <v>8.0500000000000007</v>
      </c>
      <c r="E152" s="4">
        <v>5.54</v>
      </c>
      <c r="F152" s="4">
        <v>13.32</v>
      </c>
      <c r="G152" s="4">
        <v>14.14</v>
      </c>
      <c r="H152" s="4">
        <v>10.63</v>
      </c>
      <c r="I152" s="4">
        <v>43.74</v>
      </c>
      <c r="J152" s="4">
        <v>8.84</v>
      </c>
      <c r="K152" s="4">
        <v>10.29</v>
      </c>
      <c r="L152" s="4">
        <v>36.340000000000003</v>
      </c>
      <c r="M152" s="4">
        <v>9.44</v>
      </c>
    </row>
    <row r="153" spans="1:13" x14ac:dyDescent="0.3">
      <c r="B153" s="3">
        <v>10.07</v>
      </c>
      <c r="C153" s="3">
        <v>43.65</v>
      </c>
      <c r="D153" s="3">
        <v>10.09</v>
      </c>
      <c r="E153" s="3">
        <v>5.48</v>
      </c>
      <c r="F153" s="3">
        <v>21.46</v>
      </c>
      <c r="G153" s="3">
        <v>15.32</v>
      </c>
      <c r="H153" s="3">
        <v>10.8</v>
      </c>
      <c r="I153" s="3">
        <v>37.67</v>
      </c>
      <c r="J153" s="3">
        <v>9.17</v>
      </c>
      <c r="K153" s="3">
        <v>3.63</v>
      </c>
      <c r="L153" s="3">
        <v>13.48</v>
      </c>
      <c r="M153" s="3">
        <v>17.600000000000001</v>
      </c>
    </row>
    <row r="154" spans="1:13" x14ac:dyDescent="0.3">
      <c r="B154" s="4">
        <v>10.45</v>
      </c>
      <c r="C154" s="4">
        <v>36.950000000000003</v>
      </c>
      <c r="D154" s="4">
        <v>9.82</v>
      </c>
      <c r="E154" s="4">
        <v>9.8699999999999992</v>
      </c>
      <c r="F154" s="4">
        <v>29.35</v>
      </c>
      <c r="G154" s="4">
        <v>10.06</v>
      </c>
      <c r="H154" s="4">
        <v>7.79</v>
      </c>
      <c r="I154" s="4">
        <v>29.2</v>
      </c>
      <c r="J154" s="4">
        <v>13.2</v>
      </c>
      <c r="K154" s="4">
        <v>7.77</v>
      </c>
      <c r="L154" s="4">
        <v>21.06</v>
      </c>
      <c r="M154" s="4">
        <v>13.11</v>
      </c>
    </row>
    <row r="155" spans="1:13" x14ac:dyDescent="0.3">
      <c r="B155" s="3">
        <v>5.34</v>
      </c>
      <c r="C155" s="3">
        <v>21.05</v>
      </c>
      <c r="D155" s="3">
        <v>14.98</v>
      </c>
      <c r="E155" s="3">
        <v>8.15</v>
      </c>
      <c r="F155" s="3">
        <v>28.75</v>
      </c>
      <c r="G155" s="3">
        <v>11.81</v>
      </c>
      <c r="H155" s="3">
        <v>7.1</v>
      </c>
      <c r="I155" s="3">
        <v>36.42</v>
      </c>
      <c r="J155" s="3">
        <v>12.74</v>
      </c>
      <c r="K155" s="3">
        <v>7.85</v>
      </c>
      <c r="L155" s="3">
        <v>36.83</v>
      </c>
      <c r="M155" s="3">
        <v>11.44</v>
      </c>
    </row>
    <row r="156" spans="1:13" x14ac:dyDescent="0.3">
      <c r="B156" s="4">
        <v>10.69</v>
      </c>
      <c r="C156" s="4">
        <v>51.86</v>
      </c>
      <c r="D156" s="4">
        <v>10.199999999999999</v>
      </c>
      <c r="E156" s="4">
        <v>7.02</v>
      </c>
      <c r="F156" s="4">
        <v>28.67</v>
      </c>
      <c r="G156" s="4">
        <v>11.76</v>
      </c>
      <c r="H156" s="4">
        <v>10.86</v>
      </c>
      <c r="I156" s="4">
        <v>28.99</v>
      </c>
      <c r="J156" s="4">
        <v>10.17</v>
      </c>
      <c r="K156" s="4">
        <v>15.87</v>
      </c>
      <c r="L156" s="4">
        <v>44.21</v>
      </c>
      <c r="M156" s="4">
        <v>7.75</v>
      </c>
    </row>
    <row r="157" spans="1:13" x14ac:dyDescent="0.3">
      <c r="B157" s="3">
        <v>6.25</v>
      </c>
      <c r="C157" s="3">
        <v>21.28</v>
      </c>
      <c r="D157" s="3">
        <v>14.53</v>
      </c>
      <c r="E157" s="3">
        <v>7.33</v>
      </c>
      <c r="F157" s="3">
        <v>44.07</v>
      </c>
      <c r="G157" s="3">
        <v>13.2</v>
      </c>
      <c r="H157" s="3">
        <v>9.3699999999999992</v>
      </c>
      <c r="I157" s="3">
        <v>36.36</v>
      </c>
      <c r="J157" s="3">
        <v>11.6</v>
      </c>
      <c r="K157" s="3">
        <v>9.36</v>
      </c>
      <c r="L157" s="3">
        <v>57.67</v>
      </c>
      <c r="M157" s="3">
        <v>12.3</v>
      </c>
    </row>
    <row r="158" spans="1:13" x14ac:dyDescent="0.3">
      <c r="B158" s="4">
        <v>16.11</v>
      </c>
      <c r="C158" s="4">
        <v>51.16</v>
      </c>
      <c r="D158" s="4">
        <v>8.31</v>
      </c>
      <c r="E158" s="4">
        <v>13.07</v>
      </c>
      <c r="F158" s="4">
        <v>36.270000000000003</v>
      </c>
      <c r="G158" s="4">
        <v>9.02</v>
      </c>
      <c r="H158" s="4">
        <v>9.08</v>
      </c>
      <c r="I158" s="4">
        <v>35.82</v>
      </c>
      <c r="J158" s="4">
        <v>12.33</v>
      </c>
      <c r="K158" s="4">
        <v>15.16</v>
      </c>
      <c r="L158" s="4">
        <v>43.83</v>
      </c>
      <c r="M158" s="4">
        <v>8.7100000000000009</v>
      </c>
    </row>
    <row r="159" spans="1:13" x14ac:dyDescent="0.3">
      <c r="B159" s="3">
        <v>12.35</v>
      </c>
      <c r="C159" s="3">
        <v>58.27</v>
      </c>
      <c r="D159" s="3">
        <v>9.93</v>
      </c>
      <c r="E159" s="3">
        <v>10.62</v>
      </c>
      <c r="F159" s="3">
        <v>43.18</v>
      </c>
      <c r="G159" s="3">
        <v>10.49</v>
      </c>
      <c r="H159" s="3">
        <v>11.42</v>
      </c>
      <c r="I159" s="3">
        <v>51.33</v>
      </c>
      <c r="J159" s="3">
        <v>10.130000000000001</v>
      </c>
      <c r="K159" s="3">
        <v>12.09</v>
      </c>
      <c r="L159" s="3">
        <v>50.67</v>
      </c>
      <c r="M159" s="3">
        <v>9.4499999999999993</v>
      </c>
    </row>
    <row r="160" spans="1:13" x14ac:dyDescent="0.3">
      <c r="B160" s="4">
        <v>7.01</v>
      </c>
      <c r="C160" s="4">
        <v>58.16</v>
      </c>
      <c r="D160" s="4">
        <v>12.62</v>
      </c>
      <c r="E160" s="4">
        <v>11.62</v>
      </c>
      <c r="F160" s="4">
        <v>51.64</v>
      </c>
      <c r="G160" s="4">
        <v>8.82</v>
      </c>
      <c r="H160" s="4">
        <v>8.43</v>
      </c>
      <c r="I160" s="4">
        <v>59.6</v>
      </c>
      <c r="J160" s="4">
        <v>10.87</v>
      </c>
      <c r="K160" s="4">
        <v>9.11</v>
      </c>
      <c r="L160" s="4">
        <v>58.65</v>
      </c>
      <c r="M160" s="4">
        <v>10.6</v>
      </c>
    </row>
    <row r="161" spans="1:13" x14ac:dyDescent="0.3">
      <c r="B161" s="3">
        <v>10.44</v>
      </c>
      <c r="C161" s="3">
        <v>50.24</v>
      </c>
      <c r="D161" s="3">
        <v>9.91</v>
      </c>
      <c r="E161" s="3">
        <v>12.31</v>
      </c>
      <c r="F161" s="3">
        <v>51.59</v>
      </c>
      <c r="G161" s="3">
        <v>9.2799999999999994</v>
      </c>
      <c r="H161" s="3">
        <v>17.98</v>
      </c>
      <c r="I161" s="3">
        <v>59.17</v>
      </c>
      <c r="J161" s="3">
        <v>6.97</v>
      </c>
      <c r="K161" s="3">
        <v>14.55</v>
      </c>
      <c r="L161" s="3">
        <v>51.59</v>
      </c>
      <c r="M161" s="3">
        <v>8.17</v>
      </c>
    </row>
    <row r="162" spans="1:13" x14ac:dyDescent="0.3">
      <c r="B162" s="4">
        <v>12.57</v>
      </c>
      <c r="C162" s="4">
        <v>51.61</v>
      </c>
      <c r="D162" s="4">
        <v>9.2100000000000009</v>
      </c>
      <c r="E162" s="4">
        <v>16.71</v>
      </c>
      <c r="F162" s="4">
        <v>59.12</v>
      </c>
      <c r="G162" s="4">
        <v>7.77</v>
      </c>
      <c r="H162" s="4">
        <v>12.38</v>
      </c>
      <c r="I162" s="4">
        <v>58.63</v>
      </c>
      <c r="J162" s="4">
        <v>9.5</v>
      </c>
      <c r="K162" s="4">
        <v>15.04</v>
      </c>
      <c r="L162" s="4">
        <v>66.239999999999995</v>
      </c>
      <c r="M162" s="4">
        <v>8.5399999999999991</v>
      </c>
    </row>
    <row r="163" spans="1:13" x14ac:dyDescent="0.3">
      <c r="B163" s="3">
        <v>10.1</v>
      </c>
      <c r="C163" s="3">
        <v>43.7</v>
      </c>
      <c r="D163" s="3">
        <v>10</v>
      </c>
      <c r="E163" s="3">
        <v>9.35</v>
      </c>
      <c r="F163" s="3">
        <v>59.01</v>
      </c>
      <c r="G163" s="3">
        <v>10.47</v>
      </c>
      <c r="H163" s="3">
        <v>10.41</v>
      </c>
      <c r="I163" s="3">
        <v>42.86</v>
      </c>
      <c r="J163" s="3">
        <v>10.95</v>
      </c>
      <c r="K163" s="3">
        <v>8.67</v>
      </c>
      <c r="L163" s="3">
        <v>35.42</v>
      </c>
      <c r="M163" s="3">
        <v>12.12</v>
      </c>
    </row>
    <row r="164" spans="1:13" x14ac:dyDescent="0.3">
      <c r="B164" s="4">
        <v>15.49</v>
      </c>
      <c r="C164" s="4">
        <v>59.17</v>
      </c>
      <c r="D164" s="4">
        <v>8</v>
      </c>
      <c r="E164" s="4">
        <v>14.79</v>
      </c>
      <c r="F164" s="4">
        <v>81.42</v>
      </c>
      <c r="G164" s="4">
        <v>7.59</v>
      </c>
      <c r="H164" s="4">
        <v>17.18</v>
      </c>
      <c r="I164" s="4">
        <v>58.58</v>
      </c>
      <c r="J164" s="4">
        <v>6.96</v>
      </c>
      <c r="K164" s="4">
        <v>14.76</v>
      </c>
      <c r="L164" s="4">
        <v>89.48</v>
      </c>
      <c r="M164" s="4">
        <v>8.07</v>
      </c>
    </row>
    <row r="165" spans="1:13" x14ac:dyDescent="0.3">
      <c r="B165" s="3">
        <v>14.67</v>
      </c>
      <c r="C165" s="3">
        <v>50.2</v>
      </c>
      <c r="D165" s="3">
        <v>8.35</v>
      </c>
      <c r="E165" s="3">
        <v>11.07</v>
      </c>
      <c r="F165" s="3">
        <v>43.9</v>
      </c>
      <c r="G165" s="3">
        <v>9.81</v>
      </c>
      <c r="H165" s="3">
        <v>16.100000000000001</v>
      </c>
      <c r="I165" s="3">
        <v>74.28</v>
      </c>
      <c r="J165" s="3">
        <v>7.47</v>
      </c>
      <c r="K165" s="3">
        <v>14.13</v>
      </c>
      <c r="L165" s="3">
        <v>65.3</v>
      </c>
      <c r="M165" s="3">
        <v>8.98</v>
      </c>
    </row>
    <row r="166" spans="1:13" x14ac:dyDescent="0.3">
      <c r="B166" s="4">
        <v>11.87</v>
      </c>
      <c r="C166" s="4">
        <v>66.489999999999995</v>
      </c>
      <c r="D166" s="4">
        <v>8.93</v>
      </c>
      <c r="E166" s="4">
        <v>12.99</v>
      </c>
      <c r="F166" s="4">
        <v>51.18</v>
      </c>
      <c r="G166" s="4">
        <v>8.73</v>
      </c>
      <c r="H166" s="4">
        <v>7.99</v>
      </c>
      <c r="I166" s="4">
        <v>36.56</v>
      </c>
      <c r="J166" s="4">
        <v>12.93</v>
      </c>
      <c r="K166" s="4">
        <v>9.4600000000000009</v>
      </c>
      <c r="L166" s="4">
        <v>43.41</v>
      </c>
      <c r="M166" s="4">
        <v>11.18</v>
      </c>
    </row>
    <row r="167" spans="1:13" x14ac:dyDescent="0.3">
      <c r="B167" s="3">
        <v>6.72</v>
      </c>
      <c r="C167" s="3">
        <v>21.46</v>
      </c>
      <c r="D167" s="3">
        <v>13.48</v>
      </c>
      <c r="E167" s="3">
        <v>11.7</v>
      </c>
      <c r="F167" s="3">
        <v>28.97</v>
      </c>
      <c r="G167" s="3">
        <v>8.9700000000000006</v>
      </c>
      <c r="H167" s="3">
        <v>11.58</v>
      </c>
      <c r="I167" s="3">
        <v>44.15</v>
      </c>
      <c r="J167" s="3">
        <v>9.26</v>
      </c>
      <c r="K167" s="3">
        <v>14.05</v>
      </c>
      <c r="L167" s="3">
        <v>43.89</v>
      </c>
      <c r="M167" s="3">
        <v>8.1</v>
      </c>
    </row>
    <row r="168" spans="1:13" x14ac:dyDescent="0.3">
      <c r="B168" s="4">
        <v>11.2</v>
      </c>
      <c r="C168" s="4">
        <v>51.43</v>
      </c>
      <c r="D168" s="4">
        <v>10.01</v>
      </c>
      <c r="E168" s="4">
        <v>15.24</v>
      </c>
      <c r="F168" s="4">
        <v>43.44</v>
      </c>
      <c r="G168" s="4">
        <v>8.3800000000000008</v>
      </c>
      <c r="H168" s="4">
        <v>15.8</v>
      </c>
      <c r="I168" s="4">
        <v>58.73</v>
      </c>
      <c r="J168" s="4">
        <v>7.88</v>
      </c>
      <c r="K168" s="4">
        <v>14.49</v>
      </c>
      <c r="L168" s="4">
        <v>51.59</v>
      </c>
      <c r="M168" s="4">
        <v>8.11</v>
      </c>
    </row>
    <row r="170" spans="1:13" x14ac:dyDescent="0.3">
      <c r="A170" s="5" t="s">
        <v>39</v>
      </c>
      <c r="B170" s="5">
        <f>AVERAGE(B145:B168)</f>
        <v>10.129166666666665</v>
      </c>
      <c r="C170" s="5">
        <f t="shared" ref="C170:M170" si="4">AVERAGE(C145:C168)</f>
        <v>40.814583333333331</v>
      </c>
      <c r="D170" s="5">
        <f t="shared" si="4"/>
        <v>11.019583333333332</v>
      </c>
      <c r="E170" s="5">
        <f t="shared" si="4"/>
        <v>10.251666666666667</v>
      </c>
      <c r="F170" s="5">
        <f t="shared" si="4"/>
        <v>38.808749999999996</v>
      </c>
      <c r="G170" s="5">
        <f t="shared" si="4"/>
        <v>10.848333333333334</v>
      </c>
      <c r="H170" s="5">
        <f t="shared" si="4"/>
        <v>10.189583333333335</v>
      </c>
      <c r="I170" s="5">
        <f t="shared" si="4"/>
        <v>40.105000000000004</v>
      </c>
      <c r="J170" s="5">
        <f t="shared" si="4"/>
        <v>11.472916666666665</v>
      </c>
      <c r="K170" s="5">
        <f t="shared" si="4"/>
        <v>10.797499999999999</v>
      </c>
      <c r="L170" s="5">
        <f t="shared" si="4"/>
        <v>41.116666666666667</v>
      </c>
      <c r="M170" s="5">
        <f t="shared" si="4"/>
        <v>10.656666666666666</v>
      </c>
    </row>
    <row r="171" spans="1:13" x14ac:dyDescent="0.3">
      <c r="A171" s="5" t="s">
        <v>35</v>
      </c>
      <c r="B171" s="5">
        <f>AVERAGE(B170,E170,H170,K170)</f>
        <v>10.341979166666667</v>
      </c>
      <c r="C171" s="5">
        <f>AVERAGE(C170,F170,I170,L170)</f>
        <v>40.21125</v>
      </c>
      <c r="D171" s="5">
        <f>AVERAGE(D170,G170,J170,M170)</f>
        <v>10.999374999999999</v>
      </c>
    </row>
    <row r="173" spans="1:13" x14ac:dyDescent="0.3">
      <c r="B173" s="38" t="s">
        <v>4</v>
      </c>
      <c r="C173" s="38"/>
      <c r="D173" s="38"/>
      <c r="E173" s="38"/>
    </row>
    <row r="175" spans="1:13" x14ac:dyDescent="0.3">
      <c r="B175" s="39" t="s">
        <v>17</v>
      </c>
      <c r="C175" s="39"/>
      <c r="D175" s="39"/>
      <c r="E175" s="40" t="s">
        <v>18</v>
      </c>
      <c r="F175" s="40"/>
      <c r="G175" s="40"/>
      <c r="H175" s="41" t="s">
        <v>19</v>
      </c>
      <c r="I175" s="41"/>
      <c r="J175" s="41"/>
      <c r="K175" s="42" t="s">
        <v>20</v>
      </c>
      <c r="L175" s="42"/>
      <c r="M175" s="42"/>
    </row>
    <row r="176" spans="1:13" x14ac:dyDescent="0.3">
      <c r="B176" s="1" t="s">
        <v>21</v>
      </c>
      <c r="C176" s="1" t="s">
        <v>22</v>
      </c>
      <c r="D176" s="1" t="s">
        <v>23</v>
      </c>
      <c r="E176" s="1" t="s">
        <v>21</v>
      </c>
      <c r="F176" s="1" t="s">
        <v>22</v>
      </c>
      <c r="G176" s="1" t="s">
        <v>23</v>
      </c>
      <c r="H176" s="1" t="s">
        <v>21</v>
      </c>
      <c r="I176" s="1" t="s">
        <v>22</v>
      </c>
      <c r="J176" s="1" t="s">
        <v>23</v>
      </c>
      <c r="K176" s="1" t="s">
        <v>21</v>
      </c>
      <c r="L176" s="1" t="s">
        <v>22</v>
      </c>
      <c r="M176" s="1" t="s">
        <v>23</v>
      </c>
    </row>
    <row r="177" spans="2:13" x14ac:dyDescent="0.3">
      <c r="B177" s="3">
        <v>32.57</v>
      </c>
      <c r="C177" s="3">
        <v>163.91</v>
      </c>
      <c r="D177" s="3">
        <v>2.15</v>
      </c>
      <c r="E177" s="3">
        <v>40.89</v>
      </c>
      <c r="F177" s="3">
        <v>167.8</v>
      </c>
      <c r="G177" s="3">
        <v>1.51</v>
      </c>
      <c r="H177" s="3">
        <v>37.159999999999997</v>
      </c>
      <c r="I177" s="3">
        <v>163.9</v>
      </c>
      <c r="J177" s="3">
        <v>2.19</v>
      </c>
      <c r="K177" s="3">
        <v>38.31</v>
      </c>
      <c r="L177" s="3">
        <v>163.9</v>
      </c>
      <c r="M177" s="3">
        <v>1.78</v>
      </c>
    </row>
    <row r="178" spans="2:13" x14ac:dyDescent="0.3">
      <c r="B178" s="4">
        <v>43.26</v>
      </c>
      <c r="C178" s="4">
        <v>163.9</v>
      </c>
      <c r="D178" s="4">
        <v>1.44</v>
      </c>
      <c r="E178" s="4">
        <v>59.56</v>
      </c>
      <c r="F178" s="4">
        <v>177.52</v>
      </c>
      <c r="G178" s="4">
        <v>0.93</v>
      </c>
      <c r="H178" s="4">
        <v>39.24</v>
      </c>
      <c r="I178" s="4">
        <v>147</v>
      </c>
      <c r="J178" s="4">
        <v>1.54</v>
      </c>
      <c r="K178" s="4">
        <v>47.13</v>
      </c>
      <c r="L178" s="4">
        <v>168.92</v>
      </c>
      <c r="M178" s="4">
        <v>1.33</v>
      </c>
    </row>
    <row r="179" spans="2:13" x14ac:dyDescent="0.3">
      <c r="B179" s="3">
        <v>57.17</v>
      </c>
      <c r="C179" s="3">
        <v>176.45</v>
      </c>
      <c r="D179" s="3">
        <v>0.94</v>
      </c>
      <c r="E179" s="3">
        <v>68.989999999999995</v>
      </c>
      <c r="F179" s="3">
        <v>180</v>
      </c>
      <c r="G179" s="3">
        <v>0.82</v>
      </c>
      <c r="H179" s="3">
        <v>73.84</v>
      </c>
      <c r="I179" s="3">
        <v>180</v>
      </c>
      <c r="J179" s="3">
        <v>0.77</v>
      </c>
      <c r="K179" s="3">
        <v>38.89</v>
      </c>
      <c r="L179" s="3">
        <v>177.59</v>
      </c>
      <c r="M179" s="3">
        <v>1.79</v>
      </c>
    </row>
    <row r="180" spans="2:13" x14ac:dyDescent="0.3">
      <c r="B180" s="4">
        <v>72.680000000000007</v>
      </c>
      <c r="C180" s="4">
        <v>180</v>
      </c>
      <c r="D180" s="4">
        <v>0.74</v>
      </c>
      <c r="E180" s="4">
        <v>62.9</v>
      </c>
      <c r="F180" s="4">
        <v>180</v>
      </c>
      <c r="G180" s="4">
        <v>0.77</v>
      </c>
      <c r="H180" s="4">
        <v>80.06</v>
      </c>
      <c r="I180" s="4">
        <v>178.99</v>
      </c>
      <c r="J180" s="4">
        <v>0.81</v>
      </c>
      <c r="K180" s="4">
        <v>65.150000000000006</v>
      </c>
      <c r="L180" s="4">
        <v>178.05</v>
      </c>
      <c r="M180" s="4">
        <v>0.85</v>
      </c>
    </row>
    <row r="181" spans="2:13" x14ac:dyDescent="0.3">
      <c r="B181" s="3">
        <v>56.41</v>
      </c>
      <c r="C181" s="3">
        <v>180</v>
      </c>
      <c r="D181" s="3">
        <v>0.99</v>
      </c>
      <c r="E181" s="3">
        <v>54.08</v>
      </c>
      <c r="F181" s="3">
        <v>180</v>
      </c>
      <c r="G181" s="3">
        <v>0.95</v>
      </c>
      <c r="H181" s="3">
        <v>65.17</v>
      </c>
      <c r="I181" s="3">
        <v>180</v>
      </c>
      <c r="J181" s="3">
        <v>0.99</v>
      </c>
      <c r="K181" s="3">
        <v>59.77</v>
      </c>
      <c r="L181" s="3">
        <v>180</v>
      </c>
      <c r="M181" s="3">
        <v>0.87</v>
      </c>
    </row>
    <row r="182" spans="2:13" x14ac:dyDescent="0.3">
      <c r="B182" s="4">
        <v>53.43</v>
      </c>
      <c r="C182" s="4">
        <v>180</v>
      </c>
      <c r="D182" s="4">
        <v>1.02</v>
      </c>
      <c r="E182" s="4">
        <v>60.21</v>
      </c>
      <c r="F182" s="4">
        <v>178.74</v>
      </c>
      <c r="G182" s="4">
        <v>0.81</v>
      </c>
      <c r="H182" s="4">
        <v>73.040000000000006</v>
      </c>
      <c r="I182" s="4">
        <v>180</v>
      </c>
      <c r="J182" s="4">
        <v>0.75</v>
      </c>
      <c r="K182" s="4">
        <v>54.19</v>
      </c>
      <c r="L182" s="4">
        <v>180</v>
      </c>
      <c r="M182" s="4">
        <v>1.05</v>
      </c>
    </row>
    <row r="183" spans="2:13" x14ac:dyDescent="0.3">
      <c r="B183" s="3">
        <v>54.35</v>
      </c>
      <c r="C183" s="3">
        <v>178.76</v>
      </c>
      <c r="D183" s="3">
        <v>1.25</v>
      </c>
      <c r="E183" s="3">
        <v>54.59</v>
      </c>
      <c r="F183" s="3">
        <v>179.02</v>
      </c>
      <c r="G183" s="3">
        <v>1.03</v>
      </c>
      <c r="H183" s="3">
        <v>51.51</v>
      </c>
      <c r="I183" s="3">
        <v>180</v>
      </c>
      <c r="J183" s="3">
        <v>1.06</v>
      </c>
      <c r="K183" s="3">
        <v>50.42</v>
      </c>
      <c r="L183" s="3">
        <v>177.78</v>
      </c>
      <c r="M183" s="3">
        <v>1.2</v>
      </c>
    </row>
    <row r="184" spans="2:13" x14ac:dyDescent="0.3">
      <c r="B184" s="4">
        <v>50.69</v>
      </c>
      <c r="C184" s="4">
        <v>178.49</v>
      </c>
      <c r="D184" s="4">
        <v>1.1399999999999999</v>
      </c>
      <c r="E184" s="4">
        <v>60.66</v>
      </c>
      <c r="F184" s="4">
        <v>180</v>
      </c>
      <c r="G184" s="4">
        <v>0.86</v>
      </c>
      <c r="H184" s="4">
        <v>65.14</v>
      </c>
      <c r="I184" s="4">
        <v>180</v>
      </c>
      <c r="J184" s="4">
        <v>0.88</v>
      </c>
      <c r="K184" s="4">
        <v>78.64</v>
      </c>
      <c r="L184" s="4">
        <v>180</v>
      </c>
      <c r="M184" s="4">
        <v>0.74</v>
      </c>
    </row>
    <row r="185" spans="2:13" x14ac:dyDescent="0.3">
      <c r="B185" s="3">
        <v>49.86</v>
      </c>
      <c r="C185" s="3">
        <v>180</v>
      </c>
      <c r="D185" s="3">
        <v>1.05</v>
      </c>
      <c r="E185" s="3">
        <v>95.5</v>
      </c>
      <c r="F185" s="3">
        <v>178.82</v>
      </c>
      <c r="G185" s="3">
        <v>0.62</v>
      </c>
      <c r="H185" s="3">
        <v>61.24</v>
      </c>
      <c r="I185" s="3">
        <v>180</v>
      </c>
      <c r="J185" s="3">
        <v>1.07</v>
      </c>
      <c r="K185" s="3">
        <v>49.96</v>
      </c>
      <c r="L185" s="3">
        <v>180</v>
      </c>
      <c r="M185" s="3">
        <v>1.25</v>
      </c>
    </row>
    <row r="186" spans="2:13" x14ac:dyDescent="0.3">
      <c r="B186" s="4">
        <v>59.4</v>
      </c>
      <c r="C186" s="4">
        <v>180</v>
      </c>
      <c r="D186" s="4">
        <v>1.1100000000000001</v>
      </c>
      <c r="E186" s="4">
        <v>64.75</v>
      </c>
      <c r="F186" s="4">
        <v>180</v>
      </c>
      <c r="G186" s="4">
        <v>0.96</v>
      </c>
      <c r="H186" s="4">
        <v>57.11</v>
      </c>
      <c r="I186" s="4">
        <v>180</v>
      </c>
      <c r="J186" s="4">
        <v>1.1100000000000001</v>
      </c>
      <c r="K186" s="4">
        <v>56.07</v>
      </c>
      <c r="L186" s="4">
        <v>180</v>
      </c>
      <c r="M186" s="4">
        <v>1.06</v>
      </c>
    </row>
    <row r="187" spans="2:13" x14ac:dyDescent="0.3">
      <c r="B187" s="3">
        <v>67.47</v>
      </c>
      <c r="C187" s="3">
        <v>180</v>
      </c>
      <c r="D187" s="3">
        <v>0.98</v>
      </c>
      <c r="E187" s="3">
        <v>59.44</v>
      </c>
      <c r="F187" s="3">
        <v>180</v>
      </c>
      <c r="G187" s="3">
        <v>1.04</v>
      </c>
      <c r="H187" s="3">
        <v>55.07</v>
      </c>
      <c r="I187" s="3">
        <v>180</v>
      </c>
      <c r="J187" s="3">
        <v>1.2</v>
      </c>
      <c r="K187" s="3">
        <v>62.54</v>
      </c>
      <c r="L187" s="3">
        <v>180</v>
      </c>
      <c r="M187" s="3">
        <v>1.01</v>
      </c>
    </row>
    <row r="188" spans="2:13" x14ac:dyDescent="0.3">
      <c r="B188" s="4">
        <v>107.63</v>
      </c>
      <c r="C188" s="4">
        <v>179.2</v>
      </c>
      <c r="D188" s="4">
        <v>0.45</v>
      </c>
      <c r="E188" s="4">
        <v>59.27</v>
      </c>
      <c r="F188" s="4">
        <v>180</v>
      </c>
      <c r="G188" s="4">
        <v>0.85</v>
      </c>
      <c r="H188" s="4">
        <v>56.09</v>
      </c>
      <c r="I188" s="4">
        <v>179.47</v>
      </c>
      <c r="J188" s="4">
        <v>0.95</v>
      </c>
      <c r="K188" s="4">
        <v>74.849999999999994</v>
      </c>
      <c r="L188" s="4">
        <v>180</v>
      </c>
      <c r="M188" s="4">
        <v>0.82</v>
      </c>
    </row>
    <row r="189" spans="2:13" x14ac:dyDescent="0.3">
      <c r="B189" s="3">
        <v>21.95</v>
      </c>
      <c r="C189" s="3">
        <v>105.34</v>
      </c>
      <c r="D189" s="3">
        <v>2.96</v>
      </c>
      <c r="E189" s="3">
        <v>25.72</v>
      </c>
      <c r="F189" s="3">
        <v>112.86</v>
      </c>
      <c r="G189" s="3">
        <v>2.11</v>
      </c>
      <c r="H189" s="3">
        <v>20.75</v>
      </c>
      <c r="I189" s="3">
        <v>97.88</v>
      </c>
      <c r="J189" s="3">
        <v>3.25</v>
      </c>
      <c r="K189" s="3">
        <v>17.45</v>
      </c>
      <c r="L189" s="3">
        <v>113.81</v>
      </c>
      <c r="M189" s="3">
        <v>3.6</v>
      </c>
    </row>
    <row r="190" spans="2:13" x14ac:dyDescent="0.3">
      <c r="B190" s="4">
        <v>24.74</v>
      </c>
      <c r="C190" s="4">
        <v>133.88999999999999</v>
      </c>
      <c r="D190" s="4">
        <v>2.82</v>
      </c>
      <c r="E190" s="4">
        <v>31.52</v>
      </c>
      <c r="F190" s="4">
        <v>150.72</v>
      </c>
      <c r="G190" s="4">
        <v>2.15</v>
      </c>
      <c r="H190" s="4">
        <v>24.61</v>
      </c>
      <c r="I190" s="4">
        <v>133.91</v>
      </c>
      <c r="J190" s="4">
        <v>2.74</v>
      </c>
      <c r="K190" s="4">
        <v>29.02</v>
      </c>
      <c r="L190" s="4">
        <v>145.93</v>
      </c>
      <c r="M190" s="4">
        <v>2.15</v>
      </c>
    </row>
    <row r="191" spans="2:13" x14ac:dyDescent="0.3">
      <c r="B191" s="3">
        <v>28.85</v>
      </c>
      <c r="C191" s="3">
        <v>161.13</v>
      </c>
      <c r="D191" s="3">
        <v>1.91</v>
      </c>
      <c r="E191" s="3">
        <v>33.46</v>
      </c>
      <c r="F191" s="3">
        <v>155.91</v>
      </c>
      <c r="G191" s="3">
        <v>1.8</v>
      </c>
      <c r="H191" s="3">
        <v>29.03</v>
      </c>
      <c r="I191" s="3">
        <v>148.63</v>
      </c>
      <c r="J191" s="3">
        <v>2.14</v>
      </c>
      <c r="K191" s="3">
        <v>24.89</v>
      </c>
      <c r="L191" s="3">
        <v>118.32</v>
      </c>
      <c r="M191" s="3">
        <v>2.69</v>
      </c>
    </row>
    <row r="192" spans="2:13" x14ac:dyDescent="0.3">
      <c r="B192" s="4">
        <v>35.79</v>
      </c>
      <c r="C192" s="4">
        <v>175.51</v>
      </c>
      <c r="D192" s="4">
        <v>1.59</v>
      </c>
      <c r="E192" s="4">
        <v>29.19</v>
      </c>
      <c r="F192" s="4">
        <v>156.99</v>
      </c>
      <c r="G192" s="4">
        <v>2.04</v>
      </c>
      <c r="H192" s="4">
        <v>26.77</v>
      </c>
      <c r="I192" s="4">
        <v>132.97</v>
      </c>
      <c r="J192" s="4">
        <v>2.7</v>
      </c>
      <c r="K192" s="4">
        <v>28.03</v>
      </c>
      <c r="L192" s="4">
        <v>155.63999999999999</v>
      </c>
      <c r="M192" s="4">
        <v>2.46</v>
      </c>
    </row>
    <row r="193" spans="2:13" x14ac:dyDescent="0.3">
      <c r="B193" s="3">
        <v>23.99</v>
      </c>
      <c r="C193" s="3">
        <v>165.42</v>
      </c>
      <c r="D193" s="3">
        <v>2.65</v>
      </c>
      <c r="E193" s="3">
        <v>26.08</v>
      </c>
      <c r="F193" s="3">
        <v>153.69</v>
      </c>
      <c r="G193" s="3">
        <v>2.52</v>
      </c>
      <c r="H193" s="3">
        <v>29.67</v>
      </c>
      <c r="I193" s="3">
        <v>165.89</v>
      </c>
      <c r="J193" s="3">
        <v>1.95</v>
      </c>
      <c r="K193" s="3">
        <v>33.409999999999997</v>
      </c>
      <c r="L193" s="3">
        <v>170.15</v>
      </c>
      <c r="M193" s="3">
        <v>1.59</v>
      </c>
    </row>
    <row r="194" spans="2:13" x14ac:dyDescent="0.3">
      <c r="B194" s="4">
        <v>25.16</v>
      </c>
      <c r="C194" s="4">
        <v>135.99</v>
      </c>
      <c r="D194" s="4">
        <v>2.33</v>
      </c>
      <c r="E194" s="4">
        <v>28.61</v>
      </c>
      <c r="F194" s="4">
        <v>141.69</v>
      </c>
      <c r="G194" s="4">
        <v>2.17</v>
      </c>
      <c r="H194" s="4">
        <v>29.68</v>
      </c>
      <c r="I194" s="4">
        <v>155.91999999999999</v>
      </c>
      <c r="J194" s="4">
        <v>2.2400000000000002</v>
      </c>
      <c r="K194" s="4">
        <v>30.49</v>
      </c>
      <c r="L194" s="4">
        <v>178.5</v>
      </c>
      <c r="M194" s="4">
        <v>1.98</v>
      </c>
    </row>
    <row r="195" spans="2:13" x14ac:dyDescent="0.3">
      <c r="B195" s="3">
        <v>26.78</v>
      </c>
      <c r="C195" s="3">
        <v>158.49</v>
      </c>
      <c r="D195" s="3">
        <v>2.38</v>
      </c>
      <c r="E195" s="3">
        <v>24.69</v>
      </c>
      <c r="F195" s="3">
        <v>164.1</v>
      </c>
      <c r="G195" s="3">
        <v>2.65</v>
      </c>
      <c r="H195" s="3">
        <v>24.88</v>
      </c>
      <c r="I195" s="3">
        <v>163.19</v>
      </c>
      <c r="J195" s="3">
        <v>2.65</v>
      </c>
      <c r="K195" s="3">
        <v>25.69</v>
      </c>
      <c r="L195" s="3">
        <v>155.74</v>
      </c>
      <c r="M195" s="3">
        <v>2.2200000000000002</v>
      </c>
    </row>
    <row r="196" spans="2:13" x14ac:dyDescent="0.3">
      <c r="B196" s="4">
        <v>21.63</v>
      </c>
      <c r="C196" s="4">
        <v>140.18</v>
      </c>
      <c r="D196" s="4">
        <v>3.02</v>
      </c>
      <c r="E196" s="4">
        <v>27.41</v>
      </c>
      <c r="F196" s="4">
        <v>149.69</v>
      </c>
      <c r="G196" s="4">
        <v>2.2400000000000002</v>
      </c>
      <c r="H196" s="4">
        <v>24.47</v>
      </c>
      <c r="I196" s="4">
        <v>140.19</v>
      </c>
      <c r="J196" s="4">
        <v>2.9</v>
      </c>
      <c r="K196" s="4">
        <v>40.869999999999997</v>
      </c>
      <c r="L196" s="4">
        <v>169.63</v>
      </c>
      <c r="M196" s="4">
        <v>1.59</v>
      </c>
    </row>
    <row r="197" spans="2:13" x14ac:dyDescent="0.3">
      <c r="B197" s="3">
        <v>23.16</v>
      </c>
      <c r="C197" s="3">
        <v>151.16</v>
      </c>
      <c r="D197" s="3">
        <v>2.5499999999999998</v>
      </c>
      <c r="E197" s="3">
        <v>37.67</v>
      </c>
      <c r="F197" s="3">
        <v>156.44999999999999</v>
      </c>
      <c r="G197" s="3">
        <v>1.66</v>
      </c>
      <c r="H197" s="3">
        <v>25.99</v>
      </c>
      <c r="I197" s="3">
        <v>141.9</v>
      </c>
      <c r="J197" s="3">
        <v>2.86</v>
      </c>
      <c r="K197" s="3">
        <v>26.65</v>
      </c>
      <c r="L197" s="3">
        <v>170.41</v>
      </c>
      <c r="M197" s="3">
        <v>2.5099999999999998</v>
      </c>
    </row>
    <row r="198" spans="2:13" x14ac:dyDescent="0.3">
      <c r="B198" s="4">
        <v>26.14</v>
      </c>
      <c r="C198" s="4">
        <v>162.66</v>
      </c>
      <c r="D198" s="4">
        <v>2.2000000000000002</v>
      </c>
      <c r="E198" s="4">
        <v>26.92</v>
      </c>
      <c r="F198" s="4">
        <v>136.26</v>
      </c>
      <c r="G198" s="4">
        <v>2.74</v>
      </c>
      <c r="H198" s="4">
        <v>25.94</v>
      </c>
      <c r="I198" s="4">
        <v>155.55000000000001</v>
      </c>
      <c r="J198" s="4">
        <v>2.54</v>
      </c>
      <c r="K198" s="4">
        <v>28.08</v>
      </c>
      <c r="L198" s="4">
        <v>162.30000000000001</v>
      </c>
      <c r="M198" s="4">
        <v>2.41</v>
      </c>
    </row>
    <row r="199" spans="2:13" x14ac:dyDescent="0.3">
      <c r="B199" s="3">
        <v>29.51</v>
      </c>
      <c r="C199" s="3">
        <v>147.69999999999999</v>
      </c>
      <c r="D199" s="3">
        <v>2.5299999999999998</v>
      </c>
      <c r="E199" s="3">
        <v>34.56</v>
      </c>
      <c r="F199" s="3">
        <v>149.54</v>
      </c>
      <c r="G199" s="3">
        <v>1.92</v>
      </c>
      <c r="H199" s="3">
        <v>27.51</v>
      </c>
      <c r="I199" s="3">
        <v>163.49</v>
      </c>
      <c r="J199" s="3">
        <v>2.48</v>
      </c>
      <c r="K199" s="3">
        <v>34.08</v>
      </c>
      <c r="L199" s="3">
        <v>150.53</v>
      </c>
      <c r="M199" s="3">
        <v>1.95</v>
      </c>
    </row>
    <row r="200" spans="2:13" x14ac:dyDescent="0.3">
      <c r="B200" s="4">
        <v>32.11</v>
      </c>
      <c r="C200" s="4">
        <v>154.66999999999999</v>
      </c>
      <c r="D200" s="4">
        <v>2.27</v>
      </c>
      <c r="E200" s="4">
        <v>35.22</v>
      </c>
      <c r="F200" s="4">
        <v>178.93</v>
      </c>
      <c r="G200" s="4">
        <v>1.57</v>
      </c>
      <c r="H200" s="4">
        <v>31.12</v>
      </c>
      <c r="I200" s="4">
        <v>164.35</v>
      </c>
      <c r="J200" s="4">
        <v>1.82</v>
      </c>
      <c r="K200" s="4">
        <v>38.729999999999997</v>
      </c>
      <c r="L200" s="4">
        <v>170.76</v>
      </c>
      <c r="M200" s="4">
        <v>1.59</v>
      </c>
    </row>
    <row r="201" spans="2:13" x14ac:dyDescent="0.3">
      <c r="B201" s="3">
        <v>40.4</v>
      </c>
      <c r="C201" s="3">
        <v>146.86000000000001</v>
      </c>
      <c r="D201" s="3">
        <v>2.7</v>
      </c>
      <c r="E201" s="3">
        <v>33.450000000000003</v>
      </c>
      <c r="F201" s="3">
        <v>139.36000000000001</v>
      </c>
      <c r="G201" s="3">
        <v>2.88</v>
      </c>
      <c r="H201" s="3">
        <v>37.909999999999997</v>
      </c>
      <c r="I201" s="3">
        <v>125.9</v>
      </c>
      <c r="J201" s="3">
        <v>2.76</v>
      </c>
      <c r="K201" s="3">
        <v>37.869999999999997</v>
      </c>
      <c r="L201" s="3">
        <v>126.1</v>
      </c>
      <c r="M201" s="3">
        <v>2.88</v>
      </c>
    </row>
    <row r="202" spans="2:13" x14ac:dyDescent="0.3">
      <c r="B202" s="4">
        <v>42.86</v>
      </c>
      <c r="C202" s="4">
        <v>132.32</v>
      </c>
      <c r="D202" s="4">
        <v>2.63</v>
      </c>
      <c r="E202" s="4">
        <v>42.83</v>
      </c>
      <c r="F202" s="4">
        <v>162.37</v>
      </c>
      <c r="G202" s="4">
        <v>2.69</v>
      </c>
      <c r="H202" s="4">
        <v>47.73</v>
      </c>
      <c r="I202" s="4">
        <v>132.19</v>
      </c>
      <c r="J202" s="4">
        <v>2.41</v>
      </c>
      <c r="K202" s="4">
        <v>42.42</v>
      </c>
      <c r="L202" s="4">
        <v>147.34</v>
      </c>
      <c r="M202" s="4">
        <v>2.7</v>
      </c>
    </row>
    <row r="203" spans="2:13" x14ac:dyDescent="0.3">
      <c r="B203" s="3">
        <v>42.45</v>
      </c>
      <c r="C203" s="3">
        <v>154.5</v>
      </c>
      <c r="D203" s="3">
        <v>2.5</v>
      </c>
      <c r="E203" s="3">
        <v>43.21</v>
      </c>
      <c r="F203" s="3">
        <v>154.46</v>
      </c>
      <c r="G203" s="3">
        <v>2.5499999999999998</v>
      </c>
      <c r="H203" s="3">
        <v>42.82</v>
      </c>
      <c r="I203" s="3">
        <v>154.5</v>
      </c>
      <c r="J203" s="3">
        <v>2.66</v>
      </c>
      <c r="K203" s="3">
        <v>36.71</v>
      </c>
      <c r="L203" s="3">
        <v>116.97</v>
      </c>
      <c r="M203" s="3">
        <v>2.87</v>
      </c>
    </row>
    <row r="204" spans="2:13" x14ac:dyDescent="0.3">
      <c r="B204" s="4">
        <v>55.91</v>
      </c>
      <c r="C204" s="4">
        <v>169.82</v>
      </c>
      <c r="D204" s="4">
        <v>1.95</v>
      </c>
      <c r="E204" s="4">
        <v>53.01</v>
      </c>
      <c r="F204" s="4">
        <v>154.65</v>
      </c>
      <c r="G204" s="4">
        <v>2.14</v>
      </c>
      <c r="H204" s="4">
        <v>44.25</v>
      </c>
      <c r="I204" s="4">
        <v>133.47</v>
      </c>
      <c r="J204" s="4">
        <v>2.33</v>
      </c>
      <c r="K204" s="4">
        <v>45.97</v>
      </c>
      <c r="L204" s="4">
        <v>154.38999999999999</v>
      </c>
      <c r="M204" s="4">
        <v>2.36</v>
      </c>
    </row>
    <row r="205" spans="2:13" x14ac:dyDescent="0.3">
      <c r="B205" s="3">
        <v>41.2</v>
      </c>
      <c r="C205" s="3">
        <v>161.88</v>
      </c>
      <c r="D205" s="3">
        <v>2.4500000000000002</v>
      </c>
      <c r="E205" s="3">
        <v>41.13</v>
      </c>
      <c r="F205" s="3">
        <v>147.12</v>
      </c>
      <c r="G205" s="3">
        <v>2.38</v>
      </c>
      <c r="H205" s="3">
        <v>46.86</v>
      </c>
      <c r="I205" s="3">
        <v>176.81</v>
      </c>
      <c r="J205" s="3">
        <v>2.14</v>
      </c>
      <c r="K205" s="3">
        <v>48.55</v>
      </c>
      <c r="L205" s="3">
        <v>169.35</v>
      </c>
      <c r="M205" s="3">
        <v>2.06</v>
      </c>
    </row>
    <row r="206" spans="2:13" x14ac:dyDescent="0.3">
      <c r="B206" s="4">
        <v>34</v>
      </c>
      <c r="C206" s="4">
        <v>154.49</v>
      </c>
      <c r="D206" s="4">
        <v>2.87</v>
      </c>
      <c r="E206" s="4">
        <v>37.409999999999997</v>
      </c>
      <c r="F206" s="4">
        <v>169.67</v>
      </c>
      <c r="G206" s="4">
        <v>2.64</v>
      </c>
      <c r="H206" s="4">
        <v>36.96</v>
      </c>
      <c r="I206" s="4">
        <v>146.94999999999999</v>
      </c>
      <c r="J206" s="4">
        <v>2.57</v>
      </c>
      <c r="K206" s="4">
        <v>39.32</v>
      </c>
      <c r="L206" s="4">
        <v>176.94</v>
      </c>
      <c r="M206" s="4">
        <v>2.52</v>
      </c>
    </row>
    <row r="207" spans="2:13" x14ac:dyDescent="0.3">
      <c r="B207" s="3">
        <v>31.63</v>
      </c>
      <c r="C207" s="3">
        <v>154.51</v>
      </c>
      <c r="D207" s="3">
        <v>3.12</v>
      </c>
      <c r="E207" s="3">
        <v>35.81</v>
      </c>
      <c r="F207" s="3">
        <v>162.12</v>
      </c>
      <c r="G207" s="3">
        <v>2.8</v>
      </c>
      <c r="H207" s="3">
        <v>36.880000000000003</v>
      </c>
      <c r="I207" s="3">
        <v>162.21</v>
      </c>
      <c r="J207" s="3">
        <v>2.87</v>
      </c>
      <c r="K207" s="3">
        <v>34.5</v>
      </c>
      <c r="L207" s="3">
        <v>154.44</v>
      </c>
      <c r="M207" s="3">
        <v>2.84</v>
      </c>
    </row>
    <row r="208" spans="2:13" x14ac:dyDescent="0.3">
      <c r="B208" s="4">
        <v>37.729999999999997</v>
      </c>
      <c r="C208" s="4">
        <v>126.37</v>
      </c>
      <c r="D208" s="4">
        <v>2.84</v>
      </c>
      <c r="E208" s="4">
        <v>36.74</v>
      </c>
      <c r="F208" s="4">
        <v>139.44</v>
      </c>
      <c r="G208" s="4">
        <v>2.62</v>
      </c>
      <c r="H208" s="4">
        <v>34.67</v>
      </c>
      <c r="I208" s="4">
        <v>132.08000000000001</v>
      </c>
      <c r="J208" s="4">
        <v>3</v>
      </c>
      <c r="K208" s="4">
        <v>41.85</v>
      </c>
      <c r="L208" s="4">
        <v>156.07</v>
      </c>
      <c r="M208" s="4">
        <v>2.4900000000000002</v>
      </c>
    </row>
    <row r="209" spans="1:13" x14ac:dyDescent="0.3">
      <c r="B209" s="3">
        <v>38.44</v>
      </c>
      <c r="C209" s="3">
        <v>148.47999999999999</v>
      </c>
      <c r="D209" s="3">
        <v>2.61</v>
      </c>
      <c r="E209" s="3">
        <v>44.94</v>
      </c>
      <c r="F209" s="3">
        <v>154.83000000000001</v>
      </c>
      <c r="G209" s="3">
        <v>2.2599999999999998</v>
      </c>
      <c r="H209" s="3">
        <v>37.82</v>
      </c>
      <c r="I209" s="3">
        <v>133.91999999999999</v>
      </c>
      <c r="J209" s="3">
        <v>2.98</v>
      </c>
      <c r="K209" s="3">
        <v>45.68</v>
      </c>
      <c r="L209" s="3">
        <v>169.6</v>
      </c>
      <c r="M209" s="3">
        <v>2.37</v>
      </c>
    </row>
    <row r="210" spans="1:13" x14ac:dyDescent="0.3">
      <c r="B210" s="4">
        <v>37.770000000000003</v>
      </c>
      <c r="C210" s="4">
        <v>161.96</v>
      </c>
      <c r="D210" s="4">
        <v>2.95</v>
      </c>
      <c r="E210" s="4">
        <v>39.9</v>
      </c>
      <c r="F210" s="4">
        <v>131.94999999999999</v>
      </c>
      <c r="G210" s="4">
        <v>3.02</v>
      </c>
      <c r="H210" s="4">
        <v>41.11</v>
      </c>
      <c r="I210" s="4">
        <v>162</v>
      </c>
      <c r="J210" s="4">
        <v>2.82</v>
      </c>
      <c r="K210" s="4">
        <v>48.62</v>
      </c>
      <c r="L210" s="4">
        <v>154.38</v>
      </c>
      <c r="M210" s="4">
        <v>2.38</v>
      </c>
    </row>
    <row r="211" spans="1:13" x14ac:dyDescent="0.3">
      <c r="B211" s="3">
        <v>41.32</v>
      </c>
      <c r="C211" s="3">
        <v>139.47</v>
      </c>
      <c r="D211" s="3">
        <v>2.85</v>
      </c>
      <c r="E211" s="3">
        <v>51.09</v>
      </c>
      <c r="F211" s="3">
        <v>177.02</v>
      </c>
      <c r="G211" s="3">
        <v>2.4500000000000002</v>
      </c>
      <c r="H211" s="3">
        <v>45.65</v>
      </c>
      <c r="I211" s="3">
        <v>161.69</v>
      </c>
      <c r="J211" s="3">
        <v>2.7</v>
      </c>
      <c r="K211" s="3">
        <v>44.87</v>
      </c>
      <c r="L211" s="3">
        <v>162.06</v>
      </c>
      <c r="M211" s="3">
        <v>2.69</v>
      </c>
    </row>
    <row r="212" spans="1:13" x14ac:dyDescent="0.3">
      <c r="B212" s="4">
        <v>46.94</v>
      </c>
      <c r="C212" s="4">
        <v>146.86000000000001</v>
      </c>
      <c r="D212" s="4">
        <v>2.3199999999999998</v>
      </c>
      <c r="E212" s="4">
        <v>55.87</v>
      </c>
      <c r="F212" s="4">
        <v>177.21</v>
      </c>
      <c r="G212" s="4">
        <v>2.21</v>
      </c>
      <c r="H212" s="4">
        <v>46.38</v>
      </c>
      <c r="I212" s="4">
        <v>161.94</v>
      </c>
      <c r="J212" s="4">
        <v>2.5</v>
      </c>
      <c r="K212" s="4">
        <v>58.6</v>
      </c>
      <c r="L212" s="4">
        <v>163.36000000000001</v>
      </c>
      <c r="M212" s="4">
        <v>1.94</v>
      </c>
    </row>
    <row r="214" spans="1:13" x14ac:dyDescent="0.3">
      <c r="A214" s="5" t="s">
        <v>39</v>
      </c>
      <c r="B214" s="5">
        <f>AVERAGE(B177:B212)</f>
        <v>42.093888888888898</v>
      </c>
      <c r="C214" s="5">
        <f t="shared" ref="C214:M214" si="5">AVERAGE(C177:C212)</f>
        <v>158.62138888888884</v>
      </c>
      <c r="D214" s="5">
        <f t="shared" si="5"/>
        <v>2.0627777777777774</v>
      </c>
      <c r="E214" s="5">
        <f t="shared" si="5"/>
        <v>44.924444444444447</v>
      </c>
      <c r="F214" s="5">
        <f t="shared" si="5"/>
        <v>161.6369444444444</v>
      </c>
      <c r="G214" s="5">
        <f t="shared" si="5"/>
        <v>1.8711111111111107</v>
      </c>
      <c r="H214" s="5">
        <f t="shared" si="5"/>
        <v>42.614722222222227</v>
      </c>
      <c r="I214" s="5">
        <f t="shared" si="5"/>
        <v>157.13583333333332</v>
      </c>
      <c r="J214" s="5">
        <f t="shared" si="5"/>
        <v>2.0924999999999994</v>
      </c>
      <c r="K214" s="5">
        <f t="shared" si="5"/>
        <v>43.285277777777772</v>
      </c>
      <c r="L214" s="5">
        <f t="shared" si="5"/>
        <v>162.19333333333336</v>
      </c>
      <c r="M214" s="5">
        <f t="shared" si="5"/>
        <v>1.9608333333333334</v>
      </c>
    </row>
    <row r="215" spans="1:13" x14ac:dyDescent="0.3">
      <c r="A215" s="5" t="s">
        <v>35</v>
      </c>
      <c r="B215" s="5">
        <f>AVERAGE(B214,E214,H214,K214)</f>
        <v>43.229583333333338</v>
      </c>
      <c r="C215" s="5">
        <f>AVERAGE(C214,F214,I214,L214)</f>
        <v>159.89687499999997</v>
      </c>
      <c r="D215" s="5">
        <f>AVERAGE(D214,G214,J214,M214)</f>
        <v>1.9968055555555553</v>
      </c>
    </row>
    <row r="217" spans="1:13" x14ac:dyDescent="0.3">
      <c r="B217" s="38" t="s">
        <v>6</v>
      </c>
      <c r="C217" s="38"/>
      <c r="D217" s="38"/>
      <c r="E217" s="38"/>
    </row>
    <row r="219" spans="1:13" x14ac:dyDescent="0.3">
      <c r="B219" s="39" t="s">
        <v>17</v>
      </c>
      <c r="C219" s="39"/>
      <c r="D219" s="39"/>
      <c r="E219" s="40" t="s">
        <v>18</v>
      </c>
      <c r="F219" s="40"/>
      <c r="G219" s="40"/>
      <c r="H219" s="41" t="s">
        <v>19</v>
      </c>
      <c r="I219" s="41"/>
      <c r="J219" s="41"/>
      <c r="K219" s="42" t="s">
        <v>20</v>
      </c>
      <c r="L219" s="42"/>
      <c r="M219" s="42"/>
    </row>
    <row r="220" spans="1:13" x14ac:dyDescent="0.3">
      <c r="B220" s="1" t="s">
        <v>21</v>
      </c>
      <c r="C220" s="1" t="s">
        <v>22</v>
      </c>
      <c r="D220" s="1" t="s">
        <v>23</v>
      </c>
      <c r="E220" s="1" t="s">
        <v>21</v>
      </c>
      <c r="F220" s="1" t="s">
        <v>22</v>
      </c>
      <c r="G220" s="1" t="s">
        <v>23</v>
      </c>
      <c r="H220" s="1" t="s">
        <v>21</v>
      </c>
      <c r="I220" s="1" t="s">
        <v>22</v>
      </c>
      <c r="J220" s="1" t="s">
        <v>23</v>
      </c>
      <c r="K220" s="1" t="s">
        <v>21</v>
      </c>
      <c r="L220" s="1" t="s">
        <v>22</v>
      </c>
      <c r="M220" s="1" t="s">
        <v>23</v>
      </c>
    </row>
    <row r="221" spans="1:13" x14ac:dyDescent="0.3">
      <c r="B221" s="3">
        <v>16.09</v>
      </c>
      <c r="C221" s="3">
        <v>46.87</v>
      </c>
      <c r="D221" s="3">
        <v>6.16</v>
      </c>
      <c r="E221" s="3">
        <v>14.41</v>
      </c>
      <c r="F221" s="3">
        <v>39.369999999999997</v>
      </c>
      <c r="G221" s="3">
        <v>6.46</v>
      </c>
      <c r="H221" s="3">
        <v>19.82</v>
      </c>
      <c r="I221" s="3">
        <v>46.83</v>
      </c>
      <c r="J221" s="3">
        <v>5.24</v>
      </c>
      <c r="K221" s="3">
        <v>12.05</v>
      </c>
      <c r="L221" s="3">
        <v>31.88</v>
      </c>
      <c r="M221" s="3">
        <v>6.95</v>
      </c>
    </row>
    <row r="222" spans="1:13" x14ac:dyDescent="0.3">
      <c r="B222" s="4">
        <v>11.16</v>
      </c>
      <c r="C222" s="4">
        <v>44.2</v>
      </c>
      <c r="D222" s="4">
        <v>7.08</v>
      </c>
      <c r="E222" s="4">
        <v>18.149999999999999</v>
      </c>
      <c r="F222" s="4">
        <v>54.92</v>
      </c>
      <c r="G222" s="4">
        <v>5.44</v>
      </c>
      <c r="H222" s="4">
        <v>10.53</v>
      </c>
      <c r="I222" s="4">
        <v>31.9</v>
      </c>
      <c r="J222" s="4">
        <v>7.65</v>
      </c>
      <c r="K222" s="4">
        <v>16.41</v>
      </c>
      <c r="L222" s="4">
        <v>62.16</v>
      </c>
      <c r="M222" s="4">
        <v>5.76</v>
      </c>
    </row>
    <row r="223" spans="1:13" x14ac:dyDescent="0.3">
      <c r="B223" s="3">
        <v>8.34</v>
      </c>
      <c r="C223" s="3">
        <v>54.39</v>
      </c>
      <c r="D223" s="3">
        <v>8.51</v>
      </c>
      <c r="E223" s="3">
        <v>6.47</v>
      </c>
      <c r="F223" s="3">
        <v>32.049999999999997</v>
      </c>
      <c r="G223" s="3">
        <v>8.8000000000000007</v>
      </c>
      <c r="H223" s="3">
        <v>10.050000000000001</v>
      </c>
      <c r="I223" s="3">
        <v>46.99</v>
      </c>
      <c r="J223" s="3">
        <v>7.86</v>
      </c>
      <c r="K223" s="3">
        <v>12.22</v>
      </c>
      <c r="L223" s="3">
        <v>54.39</v>
      </c>
      <c r="M223" s="3">
        <v>7.14</v>
      </c>
    </row>
    <row r="224" spans="1:13" x14ac:dyDescent="0.3">
      <c r="B224" s="4">
        <v>15.22</v>
      </c>
      <c r="C224" s="4">
        <v>39.35</v>
      </c>
      <c r="D224" s="4">
        <v>6.1</v>
      </c>
      <c r="E224" s="4">
        <v>17.329999999999998</v>
      </c>
      <c r="F224" s="4">
        <v>46.89</v>
      </c>
      <c r="G224" s="4">
        <v>5.8</v>
      </c>
      <c r="H224" s="4">
        <v>14.45</v>
      </c>
      <c r="I224" s="4">
        <v>62.26</v>
      </c>
      <c r="J224" s="4">
        <v>6.18</v>
      </c>
      <c r="K224" s="4">
        <v>16.920000000000002</v>
      </c>
      <c r="L224" s="4">
        <v>54.57</v>
      </c>
      <c r="M224" s="4">
        <v>5.87</v>
      </c>
    </row>
    <row r="225" spans="2:13" x14ac:dyDescent="0.3">
      <c r="B225" s="3">
        <v>17.78</v>
      </c>
      <c r="C225" s="3">
        <v>54.52</v>
      </c>
      <c r="D225" s="3">
        <v>5.46</v>
      </c>
      <c r="E225" s="3">
        <v>14.33</v>
      </c>
      <c r="F225" s="3">
        <v>39.4</v>
      </c>
      <c r="G225" s="3">
        <v>6.38</v>
      </c>
      <c r="H225" s="3">
        <v>9.3800000000000008</v>
      </c>
      <c r="I225" s="3">
        <v>39.729999999999997</v>
      </c>
      <c r="J225" s="3">
        <v>7.85</v>
      </c>
      <c r="K225" s="3">
        <v>8.99</v>
      </c>
      <c r="L225" s="3">
        <v>32.22</v>
      </c>
      <c r="M225" s="3">
        <v>7.66</v>
      </c>
    </row>
    <row r="226" spans="2:13" x14ac:dyDescent="0.3">
      <c r="B226" s="4">
        <v>11.2</v>
      </c>
      <c r="C226" s="4">
        <v>16.84</v>
      </c>
      <c r="D226" s="4">
        <v>7.4</v>
      </c>
      <c r="E226" s="4">
        <v>4.8899999999999997</v>
      </c>
      <c r="F226" s="4">
        <v>32.380000000000003</v>
      </c>
      <c r="G226" s="4">
        <v>10.14</v>
      </c>
      <c r="H226" s="4">
        <v>9.76</v>
      </c>
      <c r="I226" s="4">
        <v>31.94</v>
      </c>
      <c r="J226" s="4">
        <v>7.8</v>
      </c>
      <c r="K226" s="4">
        <v>5.07</v>
      </c>
      <c r="L226" s="4">
        <v>24.64</v>
      </c>
      <c r="M226" s="4">
        <v>9.7100000000000009</v>
      </c>
    </row>
    <row r="227" spans="2:13" x14ac:dyDescent="0.3">
      <c r="B227" s="3">
        <v>12.39</v>
      </c>
      <c r="C227" s="3">
        <v>54.42</v>
      </c>
      <c r="D227" s="3">
        <v>6.86</v>
      </c>
      <c r="E227" s="3">
        <v>10.34</v>
      </c>
      <c r="F227" s="3">
        <v>46.88</v>
      </c>
      <c r="G227" s="3">
        <v>7.49</v>
      </c>
      <c r="H227" s="3">
        <v>11.4</v>
      </c>
      <c r="I227" s="3">
        <v>39.380000000000003</v>
      </c>
      <c r="J227" s="3">
        <v>6.94</v>
      </c>
      <c r="K227" s="3">
        <v>13.55</v>
      </c>
      <c r="L227" s="3">
        <v>66.41</v>
      </c>
      <c r="M227" s="3">
        <v>6.39</v>
      </c>
    </row>
    <row r="228" spans="2:13" x14ac:dyDescent="0.3">
      <c r="B228" s="4">
        <v>15.05</v>
      </c>
      <c r="C228" s="4">
        <v>61.86</v>
      </c>
      <c r="D228" s="4">
        <v>6.09</v>
      </c>
      <c r="E228" s="4">
        <v>17.8</v>
      </c>
      <c r="F228" s="4">
        <v>43.83</v>
      </c>
      <c r="G228" s="4">
        <v>5.54</v>
      </c>
      <c r="H228" s="4">
        <v>12.35</v>
      </c>
      <c r="I228" s="4">
        <v>39.31</v>
      </c>
      <c r="J228" s="4">
        <v>6.41</v>
      </c>
      <c r="K228" s="4">
        <v>12.16</v>
      </c>
      <c r="L228" s="4">
        <v>54.94</v>
      </c>
      <c r="M228" s="4">
        <v>6.47</v>
      </c>
    </row>
    <row r="229" spans="2:13" x14ac:dyDescent="0.3">
      <c r="B229" s="3">
        <v>11.64</v>
      </c>
      <c r="C229" s="3">
        <v>61.82</v>
      </c>
      <c r="D229" s="3">
        <v>6.46</v>
      </c>
      <c r="E229" s="3">
        <v>13.16</v>
      </c>
      <c r="F229" s="3">
        <v>43.6</v>
      </c>
      <c r="G229" s="3">
        <v>6.32</v>
      </c>
      <c r="H229" s="3">
        <v>11.05</v>
      </c>
      <c r="I229" s="3">
        <v>69.63</v>
      </c>
      <c r="J229" s="3">
        <v>7.14</v>
      </c>
      <c r="K229" s="3">
        <v>7.5</v>
      </c>
      <c r="L229" s="3">
        <v>31.96</v>
      </c>
      <c r="M229" s="3">
        <v>8.6</v>
      </c>
    </row>
    <row r="230" spans="2:13" x14ac:dyDescent="0.3">
      <c r="B230" s="4">
        <v>18.23</v>
      </c>
      <c r="C230" s="4">
        <v>46.94</v>
      </c>
      <c r="D230" s="4">
        <v>5.39</v>
      </c>
      <c r="E230" s="4">
        <v>20.329999999999998</v>
      </c>
      <c r="F230" s="4">
        <v>54.45</v>
      </c>
      <c r="G230" s="4">
        <v>4.76</v>
      </c>
      <c r="H230" s="4">
        <v>14.61</v>
      </c>
      <c r="I230" s="4">
        <v>46.84</v>
      </c>
      <c r="J230" s="4">
        <v>6.43</v>
      </c>
      <c r="K230" s="4">
        <v>12</v>
      </c>
      <c r="L230" s="4">
        <v>54.38</v>
      </c>
      <c r="M230" s="4">
        <v>7.02</v>
      </c>
    </row>
    <row r="231" spans="2:13" x14ac:dyDescent="0.3">
      <c r="B231" s="3">
        <v>10.78</v>
      </c>
      <c r="C231" s="3">
        <v>51.86</v>
      </c>
      <c r="D231" s="3">
        <v>7.39</v>
      </c>
      <c r="E231" s="3">
        <v>5.56</v>
      </c>
      <c r="F231" s="3">
        <v>40.07</v>
      </c>
      <c r="G231" s="3">
        <v>8.99</v>
      </c>
      <c r="H231" s="3">
        <v>7.01</v>
      </c>
      <c r="I231" s="3">
        <v>31.97</v>
      </c>
      <c r="J231" s="3">
        <v>8.32</v>
      </c>
      <c r="K231" s="3">
        <v>3.66</v>
      </c>
      <c r="L231" s="3">
        <v>24.52</v>
      </c>
      <c r="M231" s="3">
        <v>11.12</v>
      </c>
    </row>
    <row r="232" spans="2:13" x14ac:dyDescent="0.3">
      <c r="B232" s="4">
        <v>13.24</v>
      </c>
      <c r="C232" s="4">
        <v>61.88</v>
      </c>
      <c r="D232" s="4">
        <v>6.69</v>
      </c>
      <c r="E232" s="4">
        <v>14.7</v>
      </c>
      <c r="F232" s="4">
        <v>46.88</v>
      </c>
      <c r="G232" s="4">
        <v>6.11</v>
      </c>
      <c r="H232" s="4">
        <v>19.350000000000001</v>
      </c>
      <c r="I232" s="4">
        <v>61.9</v>
      </c>
      <c r="J232" s="4">
        <v>5.04</v>
      </c>
      <c r="K232" s="4">
        <v>16.88</v>
      </c>
      <c r="L232" s="4">
        <v>46.89</v>
      </c>
      <c r="M232" s="4">
        <v>5.64</v>
      </c>
    </row>
    <row r="233" spans="2:13" x14ac:dyDescent="0.3">
      <c r="B233" s="3">
        <v>15.67</v>
      </c>
      <c r="C233" s="3">
        <v>46.77</v>
      </c>
      <c r="D233" s="3">
        <v>6.23</v>
      </c>
      <c r="E233" s="3">
        <v>14.1</v>
      </c>
      <c r="F233" s="3">
        <v>46.82</v>
      </c>
      <c r="G233" s="3">
        <v>6.14</v>
      </c>
      <c r="H233" s="3">
        <v>15.41</v>
      </c>
      <c r="I233" s="3">
        <v>54.33</v>
      </c>
      <c r="J233" s="3">
        <v>6.31</v>
      </c>
      <c r="K233" s="3">
        <v>11.6</v>
      </c>
      <c r="L233" s="3">
        <v>39.299999999999997</v>
      </c>
      <c r="M233" s="3">
        <v>7.06</v>
      </c>
    </row>
    <row r="234" spans="2:13" x14ac:dyDescent="0.3">
      <c r="B234" s="4">
        <v>10.119999999999999</v>
      </c>
      <c r="C234" s="4">
        <v>39.24</v>
      </c>
      <c r="D234" s="4">
        <v>7.77</v>
      </c>
      <c r="E234" s="4">
        <v>14.79</v>
      </c>
      <c r="F234" s="4">
        <v>54.32</v>
      </c>
      <c r="G234" s="4">
        <v>5.96</v>
      </c>
      <c r="H234" s="4">
        <v>13.54</v>
      </c>
      <c r="I234" s="4">
        <v>39.369999999999997</v>
      </c>
      <c r="J234" s="4">
        <v>6.54</v>
      </c>
      <c r="K234" s="4">
        <v>16.38</v>
      </c>
      <c r="L234" s="4">
        <v>69.33</v>
      </c>
      <c r="M234" s="4">
        <v>6.08</v>
      </c>
    </row>
    <row r="235" spans="2:13" x14ac:dyDescent="0.3">
      <c r="B235" s="3">
        <v>10.32</v>
      </c>
      <c r="C235" s="3">
        <v>54.23</v>
      </c>
      <c r="D235" s="3">
        <v>7.86</v>
      </c>
      <c r="E235" s="3">
        <v>7.35</v>
      </c>
      <c r="F235" s="3">
        <v>46.92</v>
      </c>
      <c r="G235" s="3">
        <v>8.9700000000000006</v>
      </c>
      <c r="H235" s="3">
        <v>11.38</v>
      </c>
      <c r="I235" s="3">
        <v>54.28</v>
      </c>
      <c r="J235" s="3">
        <v>7.3</v>
      </c>
      <c r="K235" s="3">
        <v>10.63</v>
      </c>
      <c r="L235" s="3">
        <v>46.84</v>
      </c>
      <c r="M235" s="3">
        <v>7.53</v>
      </c>
    </row>
    <row r="236" spans="2:13" x14ac:dyDescent="0.3">
      <c r="B236" s="4">
        <v>17.579999999999998</v>
      </c>
      <c r="C236" s="4">
        <v>54.26</v>
      </c>
      <c r="D236" s="4">
        <v>5.62</v>
      </c>
      <c r="E236" s="4">
        <v>17.989999999999998</v>
      </c>
      <c r="F236" s="4">
        <v>51.1</v>
      </c>
      <c r="G236" s="4">
        <v>5.53</v>
      </c>
      <c r="H236" s="4">
        <v>11.29</v>
      </c>
      <c r="I236" s="4">
        <v>54.37</v>
      </c>
      <c r="J236" s="4">
        <v>6.99</v>
      </c>
      <c r="K236" s="4">
        <v>16.48</v>
      </c>
      <c r="L236" s="4">
        <v>61.83</v>
      </c>
      <c r="M236" s="4">
        <v>5.82</v>
      </c>
    </row>
    <row r="237" spans="2:13" x14ac:dyDescent="0.3">
      <c r="B237" s="3">
        <v>9.6199999999999992</v>
      </c>
      <c r="C237" s="3">
        <v>39.25</v>
      </c>
      <c r="D237" s="3">
        <v>8</v>
      </c>
      <c r="E237" s="3">
        <v>11.48</v>
      </c>
      <c r="F237" s="3">
        <v>46.84</v>
      </c>
      <c r="G237" s="3">
        <v>7.23</v>
      </c>
      <c r="H237" s="3">
        <v>6.19</v>
      </c>
      <c r="I237" s="3">
        <v>47.09</v>
      </c>
      <c r="J237" s="3">
        <v>9.49</v>
      </c>
      <c r="K237" s="3">
        <v>7.16</v>
      </c>
      <c r="L237" s="3">
        <v>31.8</v>
      </c>
      <c r="M237" s="3">
        <v>8.58</v>
      </c>
    </row>
    <row r="238" spans="2:13" x14ac:dyDescent="0.3">
      <c r="B238" s="4">
        <v>17.329999999999998</v>
      </c>
      <c r="C238" s="4">
        <v>46.8</v>
      </c>
      <c r="D238" s="4">
        <v>6.14</v>
      </c>
      <c r="E238" s="4">
        <v>8.59</v>
      </c>
      <c r="F238" s="4">
        <v>24.29</v>
      </c>
      <c r="G238" s="4">
        <v>8.18</v>
      </c>
      <c r="H238" s="4">
        <v>16.09</v>
      </c>
      <c r="I238" s="4">
        <v>54.21</v>
      </c>
      <c r="J238" s="4">
        <v>6.36</v>
      </c>
      <c r="K238" s="4">
        <v>9.1199999999999992</v>
      </c>
      <c r="L238" s="4">
        <v>31.73</v>
      </c>
      <c r="M238" s="4">
        <v>7.65</v>
      </c>
    </row>
    <row r="239" spans="2:13" x14ac:dyDescent="0.3">
      <c r="B239" s="3">
        <v>9.6199999999999992</v>
      </c>
      <c r="C239" s="3">
        <v>54.8</v>
      </c>
      <c r="D239" s="3">
        <v>7.95</v>
      </c>
      <c r="E239" s="3">
        <v>7.46</v>
      </c>
      <c r="F239" s="3">
        <v>51.44</v>
      </c>
      <c r="G239" s="3">
        <v>8.74</v>
      </c>
      <c r="H239" s="3">
        <v>6.31</v>
      </c>
      <c r="I239" s="3">
        <v>31.97</v>
      </c>
      <c r="J239" s="3">
        <v>9.49</v>
      </c>
      <c r="K239" s="3">
        <v>11.65</v>
      </c>
      <c r="L239" s="3">
        <v>54.28</v>
      </c>
      <c r="M239" s="3">
        <v>6.97</v>
      </c>
    </row>
    <row r="240" spans="2:13" x14ac:dyDescent="0.3">
      <c r="B240" s="4">
        <v>12.13</v>
      </c>
      <c r="C240" s="4">
        <v>58.87</v>
      </c>
      <c r="D240" s="4">
        <v>7.03</v>
      </c>
      <c r="E240" s="4">
        <v>15.7</v>
      </c>
      <c r="F240" s="4">
        <v>58.92</v>
      </c>
      <c r="G240" s="4">
        <v>5.77</v>
      </c>
      <c r="H240" s="4">
        <v>16.2</v>
      </c>
      <c r="I240" s="4">
        <v>54.34</v>
      </c>
      <c r="J240" s="4">
        <v>6.22</v>
      </c>
      <c r="K240" s="4">
        <v>12.27</v>
      </c>
      <c r="L240" s="4">
        <v>54.33</v>
      </c>
      <c r="M240" s="4">
        <v>6.82</v>
      </c>
    </row>
    <row r="241" spans="1:13" x14ac:dyDescent="0.3">
      <c r="B241" s="3">
        <v>13.52</v>
      </c>
      <c r="C241" s="3">
        <v>66.349999999999994</v>
      </c>
      <c r="D241" s="3">
        <v>6.57</v>
      </c>
      <c r="E241" s="3">
        <v>9.82</v>
      </c>
      <c r="F241" s="3">
        <v>54.56</v>
      </c>
      <c r="G241" s="3">
        <v>7.66</v>
      </c>
      <c r="H241" s="3">
        <v>9.82</v>
      </c>
      <c r="I241" s="3">
        <v>44.55</v>
      </c>
      <c r="J241" s="3">
        <v>7.74</v>
      </c>
      <c r="K241" s="3">
        <v>9.59</v>
      </c>
      <c r="L241" s="3">
        <v>39.270000000000003</v>
      </c>
      <c r="M241" s="3">
        <v>7.98</v>
      </c>
    </row>
    <row r="242" spans="1:13" x14ac:dyDescent="0.3">
      <c r="B242" s="4">
        <v>15.71</v>
      </c>
      <c r="C242" s="4">
        <v>46.85</v>
      </c>
      <c r="D242" s="4">
        <v>6.05</v>
      </c>
      <c r="E242" s="4">
        <v>16.62</v>
      </c>
      <c r="F242" s="4">
        <v>69.290000000000006</v>
      </c>
      <c r="G242" s="4">
        <v>5.79</v>
      </c>
      <c r="H242" s="4">
        <v>15.39</v>
      </c>
      <c r="I242" s="4">
        <v>54.28</v>
      </c>
      <c r="J242" s="4">
        <v>6.26</v>
      </c>
      <c r="K242" s="4">
        <v>11.67</v>
      </c>
      <c r="L242" s="4">
        <v>46.69</v>
      </c>
      <c r="M242" s="4">
        <v>7</v>
      </c>
    </row>
    <row r="243" spans="1:13" x14ac:dyDescent="0.3">
      <c r="B243" s="3">
        <v>4.5599999999999996</v>
      </c>
      <c r="C243" s="3">
        <v>13.57</v>
      </c>
      <c r="D243" s="3">
        <v>10.35</v>
      </c>
      <c r="E243" s="3">
        <v>4.96</v>
      </c>
      <c r="F243" s="3">
        <v>24.28</v>
      </c>
      <c r="G243" s="3">
        <v>10.09</v>
      </c>
      <c r="H243" s="3">
        <v>5.61</v>
      </c>
      <c r="I243" s="3">
        <v>39.450000000000003</v>
      </c>
      <c r="J243" s="3">
        <v>9.76</v>
      </c>
      <c r="K243" s="3">
        <v>2.4300000000000002</v>
      </c>
      <c r="L243" s="3">
        <v>24.57</v>
      </c>
      <c r="M243" s="3">
        <v>12.1</v>
      </c>
    </row>
    <row r="244" spans="1:13" x14ac:dyDescent="0.3">
      <c r="B244" s="4">
        <v>15.14</v>
      </c>
      <c r="C244" s="4">
        <v>54.26</v>
      </c>
      <c r="D244" s="4">
        <v>6.52</v>
      </c>
      <c r="E244" s="4">
        <v>18.47</v>
      </c>
      <c r="F244" s="4">
        <v>54.27</v>
      </c>
      <c r="G244" s="4">
        <v>5.6</v>
      </c>
      <c r="H244" s="4">
        <v>11.8</v>
      </c>
      <c r="I244" s="4">
        <v>61.88</v>
      </c>
      <c r="J244" s="4">
        <v>6.86</v>
      </c>
      <c r="K244" s="4">
        <v>14.11</v>
      </c>
      <c r="L244" s="4">
        <v>39.33</v>
      </c>
      <c r="M244" s="4">
        <v>6.48</v>
      </c>
    </row>
    <row r="246" spans="1:13" x14ac:dyDescent="0.3">
      <c r="A246" s="5" t="s">
        <v>39</v>
      </c>
      <c r="B246" s="5">
        <f>AVERAGE(B221:B244)</f>
        <v>13.018333333333331</v>
      </c>
      <c r="C246" s="5">
        <f t="shared" ref="C246:M246" si="6">AVERAGE(C221:C244)</f>
        <v>48.758333333333319</v>
      </c>
      <c r="D246" s="5">
        <f t="shared" si="6"/>
        <v>6.9033333333333333</v>
      </c>
      <c r="E246" s="5">
        <f t="shared" si="6"/>
        <v>12.699999999999998</v>
      </c>
      <c r="F246" s="5">
        <f t="shared" si="6"/>
        <v>45.990416666666668</v>
      </c>
      <c r="G246" s="5">
        <f t="shared" si="6"/>
        <v>6.9954166666666673</v>
      </c>
      <c r="H246" s="5">
        <f t="shared" si="6"/>
        <v>12.032916666666665</v>
      </c>
      <c r="I246" s="5">
        <f t="shared" si="6"/>
        <v>47.45000000000001</v>
      </c>
      <c r="J246" s="5">
        <f t="shared" si="6"/>
        <v>7.1741666666666672</v>
      </c>
      <c r="K246" s="5">
        <f t="shared" si="6"/>
        <v>11.270833333333334</v>
      </c>
      <c r="L246" s="5">
        <f t="shared" si="6"/>
        <v>44.927499999999988</v>
      </c>
      <c r="M246" s="5">
        <f t="shared" si="6"/>
        <v>7.4333333333333309</v>
      </c>
    </row>
    <row r="247" spans="1:13" x14ac:dyDescent="0.3">
      <c r="A247" s="5" t="s">
        <v>35</v>
      </c>
      <c r="B247" s="5">
        <f>AVERAGE(B246,E246,H246,K246)</f>
        <v>12.255520833333332</v>
      </c>
      <c r="C247" s="5">
        <f>AVERAGE(C246,F246,I246,L246)</f>
        <v>46.781562499999993</v>
      </c>
      <c r="D247" s="5">
        <f>AVERAGE(D246,G246,J246,M246)</f>
        <v>7.1265624999999995</v>
      </c>
    </row>
    <row r="249" spans="1:13" x14ac:dyDescent="0.3">
      <c r="B249" s="38" t="s">
        <v>8</v>
      </c>
      <c r="C249" s="38"/>
      <c r="D249" s="38"/>
      <c r="E249" s="38"/>
    </row>
    <row r="251" spans="1:13" x14ac:dyDescent="0.3">
      <c r="B251" s="39" t="s">
        <v>17</v>
      </c>
      <c r="C251" s="39"/>
      <c r="D251" s="39"/>
      <c r="E251" s="40" t="s">
        <v>18</v>
      </c>
      <c r="F251" s="40"/>
      <c r="G251" s="40"/>
      <c r="H251" s="41" t="s">
        <v>19</v>
      </c>
      <c r="I251" s="41"/>
      <c r="J251" s="41"/>
      <c r="K251" s="42" t="s">
        <v>20</v>
      </c>
      <c r="L251" s="42"/>
      <c r="M251" s="42"/>
    </row>
    <row r="252" spans="1:13" x14ac:dyDescent="0.3">
      <c r="B252" s="1" t="s">
        <v>21</v>
      </c>
      <c r="C252" s="1" t="s">
        <v>22</v>
      </c>
      <c r="D252" s="1" t="s">
        <v>23</v>
      </c>
      <c r="E252" s="1" t="s">
        <v>21</v>
      </c>
      <c r="F252" s="1" t="s">
        <v>22</v>
      </c>
      <c r="G252" s="1" t="s">
        <v>23</v>
      </c>
      <c r="H252" s="1" t="s">
        <v>21</v>
      </c>
      <c r="I252" s="1" t="s">
        <v>22</v>
      </c>
      <c r="J252" s="1" t="s">
        <v>23</v>
      </c>
      <c r="K252" s="1" t="s">
        <v>21</v>
      </c>
      <c r="L252" s="1" t="s">
        <v>22</v>
      </c>
      <c r="M252" s="1" t="s">
        <v>23</v>
      </c>
    </row>
    <row r="253" spans="1:13" x14ac:dyDescent="0.3">
      <c r="A253" t="s">
        <v>27</v>
      </c>
      <c r="B253" s="3">
        <v>35.299999999999997</v>
      </c>
      <c r="C253" s="3">
        <v>117.48</v>
      </c>
      <c r="D253" s="3">
        <v>4.57</v>
      </c>
      <c r="E253" s="3">
        <v>36.75</v>
      </c>
      <c r="F253" s="3">
        <v>109.82</v>
      </c>
      <c r="G253" s="3">
        <v>4.34</v>
      </c>
      <c r="H253" s="3">
        <v>36.24</v>
      </c>
      <c r="I253" s="3">
        <v>125.06</v>
      </c>
      <c r="J253" s="3">
        <v>4.46</v>
      </c>
      <c r="K253" s="3">
        <v>33.659999999999997</v>
      </c>
      <c r="L253" s="3">
        <v>124.83</v>
      </c>
      <c r="M253" s="3">
        <v>4.28</v>
      </c>
    </row>
    <row r="254" spans="1:13" x14ac:dyDescent="0.3">
      <c r="B254" s="4">
        <v>20.309999999999999</v>
      </c>
      <c r="C254" s="4">
        <v>87.41</v>
      </c>
      <c r="D254" s="4">
        <v>5.78</v>
      </c>
      <c r="E254" s="4">
        <v>21.92</v>
      </c>
      <c r="F254" s="4">
        <v>102.32</v>
      </c>
      <c r="G254" s="4">
        <v>5.87</v>
      </c>
      <c r="H254" s="4">
        <v>14.24</v>
      </c>
      <c r="I254" s="4">
        <v>79.97</v>
      </c>
      <c r="J254" s="4">
        <v>7.17</v>
      </c>
      <c r="K254" s="4">
        <v>19.16</v>
      </c>
      <c r="L254" s="4">
        <v>94.87</v>
      </c>
      <c r="M254" s="4">
        <v>6.03</v>
      </c>
    </row>
    <row r="255" spans="1:13" x14ac:dyDescent="0.3">
      <c r="B255" s="3">
        <v>17.57</v>
      </c>
      <c r="C255" s="3">
        <v>50.11</v>
      </c>
      <c r="D255" s="3">
        <v>6.78</v>
      </c>
      <c r="E255" s="3">
        <v>14.21</v>
      </c>
      <c r="F255" s="3">
        <v>40.85</v>
      </c>
      <c r="G255" s="3">
        <v>7.41</v>
      </c>
      <c r="H255" s="3">
        <v>12.34</v>
      </c>
      <c r="I255" s="3">
        <v>42.29</v>
      </c>
      <c r="J255" s="3">
        <v>8.09</v>
      </c>
      <c r="K255" s="3">
        <v>13.98</v>
      </c>
      <c r="L255" s="3">
        <v>42.35</v>
      </c>
      <c r="M255" s="3">
        <v>7.45</v>
      </c>
    </row>
    <row r="256" spans="1:13" x14ac:dyDescent="0.3">
      <c r="B256" s="4">
        <v>5.84</v>
      </c>
      <c r="C256" s="4">
        <v>27.49</v>
      </c>
      <c r="D256" s="4">
        <v>10.24</v>
      </c>
      <c r="E256" s="4">
        <v>3.58</v>
      </c>
      <c r="F256" s="4">
        <v>4.62</v>
      </c>
      <c r="G256" s="4">
        <v>11.69</v>
      </c>
      <c r="H256" s="4">
        <v>2.9</v>
      </c>
      <c r="I256" s="4">
        <v>5</v>
      </c>
      <c r="J256" s="4">
        <v>12.42</v>
      </c>
      <c r="K256" s="4">
        <v>4.76</v>
      </c>
      <c r="L256" s="4">
        <v>19.89</v>
      </c>
      <c r="M256" s="4">
        <v>11.14</v>
      </c>
    </row>
    <row r="257" spans="2:13" x14ac:dyDescent="0.3">
      <c r="B257" s="3">
        <v>10.28</v>
      </c>
      <c r="C257" s="3">
        <v>49.87</v>
      </c>
      <c r="D257" s="3">
        <v>8.83</v>
      </c>
      <c r="E257" s="3">
        <v>11.91</v>
      </c>
      <c r="F257" s="3">
        <v>72.56</v>
      </c>
      <c r="G257" s="3">
        <v>8</v>
      </c>
      <c r="H257" s="3">
        <v>12.08</v>
      </c>
      <c r="I257" s="3">
        <v>72.34</v>
      </c>
      <c r="J257" s="3">
        <v>8.17</v>
      </c>
      <c r="K257" s="3">
        <v>14.69</v>
      </c>
      <c r="L257" s="3">
        <v>80</v>
      </c>
      <c r="M257" s="3">
        <v>7.83</v>
      </c>
    </row>
    <row r="258" spans="2:13" x14ac:dyDescent="0.3">
      <c r="B258" s="4">
        <v>22.99</v>
      </c>
      <c r="C258" s="4">
        <v>117.55</v>
      </c>
      <c r="D258" s="4">
        <v>5.64</v>
      </c>
      <c r="E258" s="4">
        <v>27.06</v>
      </c>
      <c r="F258" s="4">
        <v>132.44999999999999</v>
      </c>
      <c r="G258" s="4">
        <v>5.55</v>
      </c>
      <c r="H258" s="4">
        <v>23.31</v>
      </c>
      <c r="I258" s="4">
        <v>109.82</v>
      </c>
      <c r="J258" s="4">
        <v>5.79</v>
      </c>
      <c r="K258" s="4">
        <v>23.19</v>
      </c>
      <c r="L258" s="4">
        <v>117.95</v>
      </c>
      <c r="M258" s="4">
        <v>5.76</v>
      </c>
    </row>
    <row r="259" spans="2:13" x14ac:dyDescent="0.3">
      <c r="B259" s="3">
        <v>33.71</v>
      </c>
      <c r="C259" s="3">
        <v>109.85</v>
      </c>
      <c r="D259" s="3">
        <v>4.01</v>
      </c>
      <c r="E259" s="3">
        <v>32.42</v>
      </c>
      <c r="F259" s="3">
        <v>117.37</v>
      </c>
      <c r="G259" s="3">
        <v>4.07</v>
      </c>
      <c r="H259" s="3">
        <v>32.04</v>
      </c>
      <c r="I259" s="3">
        <v>110.03</v>
      </c>
      <c r="J259" s="3">
        <v>4.22</v>
      </c>
      <c r="K259" s="3">
        <v>33.840000000000003</v>
      </c>
      <c r="L259" s="3">
        <v>124.83</v>
      </c>
      <c r="M259" s="3">
        <v>3.98</v>
      </c>
    </row>
    <row r="260" spans="2:13" x14ac:dyDescent="0.3">
      <c r="B260" s="4">
        <v>9.9</v>
      </c>
      <c r="C260" s="4">
        <v>34.979999999999997</v>
      </c>
      <c r="D260" s="4">
        <v>9.2100000000000009</v>
      </c>
      <c r="E260" s="4">
        <v>15.43</v>
      </c>
      <c r="F260" s="4">
        <v>65.08</v>
      </c>
      <c r="G260" s="4">
        <v>7.42</v>
      </c>
      <c r="H260" s="4">
        <v>22.08</v>
      </c>
      <c r="I260" s="4">
        <v>95.1</v>
      </c>
      <c r="J260" s="4">
        <v>6.41</v>
      </c>
      <c r="K260" s="4">
        <v>12.95</v>
      </c>
      <c r="L260" s="4">
        <v>42.36</v>
      </c>
      <c r="M260" s="4">
        <v>7.96</v>
      </c>
    </row>
    <row r="261" spans="2:13" x14ac:dyDescent="0.3">
      <c r="B261" s="3">
        <v>6.89</v>
      </c>
      <c r="C261" s="3">
        <v>32.85</v>
      </c>
      <c r="D261" s="3">
        <v>9.89</v>
      </c>
      <c r="E261" s="3">
        <v>7.97</v>
      </c>
      <c r="F261" s="3">
        <v>40.840000000000003</v>
      </c>
      <c r="G261" s="3">
        <v>9.68</v>
      </c>
      <c r="H261" s="3">
        <v>7.74</v>
      </c>
      <c r="I261" s="3">
        <v>34.450000000000003</v>
      </c>
      <c r="J261" s="3">
        <v>9.61</v>
      </c>
      <c r="K261" s="3">
        <v>5.16</v>
      </c>
      <c r="L261" s="3">
        <v>12.12</v>
      </c>
      <c r="M261" s="3">
        <v>11.13</v>
      </c>
    </row>
    <row r="262" spans="2:13" x14ac:dyDescent="0.3">
      <c r="B262" s="4">
        <v>6.69</v>
      </c>
      <c r="C262" s="4">
        <v>57.55</v>
      </c>
      <c r="D262" s="4">
        <v>10.01</v>
      </c>
      <c r="E262" s="4">
        <v>8.3000000000000007</v>
      </c>
      <c r="F262" s="4">
        <v>66.28</v>
      </c>
      <c r="G262" s="4">
        <v>9.33</v>
      </c>
      <c r="H262" s="4">
        <v>6.19</v>
      </c>
      <c r="I262" s="4">
        <v>57.52</v>
      </c>
      <c r="J262" s="4">
        <v>10</v>
      </c>
      <c r="K262" s="4">
        <v>7.3</v>
      </c>
      <c r="L262" s="4">
        <v>57.68</v>
      </c>
      <c r="M262" s="4">
        <v>9.83</v>
      </c>
    </row>
    <row r="263" spans="2:13" x14ac:dyDescent="0.3">
      <c r="B263" s="3">
        <v>25.42</v>
      </c>
      <c r="C263" s="3">
        <v>94.64</v>
      </c>
      <c r="D263" s="3">
        <v>5.51</v>
      </c>
      <c r="E263" s="3">
        <v>25.24</v>
      </c>
      <c r="F263" s="3">
        <v>109.99</v>
      </c>
      <c r="G263" s="3">
        <v>5.47</v>
      </c>
      <c r="H263" s="3">
        <v>23.85</v>
      </c>
      <c r="I263" s="3">
        <v>94.78</v>
      </c>
      <c r="J263" s="3">
        <v>5.71</v>
      </c>
      <c r="K263" s="3">
        <v>23.34</v>
      </c>
      <c r="L263" s="3">
        <v>102.43</v>
      </c>
      <c r="M263" s="3">
        <v>5.7</v>
      </c>
    </row>
    <row r="264" spans="2:13" x14ac:dyDescent="0.3">
      <c r="B264" s="4">
        <v>33.79</v>
      </c>
      <c r="C264" s="4">
        <v>124.83</v>
      </c>
      <c r="D264" s="4">
        <v>4.6900000000000004</v>
      </c>
      <c r="E264" s="4">
        <v>30.62</v>
      </c>
      <c r="F264" s="4">
        <v>94.87</v>
      </c>
      <c r="G264" s="4">
        <v>4.92</v>
      </c>
      <c r="H264" s="4">
        <v>30.81</v>
      </c>
      <c r="I264" s="4">
        <v>109.8</v>
      </c>
      <c r="J264" s="4">
        <v>4.87</v>
      </c>
      <c r="K264" s="4">
        <v>30.72</v>
      </c>
      <c r="L264" s="4">
        <v>117.58</v>
      </c>
      <c r="M264" s="4">
        <v>4.9400000000000004</v>
      </c>
    </row>
    <row r="265" spans="2:13" x14ac:dyDescent="0.3">
      <c r="B265" s="3">
        <v>29.62</v>
      </c>
      <c r="C265" s="3">
        <v>189.46</v>
      </c>
      <c r="D265" s="3">
        <v>4.8099999999999996</v>
      </c>
      <c r="E265" s="3">
        <v>31.86</v>
      </c>
      <c r="F265" s="3">
        <v>158.94999999999999</v>
      </c>
      <c r="G265" s="3">
        <v>4.4800000000000004</v>
      </c>
      <c r="H265" s="3">
        <v>31.5</v>
      </c>
      <c r="I265" s="3">
        <v>175.74</v>
      </c>
      <c r="J265" s="3">
        <v>4.2300000000000004</v>
      </c>
      <c r="K265" s="3">
        <v>28.83</v>
      </c>
      <c r="L265" s="3">
        <v>123.41</v>
      </c>
      <c r="M265" s="3">
        <v>4.5599999999999996</v>
      </c>
    </row>
    <row r="266" spans="2:13" x14ac:dyDescent="0.3">
      <c r="B266" s="4">
        <v>19.47</v>
      </c>
      <c r="C266" s="4">
        <v>87.41</v>
      </c>
      <c r="D266" s="4">
        <v>6.13</v>
      </c>
      <c r="E266" s="4">
        <v>20.75</v>
      </c>
      <c r="F266" s="4">
        <v>94.94</v>
      </c>
      <c r="G266" s="4">
        <v>5.87</v>
      </c>
      <c r="H266" s="4">
        <v>12.93</v>
      </c>
      <c r="I266" s="4">
        <v>72.319999999999993</v>
      </c>
      <c r="J266" s="4">
        <v>7.12</v>
      </c>
      <c r="K266" s="4">
        <v>16.899999999999999</v>
      </c>
      <c r="L266" s="4">
        <v>93.36</v>
      </c>
      <c r="M266" s="4">
        <v>6.31</v>
      </c>
    </row>
    <row r="267" spans="2:13" x14ac:dyDescent="0.3">
      <c r="B267" s="3">
        <v>18.2</v>
      </c>
      <c r="C267" s="3">
        <v>64.150000000000006</v>
      </c>
      <c r="D267" s="3">
        <v>5.97</v>
      </c>
      <c r="E267" s="3">
        <v>13.8</v>
      </c>
      <c r="F267" s="3">
        <v>158.94999999999999</v>
      </c>
      <c r="G267" s="3">
        <v>7.32</v>
      </c>
      <c r="H267" s="3">
        <v>12.54</v>
      </c>
      <c r="I267" s="3">
        <v>158.94999999999999</v>
      </c>
      <c r="J267" s="3">
        <v>7.41</v>
      </c>
      <c r="K267" s="3">
        <v>14.74</v>
      </c>
      <c r="L267" s="3">
        <v>49.89</v>
      </c>
      <c r="M267" s="3">
        <v>6.83</v>
      </c>
    </row>
    <row r="268" spans="2:13" x14ac:dyDescent="0.3">
      <c r="B268" s="4">
        <v>6.48</v>
      </c>
      <c r="C268" s="4">
        <v>37.56</v>
      </c>
      <c r="D268" s="4">
        <v>9.4</v>
      </c>
      <c r="E268" s="4">
        <v>3.36</v>
      </c>
      <c r="F268" s="4">
        <v>47.63</v>
      </c>
      <c r="G268" s="4">
        <v>11.03</v>
      </c>
      <c r="H268" s="4">
        <v>4.6900000000000004</v>
      </c>
      <c r="I268" s="4">
        <v>48.64</v>
      </c>
      <c r="J268" s="4">
        <v>10.46</v>
      </c>
      <c r="K268" s="4">
        <v>5.28</v>
      </c>
      <c r="L268" s="4">
        <v>62.5</v>
      </c>
      <c r="M268" s="4">
        <v>9.93</v>
      </c>
    </row>
    <row r="269" spans="2:13" x14ac:dyDescent="0.3">
      <c r="B269" s="3">
        <v>10.199999999999999</v>
      </c>
      <c r="C269" s="3">
        <v>158.94999999999999</v>
      </c>
      <c r="D269" s="3">
        <v>8.27</v>
      </c>
      <c r="E269" s="3">
        <v>11.59</v>
      </c>
      <c r="F269" s="3">
        <v>72.459999999999994</v>
      </c>
      <c r="G269" s="3">
        <v>7.99</v>
      </c>
      <c r="H269" s="3">
        <v>10.93</v>
      </c>
      <c r="I269" s="3">
        <v>158.94999999999999</v>
      </c>
      <c r="J269" s="3">
        <v>8.27</v>
      </c>
      <c r="K269" s="3">
        <v>12.12</v>
      </c>
      <c r="L269" s="3">
        <v>158.94999999999999</v>
      </c>
      <c r="M269" s="3">
        <v>7.93</v>
      </c>
    </row>
    <row r="270" spans="2:13" x14ac:dyDescent="0.3">
      <c r="B270" s="4">
        <v>20.09</v>
      </c>
      <c r="C270" s="4">
        <v>158.94999999999999</v>
      </c>
      <c r="D270" s="4">
        <v>5.63</v>
      </c>
      <c r="E270" s="4">
        <v>25.43</v>
      </c>
      <c r="F270" s="4">
        <v>158.94999999999999</v>
      </c>
      <c r="G270" s="4">
        <v>5.3</v>
      </c>
      <c r="H270" s="4">
        <v>19.309999999999999</v>
      </c>
      <c r="I270" s="4">
        <v>158.94999999999999</v>
      </c>
      <c r="J270" s="4">
        <v>5.45</v>
      </c>
      <c r="K270" s="4">
        <v>22.48</v>
      </c>
      <c r="L270" s="4">
        <v>158.96</v>
      </c>
      <c r="M270" s="4">
        <v>5.41</v>
      </c>
    </row>
    <row r="271" spans="2:13" x14ac:dyDescent="0.3">
      <c r="B271" s="3">
        <v>30.52</v>
      </c>
      <c r="C271" s="3">
        <v>158.94999999999999</v>
      </c>
      <c r="D271" s="3">
        <v>4.07</v>
      </c>
      <c r="E271" s="3">
        <v>30.99</v>
      </c>
      <c r="F271" s="3">
        <v>158.94999999999999</v>
      </c>
      <c r="G271" s="3">
        <v>4.3</v>
      </c>
      <c r="H271" s="3">
        <v>29.51</v>
      </c>
      <c r="I271" s="3">
        <v>158.94999999999999</v>
      </c>
      <c r="J271" s="3">
        <v>4.3899999999999997</v>
      </c>
      <c r="K271" s="3">
        <v>29.38</v>
      </c>
      <c r="L271" s="3">
        <v>158.94999999999999</v>
      </c>
      <c r="M271" s="3">
        <v>4.17</v>
      </c>
    </row>
    <row r="272" spans="2:13" x14ac:dyDescent="0.3">
      <c r="B272" s="4">
        <v>9.4</v>
      </c>
      <c r="C272" s="4">
        <v>158.94999999999999</v>
      </c>
      <c r="D272" s="4">
        <v>9.08</v>
      </c>
      <c r="E272" s="4">
        <v>14.26</v>
      </c>
      <c r="F272" s="4">
        <v>62.99</v>
      </c>
      <c r="G272" s="4">
        <v>7.51</v>
      </c>
      <c r="H272" s="4">
        <v>20.71</v>
      </c>
      <c r="I272" s="4">
        <v>100.43</v>
      </c>
      <c r="J272" s="4">
        <v>6.26</v>
      </c>
      <c r="K272" s="4">
        <v>10.08</v>
      </c>
      <c r="L272" s="4">
        <v>40.33</v>
      </c>
      <c r="M272" s="4">
        <v>8.49</v>
      </c>
    </row>
    <row r="273" spans="1:13" x14ac:dyDescent="0.3">
      <c r="B273" s="3">
        <v>7.39</v>
      </c>
      <c r="C273" s="3">
        <v>26.44</v>
      </c>
      <c r="D273" s="3">
        <v>9.26</v>
      </c>
      <c r="E273" s="3">
        <v>7.47</v>
      </c>
      <c r="F273" s="3">
        <v>55.13</v>
      </c>
      <c r="G273" s="3">
        <v>9.2200000000000006</v>
      </c>
      <c r="H273" s="3">
        <v>5.81</v>
      </c>
      <c r="I273" s="3">
        <v>42.24</v>
      </c>
      <c r="J273" s="3">
        <v>9.7899999999999991</v>
      </c>
      <c r="K273" s="3">
        <v>7.19</v>
      </c>
      <c r="L273" s="3">
        <v>35.93</v>
      </c>
      <c r="M273" s="3">
        <v>9.4700000000000006</v>
      </c>
    </row>
    <row r="274" spans="1:13" x14ac:dyDescent="0.3">
      <c r="B274" s="4">
        <v>7.51</v>
      </c>
      <c r="C274" s="4">
        <v>58.66</v>
      </c>
      <c r="D274" s="4">
        <v>9.2899999999999991</v>
      </c>
      <c r="E274" s="4">
        <v>7.83</v>
      </c>
      <c r="F274" s="4">
        <v>73.540000000000006</v>
      </c>
      <c r="G274" s="4">
        <v>9</v>
      </c>
      <c r="H274" s="4">
        <v>6.17</v>
      </c>
      <c r="I274" s="4">
        <v>122.68</v>
      </c>
      <c r="J274" s="4">
        <v>9.41</v>
      </c>
      <c r="K274" s="4">
        <v>6.31</v>
      </c>
      <c r="L274" s="4">
        <v>57.61</v>
      </c>
      <c r="M274" s="4">
        <v>9.84</v>
      </c>
    </row>
    <row r="275" spans="1:13" x14ac:dyDescent="0.3">
      <c r="B275" s="3">
        <v>24.7</v>
      </c>
      <c r="C275" s="3">
        <v>208.1</v>
      </c>
      <c r="D275" s="3">
        <v>5.26</v>
      </c>
      <c r="E275" s="3">
        <v>23.76</v>
      </c>
      <c r="F275" s="3">
        <v>158.94999999999999</v>
      </c>
      <c r="G275" s="3">
        <v>5.26</v>
      </c>
      <c r="H275" s="3">
        <v>22.6</v>
      </c>
      <c r="I275" s="3">
        <v>158.94999999999999</v>
      </c>
      <c r="J275" s="3">
        <v>5.5</v>
      </c>
      <c r="K275" s="3">
        <v>22.36</v>
      </c>
      <c r="L275" s="3">
        <v>158.94999999999999</v>
      </c>
      <c r="M275" s="3">
        <v>5.54</v>
      </c>
    </row>
    <row r="276" spans="1:13" x14ac:dyDescent="0.3">
      <c r="B276" s="4">
        <v>29.57</v>
      </c>
      <c r="C276" s="4">
        <v>123.42</v>
      </c>
      <c r="D276" s="4">
        <v>4.74</v>
      </c>
      <c r="E276" s="4">
        <v>28.71</v>
      </c>
      <c r="F276" s="4">
        <v>158.94999999999999</v>
      </c>
      <c r="G276" s="4">
        <v>5.13</v>
      </c>
      <c r="H276" s="4">
        <v>27.7</v>
      </c>
      <c r="I276" s="4">
        <v>158.94999999999999</v>
      </c>
      <c r="J276" s="4">
        <v>4.97</v>
      </c>
      <c r="K276" s="4">
        <v>29.92</v>
      </c>
      <c r="L276" s="4">
        <v>123.37</v>
      </c>
      <c r="M276" s="4">
        <v>4.59</v>
      </c>
    </row>
    <row r="278" spans="1:13" x14ac:dyDescent="0.3">
      <c r="A278" s="5" t="s">
        <v>39</v>
      </c>
      <c r="B278" s="5">
        <f>AVERAGE(B253:B276)</f>
        <v>18.409999999999993</v>
      </c>
      <c r="C278" s="5">
        <f t="shared" ref="C278:M278" si="7">AVERAGE(C253:C276)</f>
        <v>97.317083333333358</v>
      </c>
      <c r="D278" s="5">
        <f t="shared" si="7"/>
        <v>6.9612499999999997</v>
      </c>
      <c r="E278" s="5">
        <f t="shared" si="7"/>
        <v>18.967500000000001</v>
      </c>
      <c r="F278" s="5">
        <f t="shared" si="7"/>
        <v>96.56</v>
      </c>
      <c r="G278" s="5">
        <f t="shared" si="7"/>
        <v>6.9233333333333329</v>
      </c>
      <c r="H278" s="5">
        <f t="shared" si="7"/>
        <v>17.842500000000001</v>
      </c>
      <c r="I278" s="5">
        <f t="shared" si="7"/>
        <v>102.16291666666666</v>
      </c>
      <c r="J278" s="5">
        <f t="shared" si="7"/>
        <v>7.0908333333333324</v>
      </c>
      <c r="K278" s="5">
        <f t="shared" si="7"/>
        <v>17.8475</v>
      </c>
      <c r="L278" s="5">
        <f t="shared" si="7"/>
        <v>89.962499999999991</v>
      </c>
      <c r="M278" s="5">
        <f t="shared" si="7"/>
        <v>7.0458333333333334</v>
      </c>
    </row>
    <row r="279" spans="1:13" x14ac:dyDescent="0.3">
      <c r="A279" s="5" t="s">
        <v>35</v>
      </c>
      <c r="B279" s="5">
        <f>AVERAGE(B278,E278,H278,K278)</f>
        <v>18.266874999999999</v>
      </c>
      <c r="C279" s="5">
        <f>AVERAGE(C278,F278,I278,L278)</f>
        <v>96.500624999999999</v>
      </c>
      <c r="D279" s="5">
        <f>AVERAGE(D278,G278,J278,M278)</f>
        <v>7.0053124999999996</v>
      </c>
    </row>
    <row r="281" spans="1:13" x14ac:dyDescent="0.3">
      <c r="A281" t="s">
        <v>28</v>
      </c>
      <c r="B281" s="3">
        <v>38.74</v>
      </c>
      <c r="C281" s="3">
        <v>124.92</v>
      </c>
      <c r="D281" s="3">
        <v>4.2</v>
      </c>
      <c r="E281" s="3">
        <v>39.72</v>
      </c>
      <c r="F281" s="3">
        <v>124.89</v>
      </c>
      <c r="G281" s="3">
        <v>4.16</v>
      </c>
      <c r="H281" s="3">
        <v>37.57</v>
      </c>
      <c r="I281" s="3">
        <v>132.46</v>
      </c>
      <c r="J281" s="3">
        <v>4.16</v>
      </c>
      <c r="K281" s="3">
        <v>38.200000000000003</v>
      </c>
      <c r="L281" s="3">
        <v>124.98</v>
      </c>
      <c r="M281" s="3">
        <v>4.29</v>
      </c>
    </row>
    <row r="282" spans="1:13" x14ac:dyDescent="0.3">
      <c r="B282" s="4">
        <v>18.72</v>
      </c>
      <c r="C282" s="4">
        <v>86.62</v>
      </c>
      <c r="D282" s="4">
        <v>6.5</v>
      </c>
      <c r="E282" s="4">
        <v>17.940000000000001</v>
      </c>
      <c r="F282" s="4">
        <v>72.38</v>
      </c>
      <c r="G282" s="4">
        <v>6.4</v>
      </c>
      <c r="H282" s="4">
        <v>18.86</v>
      </c>
      <c r="I282" s="4">
        <v>79.88</v>
      </c>
      <c r="J282" s="4">
        <v>6.47</v>
      </c>
      <c r="K282" s="4">
        <v>21.64</v>
      </c>
      <c r="L282" s="4">
        <v>87.4</v>
      </c>
      <c r="M282" s="4">
        <v>6.15</v>
      </c>
    </row>
    <row r="283" spans="1:13" x14ac:dyDescent="0.3">
      <c r="B283" s="3">
        <v>12.23</v>
      </c>
      <c r="C283" s="3">
        <v>27.33</v>
      </c>
      <c r="D283" s="3">
        <v>8.19</v>
      </c>
      <c r="E283" s="3">
        <v>12.96</v>
      </c>
      <c r="F283" s="3">
        <v>34.840000000000003</v>
      </c>
      <c r="G283" s="3">
        <v>7.91</v>
      </c>
      <c r="H283" s="3">
        <v>12.27</v>
      </c>
      <c r="I283" s="3">
        <v>27.35</v>
      </c>
      <c r="J283" s="3">
        <v>7.99</v>
      </c>
      <c r="K283" s="3">
        <v>15.29</v>
      </c>
      <c r="L283" s="3">
        <v>42.47</v>
      </c>
      <c r="M283" s="3">
        <v>7.09</v>
      </c>
    </row>
    <row r="284" spans="1:13" x14ac:dyDescent="0.3">
      <c r="B284" s="4">
        <v>3.78</v>
      </c>
      <c r="C284" s="4">
        <v>20.010000000000002</v>
      </c>
      <c r="D284" s="4">
        <v>11.86</v>
      </c>
      <c r="E284" s="4">
        <v>5.41</v>
      </c>
      <c r="F284" s="4">
        <v>12.34</v>
      </c>
      <c r="G284" s="4">
        <v>11.01</v>
      </c>
      <c r="H284" s="4">
        <v>4.66</v>
      </c>
      <c r="I284" s="4">
        <v>12.37</v>
      </c>
      <c r="J284" s="4">
        <v>10.91</v>
      </c>
      <c r="K284" s="4">
        <v>3.62</v>
      </c>
      <c r="L284" s="4">
        <v>19.82</v>
      </c>
      <c r="M284" s="4">
        <v>11.77</v>
      </c>
    </row>
    <row r="285" spans="1:13" x14ac:dyDescent="0.3">
      <c r="B285" s="3">
        <v>17.260000000000002</v>
      </c>
      <c r="C285" s="3">
        <v>87.32</v>
      </c>
      <c r="D285" s="3">
        <v>7.34</v>
      </c>
      <c r="E285" s="3">
        <v>15.97</v>
      </c>
      <c r="F285" s="3">
        <v>87.35</v>
      </c>
      <c r="G285" s="3">
        <v>7.52</v>
      </c>
      <c r="H285" s="3">
        <v>16.100000000000001</v>
      </c>
      <c r="I285" s="3">
        <v>87.27</v>
      </c>
      <c r="J285" s="3">
        <v>7.38</v>
      </c>
      <c r="K285" s="3">
        <v>14.16</v>
      </c>
      <c r="L285" s="3">
        <v>87.39</v>
      </c>
      <c r="M285" s="3">
        <v>7.55</v>
      </c>
    </row>
    <row r="286" spans="1:13" x14ac:dyDescent="0.3">
      <c r="B286" s="4">
        <v>23.62</v>
      </c>
      <c r="C286" s="4">
        <v>117.4</v>
      </c>
      <c r="D286" s="4">
        <v>5.4</v>
      </c>
      <c r="E286" s="4">
        <v>26.04</v>
      </c>
      <c r="F286" s="4">
        <v>109.81</v>
      </c>
      <c r="G286" s="4">
        <v>5.38</v>
      </c>
      <c r="H286" s="4">
        <v>23.76</v>
      </c>
      <c r="I286" s="4">
        <v>94.92</v>
      </c>
      <c r="J286" s="4">
        <v>5.53</v>
      </c>
      <c r="K286" s="4">
        <v>25.09</v>
      </c>
      <c r="L286" s="4">
        <v>109.81</v>
      </c>
      <c r="M286" s="4">
        <v>5.47</v>
      </c>
    </row>
    <row r="287" spans="1:13" x14ac:dyDescent="0.3">
      <c r="B287" s="3">
        <v>32.97</v>
      </c>
      <c r="C287" s="3">
        <v>117.31</v>
      </c>
      <c r="D287" s="3">
        <v>3.97</v>
      </c>
      <c r="E287" s="3">
        <v>28.86</v>
      </c>
      <c r="F287" s="3">
        <v>109.85</v>
      </c>
      <c r="G287" s="3">
        <v>4.3499999999999996</v>
      </c>
      <c r="H287" s="3">
        <v>31.3</v>
      </c>
      <c r="I287" s="3">
        <v>109.8</v>
      </c>
      <c r="J287" s="3">
        <v>4.25</v>
      </c>
      <c r="K287" s="3">
        <v>30.87</v>
      </c>
      <c r="L287" s="3">
        <v>117.39</v>
      </c>
      <c r="M287" s="3">
        <v>4.3499999999999996</v>
      </c>
    </row>
    <row r="288" spans="1:13" x14ac:dyDescent="0.3">
      <c r="B288" s="4">
        <v>20.350000000000001</v>
      </c>
      <c r="C288" s="4">
        <v>79.91</v>
      </c>
      <c r="D288" s="4">
        <v>6.81</v>
      </c>
      <c r="E288" s="4">
        <v>14.88</v>
      </c>
      <c r="F288" s="4">
        <v>49.79</v>
      </c>
      <c r="G288" s="4">
        <v>7.92</v>
      </c>
      <c r="H288" s="4">
        <v>17.920000000000002</v>
      </c>
      <c r="I288" s="4">
        <v>79.91</v>
      </c>
      <c r="J288" s="4">
        <v>7.09</v>
      </c>
      <c r="K288" s="4">
        <v>19.43</v>
      </c>
      <c r="L288" s="4">
        <v>72.290000000000006</v>
      </c>
      <c r="M288" s="4">
        <v>6.73</v>
      </c>
    </row>
    <row r="289" spans="2:13" x14ac:dyDescent="0.3">
      <c r="B289" s="3">
        <v>6.74</v>
      </c>
      <c r="C289" s="3">
        <v>15.42</v>
      </c>
      <c r="D289" s="3">
        <v>10.3</v>
      </c>
      <c r="E289" s="3">
        <v>7.58</v>
      </c>
      <c r="F289" s="3">
        <v>27.12</v>
      </c>
      <c r="G289" s="3">
        <v>9.91</v>
      </c>
      <c r="H289" s="3">
        <v>6.75</v>
      </c>
      <c r="I289" s="3">
        <v>13.53</v>
      </c>
      <c r="J289" s="3">
        <v>10.38</v>
      </c>
      <c r="K289" s="3">
        <v>6.27</v>
      </c>
      <c r="L289" s="3">
        <v>27.12</v>
      </c>
      <c r="M289" s="3">
        <v>10.38</v>
      </c>
    </row>
    <row r="290" spans="2:13" x14ac:dyDescent="0.3">
      <c r="B290" s="4">
        <v>8.7200000000000006</v>
      </c>
      <c r="C290" s="4">
        <v>81.63</v>
      </c>
      <c r="D290" s="4">
        <v>9.32</v>
      </c>
      <c r="E290" s="4">
        <v>9.89</v>
      </c>
      <c r="F290" s="4">
        <v>80.19</v>
      </c>
      <c r="G290" s="4">
        <v>8.61</v>
      </c>
      <c r="H290" s="4">
        <v>9.02</v>
      </c>
      <c r="I290" s="4">
        <v>87.72</v>
      </c>
      <c r="J290" s="4">
        <v>9.24</v>
      </c>
      <c r="K290" s="4">
        <v>8.34</v>
      </c>
      <c r="L290" s="4">
        <v>80.5</v>
      </c>
      <c r="M290" s="4">
        <v>9.15</v>
      </c>
    </row>
    <row r="291" spans="2:13" x14ac:dyDescent="0.3">
      <c r="B291" s="3">
        <v>26.08</v>
      </c>
      <c r="C291" s="3">
        <v>102.33</v>
      </c>
      <c r="D291" s="3">
        <v>5.25</v>
      </c>
      <c r="E291" s="3">
        <v>28.73</v>
      </c>
      <c r="F291" s="3">
        <v>119.08</v>
      </c>
      <c r="G291" s="3">
        <v>5.09</v>
      </c>
      <c r="H291" s="3">
        <v>25.74</v>
      </c>
      <c r="I291" s="3">
        <v>140.4</v>
      </c>
      <c r="J291" s="3">
        <v>5.04</v>
      </c>
      <c r="K291" s="3">
        <v>28.36</v>
      </c>
      <c r="L291" s="3">
        <v>94.78</v>
      </c>
      <c r="M291" s="3">
        <v>5.0599999999999996</v>
      </c>
    </row>
    <row r="292" spans="2:13" x14ac:dyDescent="0.3">
      <c r="B292" s="4">
        <v>36.42</v>
      </c>
      <c r="C292" s="4">
        <v>102.38</v>
      </c>
      <c r="D292" s="4">
        <v>4.53</v>
      </c>
      <c r="E292" s="4">
        <v>32.799999999999997</v>
      </c>
      <c r="F292" s="4">
        <v>124.96</v>
      </c>
      <c r="G292" s="4">
        <v>4.59</v>
      </c>
      <c r="H292" s="4">
        <v>31.36</v>
      </c>
      <c r="I292" s="4">
        <v>102.37</v>
      </c>
      <c r="J292" s="4">
        <v>4.82</v>
      </c>
      <c r="K292" s="4">
        <v>30.55</v>
      </c>
      <c r="L292" s="4">
        <v>132.35</v>
      </c>
      <c r="M292" s="4">
        <v>4.7300000000000004</v>
      </c>
    </row>
    <row r="293" spans="2:13" x14ac:dyDescent="0.3">
      <c r="B293" s="3">
        <v>39.43</v>
      </c>
      <c r="C293" s="3">
        <v>132.07</v>
      </c>
      <c r="D293" s="3">
        <v>4.28</v>
      </c>
      <c r="E293" s="3">
        <v>39.19</v>
      </c>
      <c r="F293" s="3">
        <v>124.64</v>
      </c>
      <c r="G293" s="3">
        <v>4.46</v>
      </c>
      <c r="H293" s="3">
        <v>37.380000000000003</v>
      </c>
      <c r="I293" s="3">
        <v>124.61</v>
      </c>
      <c r="J293" s="3">
        <v>4.47</v>
      </c>
      <c r="K293" s="3">
        <v>35.69</v>
      </c>
      <c r="L293" s="3">
        <v>124.66</v>
      </c>
      <c r="M293" s="3">
        <v>4.6100000000000003</v>
      </c>
    </row>
    <row r="294" spans="2:13" x14ac:dyDescent="0.3">
      <c r="B294" s="4">
        <v>16.63</v>
      </c>
      <c r="C294" s="4">
        <v>79.5</v>
      </c>
      <c r="D294" s="4">
        <v>6.97</v>
      </c>
      <c r="E294" s="4">
        <v>16.73</v>
      </c>
      <c r="F294" s="4">
        <v>79.760000000000005</v>
      </c>
      <c r="G294" s="4">
        <v>6.82</v>
      </c>
      <c r="H294" s="4">
        <v>18.05</v>
      </c>
      <c r="I294" s="4">
        <v>79.540000000000006</v>
      </c>
      <c r="J294" s="4">
        <v>6.67</v>
      </c>
      <c r="K294" s="4">
        <v>19.46</v>
      </c>
      <c r="L294" s="4">
        <v>87.08</v>
      </c>
      <c r="M294" s="4">
        <v>6.56</v>
      </c>
    </row>
    <row r="295" spans="2:13" x14ac:dyDescent="0.3">
      <c r="B295" s="3">
        <v>12.01</v>
      </c>
      <c r="C295" s="3">
        <v>27.11</v>
      </c>
      <c r="D295" s="3">
        <v>8.2100000000000009</v>
      </c>
      <c r="E295" s="3">
        <v>14.17</v>
      </c>
      <c r="F295" s="3">
        <v>42.93</v>
      </c>
      <c r="G295" s="3">
        <v>7.76</v>
      </c>
      <c r="H295" s="3">
        <v>12.16</v>
      </c>
      <c r="I295" s="3">
        <v>27.12</v>
      </c>
      <c r="J295" s="3">
        <v>8.0299999999999994</v>
      </c>
      <c r="K295" s="3">
        <v>14.09</v>
      </c>
      <c r="L295" s="3">
        <v>42.18</v>
      </c>
      <c r="M295" s="3">
        <v>7.4</v>
      </c>
    </row>
    <row r="296" spans="2:13" x14ac:dyDescent="0.3">
      <c r="B296" s="4">
        <v>6.2</v>
      </c>
      <c r="C296" s="4">
        <v>27.94</v>
      </c>
      <c r="D296" s="4">
        <v>10.52</v>
      </c>
      <c r="E296" s="4">
        <v>5.41</v>
      </c>
      <c r="F296" s="4">
        <v>28.01</v>
      </c>
      <c r="G296" s="4">
        <v>11.06</v>
      </c>
      <c r="H296" s="4">
        <v>3.38</v>
      </c>
      <c r="I296" s="4">
        <v>41.99</v>
      </c>
      <c r="J296" s="4">
        <v>11.93</v>
      </c>
      <c r="K296" s="4">
        <v>5.22</v>
      </c>
      <c r="L296" s="4">
        <v>20.32</v>
      </c>
      <c r="M296" s="4">
        <v>11.15</v>
      </c>
    </row>
    <row r="297" spans="2:13" x14ac:dyDescent="0.3">
      <c r="B297" s="3">
        <v>15.88</v>
      </c>
      <c r="C297" s="3">
        <v>88.55</v>
      </c>
      <c r="D297" s="3">
        <v>7.55</v>
      </c>
      <c r="E297" s="3">
        <v>16.55</v>
      </c>
      <c r="F297" s="3">
        <v>94.73</v>
      </c>
      <c r="G297" s="3">
        <v>7.23</v>
      </c>
      <c r="H297" s="3">
        <v>16.079999999999998</v>
      </c>
      <c r="I297" s="3">
        <v>87.05</v>
      </c>
      <c r="J297" s="3">
        <v>7.31</v>
      </c>
      <c r="K297" s="3">
        <v>14.59</v>
      </c>
      <c r="L297" s="3">
        <v>94.51</v>
      </c>
      <c r="M297" s="3">
        <v>7.61</v>
      </c>
    </row>
    <row r="298" spans="2:13" x14ac:dyDescent="0.3">
      <c r="B298" s="4">
        <v>24.56</v>
      </c>
      <c r="C298" s="4">
        <v>111</v>
      </c>
      <c r="D298" s="4">
        <v>5.49</v>
      </c>
      <c r="E298" s="4">
        <v>24.03</v>
      </c>
      <c r="F298" s="4">
        <v>118.6</v>
      </c>
      <c r="G298" s="4">
        <v>5.67</v>
      </c>
      <c r="H298" s="4">
        <v>24.1</v>
      </c>
      <c r="I298" s="4">
        <v>102.09</v>
      </c>
      <c r="J298" s="4">
        <v>5.72</v>
      </c>
      <c r="K298" s="4">
        <v>23.5</v>
      </c>
      <c r="L298" s="4">
        <v>109.61</v>
      </c>
      <c r="M298" s="4">
        <v>5.66</v>
      </c>
    </row>
    <row r="299" spans="2:13" x14ac:dyDescent="0.3">
      <c r="B299" s="3">
        <v>31.88</v>
      </c>
      <c r="C299" s="3">
        <v>124.52</v>
      </c>
      <c r="D299" s="3">
        <v>4.3600000000000003</v>
      </c>
      <c r="E299" s="3">
        <v>30.01</v>
      </c>
      <c r="F299" s="3">
        <v>109.55</v>
      </c>
      <c r="G299" s="3">
        <v>4.7300000000000004</v>
      </c>
      <c r="H299" s="3">
        <v>31.83</v>
      </c>
      <c r="I299" s="3">
        <v>102.19</v>
      </c>
      <c r="J299" s="3">
        <v>4.53</v>
      </c>
      <c r="K299" s="3">
        <v>30.01</v>
      </c>
      <c r="L299" s="3">
        <v>117.06</v>
      </c>
      <c r="M299" s="3">
        <v>4.57</v>
      </c>
    </row>
    <row r="300" spans="2:13" x14ac:dyDescent="0.3">
      <c r="B300" s="4">
        <v>19.059999999999999</v>
      </c>
      <c r="C300" s="4">
        <v>79.56</v>
      </c>
      <c r="D300" s="4">
        <v>7.04</v>
      </c>
      <c r="E300" s="4">
        <v>13.47</v>
      </c>
      <c r="F300" s="4">
        <v>49.55</v>
      </c>
      <c r="G300" s="4">
        <v>8.17</v>
      </c>
      <c r="H300" s="4">
        <v>15.81</v>
      </c>
      <c r="I300" s="4">
        <v>72.13</v>
      </c>
      <c r="J300" s="4">
        <v>7.63</v>
      </c>
      <c r="K300" s="4">
        <v>15.96</v>
      </c>
      <c r="L300" s="4">
        <v>71.650000000000006</v>
      </c>
      <c r="M300" s="4">
        <v>7.48</v>
      </c>
    </row>
    <row r="301" spans="2:13" x14ac:dyDescent="0.3">
      <c r="B301" s="3">
        <v>6.82</v>
      </c>
      <c r="C301" s="3">
        <v>42.96</v>
      </c>
      <c r="D301" s="3">
        <v>10.28</v>
      </c>
      <c r="E301" s="3">
        <v>8.6300000000000008</v>
      </c>
      <c r="F301" s="3">
        <v>28.11</v>
      </c>
      <c r="G301" s="3">
        <v>9.43</v>
      </c>
      <c r="H301" s="3">
        <v>7.87</v>
      </c>
      <c r="I301" s="3">
        <v>35.520000000000003</v>
      </c>
      <c r="J301" s="3">
        <v>9.94</v>
      </c>
      <c r="K301" s="3">
        <v>7.23</v>
      </c>
      <c r="L301" s="3">
        <v>30.45</v>
      </c>
      <c r="M301" s="3">
        <v>9.91</v>
      </c>
    </row>
    <row r="302" spans="2:13" x14ac:dyDescent="0.3">
      <c r="B302" s="4">
        <v>9.52</v>
      </c>
      <c r="C302" s="4">
        <v>81.31</v>
      </c>
      <c r="D302" s="4">
        <v>9.0299999999999994</v>
      </c>
      <c r="E302" s="4">
        <v>8.26</v>
      </c>
      <c r="F302" s="4">
        <v>82.08</v>
      </c>
      <c r="G302" s="4">
        <v>9.49</v>
      </c>
      <c r="H302" s="4">
        <v>8.77</v>
      </c>
      <c r="I302" s="4">
        <v>81.599999999999994</v>
      </c>
      <c r="J302" s="4">
        <v>9.2799999999999994</v>
      </c>
      <c r="K302" s="4">
        <v>7.85</v>
      </c>
      <c r="L302" s="4">
        <v>79.8</v>
      </c>
      <c r="M302" s="4">
        <v>9.51</v>
      </c>
    </row>
    <row r="303" spans="2:13" x14ac:dyDescent="0.3">
      <c r="B303" s="3">
        <v>28.76</v>
      </c>
      <c r="C303" s="3">
        <v>109.51</v>
      </c>
      <c r="D303" s="3">
        <v>5.28</v>
      </c>
      <c r="E303" s="3">
        <v>27.19</v>
      </c>
      <c r="F303" s="3">
        <v>109.61</v>
      </c>
      <c r="G303" s="3">
        <v>5.17</v>
      </c>
      <c r="H303" s="3">
        <v>25.83</v>
      </c>
      <c r="I303" s="3">
        <v>132.47</v>
      </c>
      <c r="J303" s="3">
        <v>5.24</v>
      </c>
      <c r="K303" s="3">
        <v>27.68</v>
      </c>
      <c r="L303" s="3">
        <v>94.53</v>
      </c>
      <c r="M303" s="3">
        <v>5.21</v>
      </c>
    </row>
    <row r="304" spans="2:13" x14ac:dyDescent="0.3">
      <c r="B304" s="4">
        <v>37.85</v>
      </c>
      <c r="C304" s="4">
        <v>109.56</v>
      </c>
      <c r="D304" s="4">
        <v>4.51</v>
      </c>
      <c r="E304" s="4">
        <v>32.65</v>
      </c>
      <c r="F304" s="4">
        <v>132.16999999999999</v>
      </c>
      <c r="G304" s="4">
        <v>4.9000000000000004</v>
      </c>
      <c r="H304" s="4">
        <v>32.47</v>
      </c>
      <c r="I304" s="4">
        <v>102.17</v>
      </c>
      <c r="J304" s="4">
        <v>4.9800000000000004</v>
      </c>
      <c r="K304" s="4">
        <v>33.799999999999997</v>
      </c>
      <c r="L304" s="4">
        <v>139.6</v>
      </c>
      <c r="M304" s="4">
        <v>4.59</v>
      </c>
    </row>
    <row r="306" spans="1:13" x14ac:dyDescent="0.3">
      <c r="A306" s="5" t="s">
        <v>39</v>
      </c>
      <c r="B306" s="5">
        <f>AVERAGE(B281:B304)</f>
        <v>20.592916666666664</v>
      </c>
      <c r="C306" s="5">
        <f t="shared" ref="C306:M306" si="8">AVERAGE(C281:C304)</f>
        <v>82.340416666666655</v>
      </c>
      <c r="D306" s="5">
        <f t="shared" si="8"/>
        <v>6.9662499999999996</v>
      </c>
      <c r="E306" s="5">
        <f t="shared" si="8"/>
        <v>19.877916666666668</v>
      </c>
      <c r="F306" s="5">
        <f t="shared" si="8"/>
        <v>81.347499999999982</v>
      </c>
      <c r="G306" s="5">
        <f t="shared" si="8"/>
        <v>6.9891666666666667</v>
      </c>
      <c r="H306" s="5">
        <f t="shared" si="8"/>
        <v>19.543333333333333</v>
      </c>
      <c r="I306" s="5">
        <f t="shared" si="8"/>
        <v>81.519166666666663</v>
      </c>
      <c r="J306" s="5">
        <f t="shared" si="8"/>
        <v>7.0412499999999989</v>
      </c>
      <c r="K306" s="5">
        <f t="shared" si="8"/>
        <v>19.870833333333334</v>
      </c>
      <c r="L306" s="5">
        <f t="shared" si="8"/>
        <v>83.656249999999986</v>
      </c>
      <c r="M306" s="5">
        <f t="shared" si="8"/>
        <v>6.9575000000000005</v>
      </c>
    </row>
    <row r="307" spans="1:13" x14ac:dyDescent="0.3">
      <c r="A307" s="5" t="s">
        <v>35</v>
      </c>
      <c r="B307" s="5">
        <f>AVERAGE(B306,E306,H306,K306)</f>
        <v>19.971250000000001</v>
      </c>
      <c r="C307" s="5">
        <f>AVERAGE(C306,F306,I306,L306)</f>
        <v>82.215833333333322</v>
      </c>
      <c r="D307" s="5">
        <f>AVERAGE(D306,G306,J306,M306)</f>
        <v>6.9885416666666664</v>
      </c>
    </row>
  </sheetData>
  <mergeCells count="32">
    <mergeCell ref="B249:E249"/>
    <mergeCell ref="B251:D251"/>
    <mergeCell ref="E251:G251"/>
    <mergeCell ref="H251:J251"/>
    <mergeCell ref="K251:M251"/>
    <mergeCell ref="B219:D219"/>
    <mergeCell ref="E219:G219"/>
    <mergeCell ref="H219:J219"/>
    <mergeCell ref="K219:M219"/>
    <mergeCell ref="B113:E113"/>
    <mergeCell ref="B115:D115"/>
    <mergeCell ref="E115:G115"/>
    <mergeCell ref="H115:J115"/>
    <mergeCell ref="K115:M115"/>
    <mergeCell ref="B173:E173"/>
    <mergeCell ref="B175:D175"/>
    <mergeCell ref="E175:G175"/>
    <mergeCell ref="H175:J175"/>
    <mergeCell ref="K175:M175"/>
    <mergeCell ref="B217:E217"/>
    <mergeCell ref="K11:M11"/>
    <mergeCell ref="B53:E53"/>
    <mergeCell ref="B55:D55"/>
    <mergeCell ref="E55:G55"/>
    <mergeCell ref="H55:J55"/>
    <mergeCell ref="K55:M55"/>
    <mergeCell ref="H11:J11"/>
    <mergeCell ref="B2:D3"/>
    <mergeCell ref="G5:G8"/>
    <mergeCell ref="B9:E9"/>
    <mergeCell ref="B11:D11"/>
    <mergeCell ref="E11:G1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E335-3F09-41ED-8CD5-9464970A43CA}">
  <dimension ref="A1:M307"/>
  <sheetViews>
    <sheetView workbookViewId="0">
      <selection activeCell="B2" sqref="B2:D3"/>
    </sheetView>
  </sheetViews>
  <sheetFormatPr baseColWidth="10" defaultRowHeight="14.4" x14ac:dyDescent="0.3"/>
  <cols>
    <col min="2" max="2" width="16.33203125" bestFit="1" customWidth="1"/>
    <col min="5" max="5" width="16.33203125" bestFit="1" customWidth="1"/>
    <col min="8" max="8" width="16.33203125" bestFit="1" customWidth="1"/>
    <col min="11" max="11" width="16.33203125" bestFit="1" customWidth="1"/>
  </cols>
  <sheetData>
    <row r="1" spans="2:13" ht="14.4" customHeight="1" x14ac:dyDescent="0.3"/>
    <row r="2" spans="2:13" x14ac:dyDescent="0.3">
      <c r="B2" s="37" t="s">
        <v>30</v>
      </c>
      <c r="C2" s="37"/>
      <c r="D2" s="37"/>
    </row>
    <row r="3" spans="2:13" x14ac:dyDescent="0.3">
      <c r="B3" s="37"/>
      <c r="C3" s="37"/>
      <c r="D3" s="37"/>
    </row>
    <row r="4" spans="2:13" x14ac:dyDescent="0.3">
      <c r="H4" s="6" t="s">
        <v>25</v>
      </c>
      <c r="I4" s="6" t="s">
        <v>26</v>
      </c>
      <c r="J4" s="6" t="s">
        <v>23</v>
      </c>
    </row>
    <row r="5" spans="2:13" x14ac:dyDescent="0.3">
      <c r="G5" s="43" t="s">
        <v>24</v>
      </c>
      <c r="H5" s="5">
        <v>1</v>
      </c>
      <c r="I5" s="5">
        <v>2302.42625</v>
      </c>
      <c r="J5" s="5">
        <v>11.80125</v>
      </c>
    </row>
    <row r="6" spans="2:13" x14ac:dyDescent="0.3">
      <c r="G6" s="43"/>
      <c r="H6" s="5">
        <v>2</v>
      </c>
      <c r="I6" s="5">
        <v>2383</v>
      </c>
      <c r="J6" s="5">
        <v>11.28</v>
      </c>
    </row>
    <row r="7" spans="2:13" x14ac:dyDescent="0.3">
      <c r="G7" s="43"/>
      <c r="H7" s="5">
        <v>3</v>
      </c>
      <c r="I7" s="5">
        <v>2418.56</v>
      </c>
      <c r="J7" s="5">
        <v>11.21</v>
      </c>
    </row>
    <row r="8" spans="2:13" x14ac:dyDescent="0.3">
      <c r="G8" s="43"/>
      <c r="H8" s="5">
        <v>4</v>
      </c>
      <c r="I8" s="5">
        <v>2383</v>
      </c>
      <c r="J8" s="5">
        <v>11.15</v>
      </c>
    </row>
    <row r="9" spans="2:13" x14ac:dyDescent="0.3">
      <c r="B9" s="38" t="s">
        <v>1</v>
      </c>
      <c r="C9" s="38"/>
      <c r="D9" s="38"/>
      <c r="E9" s="38"/>
    </row>
    <row r="11" spans="2:13" x14ac:dyDescent="0.3">
      <c r="B11" s="39" t="s">
        <v>17</v>
      </c>
      <c r="C11" s="39"/>
      <c r="D11" s="39"/>
      <c r="E11" s="40" t="s">
        <v>18</v>
      </c>
      <c r="F11" s="40"/>
      <c r="G11" s="40"/>
      <c r="H11" s="41" t="s">
        <v>19</v>
      </c>
      <c r="I11" s="41"/>
      <c r="J11" s="41"/>
      <c r="K11" s="42" t="s">
        <v>20</v>
      </c>
      <c r="L11" s="42"/>
      <c r="M11" s="42"/>
    </row>
    <row r="12" spans="2:13" x14ac:dyDescent="0.3">
      <c r="B12" s="1" t="s">
        <v>21</v>
      </c>
      <c r="C12" s="1" t="s">
        <v>22</v>
      </c>
      <c r="D12" s="1" t="s">
        <v>23</v>
      </c>
      <c r="E12" s="1" t="s">
        <v>21</v>
      </c>
      <c r="F12" s="1" t="s">
        <v>22</v>
      </c>
      <c r="G12" s="1" t="s">
        <v>23</v>
      </c>
      <c r="H12" s="1" t="s">
        <v>21</v>
      </c>
      <c r="I12" s="1" t="s">
        <v>22</v>
      </c>
      <c r="J12" s="1" t="s">
        <v>23</v>
      </c>
      <c r="K12" s="1" t="s">
        <v>21</v>
      </c>
      <c r="L12" s="1" t="s">
        <v>22</v>
      </c>
      <c r="M12" s="1" t="s">
        <v>23</v>
      </c>
    </row>
    <row r="13" spans="2:13" x14ac:dyDescent="0.3">
      <c r="B13" s="3">
        <v>9.85</v>
      </c>
      <c r="C13" s="3">
        <v>42.28</v>
      </c>
      <c r="D13" s="3">
        <v>9.2899999999999991</v>
      </c>
      <c r="E13" s="3">
        <v>11.95</v>
      </c>
      <c r="F13" s="3">
        <v>34.83</v>
      </c>
      <c r="G13" s="3">
        <v>8.43</v>
      </c>
      <c r="H13" s="3">
        <v>13.46</v>
      </c>
      <c r="I13" s="3">
        <v>57.43</v>
      </c>
      <c r="J13" s="3">
        <v>7.4</v>
      </c>
      <c r="K13" s="3">
        <v>10.56</v>
      </c>
      <c r="L13" s="3">
        <v>42.37</v>
      </c>
      <c r="M13" s="3">
        <v>8.9700000000000006</v>
      </c>
    </row>
    <row r="14" spans="2:13" x14ac:dyDescent="0.3">
      <c r="B14" s="4">
        <v>11.99</v>
      </c>
      <c r="C14" s="4">
        <v>49.89</v>
      </c>
      <c r="D14" s="4">
        <v>8.1</v>
      </c>
      <c r="E14" s="4">
        <v>11.84</v>
      </c>
      <c r="F14" s="4">
        <v>42.49</v>
      </c>
      <c r="G14" s="4">
        <v>7.98</v>
      </c>
      <c r="H14" s="4">
        <v>9.83</v>
      </c>
      <c r="I14" s="4">
        <v>34.950000000000003</v>
      </c>
      <c r="J14" s="4">
        <v>9.31</v>
      </c>
      <c r="K14" s="4">
        <v>10.02</v>
      </c>
      <c r="L14" s="4">
        <v>42.42</v>
      </c>
      <c r="M14" s="4">
        <v>8.9600000000000009</v>
      </c>
    </row>
    <row r="15" spans="2:13" x14ac:dyDescent="0.3">
      <c r="B15" s="3">
        <v>14.11</v>
      </c>
      <c r="C15" s="3">
        <v>50.01</v>
      </c>
      <c r="D15" s="3">
        <v>7.55</v>
      </c>
      <c r="E15" s="3">
        <v>13.42</v>
      </c>
      <c r="F15" s="3">
        <v>42.53</v>
      </c>
      <c r="G15" s="3">
        <v>7.79</v>
      </c>
      <c r="H15" s="3">
        <v>12.19</v>
      </c>
      <c r="I15" s="3">
        <v>49.83</v>
      </c>
      <c r="J15" s="3">
        <v>8.01</v>
      </c>
      <c r="K15" s="3">
        <v>13.5</v>
      </c>
      <c r="L15" s="3">
        <v>42.35</v>
      </c>
      <c r="M15" s="3">
        <v>7.85</v>
      </c>
    </row>
    <row r="16" spans="2:13" x14ac:dyDescent="0.3">
      <c r="B16" s="4">
        <v>14.6</v>
      </c>
      <c r="C16" s="4">
        <v>42.34</v>
      </c>
      <c r="D16" s="4">
        <v>7.83</v>
      </c>
      <c r="E16" s="4">
        <v>14.17</v>
      </c>
      <c r="F16" s="4">
        <v>42.35</v>
      </c>
      <c r="G16" s="4">
        <v>7.13</v>
      </c>
      <c r="H16" s="4">
        <v>7.14</v>
      </c>
      <c r="I16" s="4">
        <v>27.47</v>
      </c>
      <c r="J16" s="4">
        <v>11.81</v>
      </c>
      <c r="K16" s="4">
        <v>13.31</v>
      </c>
      <c r="L16" s="4">
        <v>42.31</v>
      </c>
      <c r="M16" s="4">
        <v>7.78</v>
      </c>
    </row>
    <row r="17" spans="2:13" x14ac:dyDescent="0.3">
      <c r="B17" s="3">
        <v>13.34</v>
      </c>
      <c r="C17" s="3">
        <v>57.32</v>
      </c>
      <c r="D17" s="3">
        <v>7.85</v>
      </c>
      <c r="E17" s="3">
        <v>11.62</v>
      </c>
      <c r="F17" s="3">
        <v>49.94</v>
      </c>
      <c r="G17" s="3">
        <v>8.6</v>
      </c>
      <c r="H17" s="3">
        <v>11.15</v>
      </c>
      <c r="I17" s="3">
        <v>42.33</v>
      </c>
      <c r="J17" s="3">
        <v>8.89</v>
      </c>
      <c r="K17" s="3">
        <v>9.81</v>
      </c>
      <c r="L17" s="3">
        <v>34.86</v>
      </c>
      <c r="M17" s="3">
        <v>9.65</v>
      </c>
    </row>
    <row r="18" spans="2:13" x14ac:dyDescent="0.3">
      <c r="B18" s="4">
        <v>12.55</v>
      </c>
      <c r="C18" s="4">
        <v>42.39</v>
      </c>
      <c r="D18" s="4">
        <v>7.88</v>
      </c>
      <c r="E18" s="4">
        <v>14.33</v>
      </c>
      <c r="F18" s="4">
        <v>57.34</v>
      </c>
      <c r="G18" s="4">
        <v>7.43</v>
      </c>
      <c r="H18" s="4">
        <v>13.46</v>
      </c>
      <c r="I18" s="4">
        <v>57.36</v>
      </c>
      <c r="J18" s="4">
        <v>7.42</v>
      </c>
      <c r="K18" s="4">
        <v>12.29</v>
      </c>
      <c r="L18" s="4">
        <v>42.49</v>
      </c>
      <c r="M18" s="4">
        <v>7.74</v>
      </c>
    </row>
    <row r="19" spans="2:13" x14ac:dyDescent="0.3">
      <c r="B19" s="3">
        <v>18.7</v>
      </c>
      <c r="C19" s="3">
        <v>57.33</v>
      </c>
      <c r="D19" s="3">
        <v>6.34</v>
      </c>
      <c r="E19" s="3">
        <v>17.91</v>
      </c>
      <c r="F19" s="3">
        <v>49.8</v>
      </c>
      <c r="G19" s="3">
        <v>6.53</v>
      </c>
      <c r="H19" s="3">
        <v>12.59</v>
      </c>
      <c r="I19" s="3">
        <v>34.840000000000003</v>
      </c>
      <c r="J19" s="3">
        <v>8.39</v>
      </c>
      <c r="K19" s="3">
        <v>13.54</v>
      </c>
      <c r="L19" s="3">
        <v>49.85</v>
      </c>
      <c r="M19" s="3">
        <v>7.77</v>
      </c>
    </row>
    <row r="20" spans="2:13" x14ac:dyDescent="0.3">
      <c r="B20" s="4">
        <v>11.34</v>
      </c>
      <c r="C20" s="4">
        <v>27.45</v>
      </c>
      <c r="D20" s="4">
        <v>8.9499999999999993</v>
      </c>
      <c r="E20" s="4">
        <v>14.03</v>
      </c>
      <c r="F20" s="4">
        <v>42.45</v>
      </c>
      <c r="G20" s="4">
        <v>7.95</v>
      </c>
      <c r="H20" s="4">
        <v>13.61</v>
      </c>
      <c r="I20" s="4">
        <v>42.41</v>
      </c>
      <c r="J20" s="4">
        <v>7.98</v>
      </c>
      <c r="K20" s="4">
        <v>12.56</v>
      </c>
      <c r="L20" s="4">
        <v>42.28</v>
      </c>
      <c r="M20" s="4">
        <v>8.48</v>
      </c>
    </row>
    <row r="21" spans="2:13" x14ac:dyDescent="0.3">
      <c r="B21" s="3">
        <v>6.62</v>
      </c>
      <c r="C21" s="3">
        <v>27.44</v>
      </c>
      <c r="D21" s="3">
        <v>11.86</v>
      </c>
      <c r="E21" s="3">
        <v>9.16</v>
      </c>
      <c r="F21" s="3">
        <v>36.049999999999997</v>
      </c>
      <c r="G21" s="3">
        <v>9.7899999999999991</v>
      </c>
      <c r="H21" s="3">
        <v>8.5500000000000007</v>
      </c>
      <c r="I21" s="3">
        <v>42.3</v>
      </c>
      <c r="J21" s="3">
        <v>10.24</v>
      </c>
      <c r="K21" s="3">
        <v>8.23</v>
      </c>
      <c r="L21" s="3">
        <v>42.14</v>
      </c>
      <c r="M21" s="3">
        <v>10.35</v>
      </c>
    </row>
    <row r="22" spans="2:13" x14ac:dyDescent="0.3">
      <c r="B22" s="4">
        <v>13.04</v>
      </c>
      <c r="C22" s="4">
        <v>49.82</v>
      </c>
      <c r="D22" s="4">
        <v>7.85</v>
      </c>
      <c r="E22" s="4">
        <v>11.69</v>
      </c>
      <c r="F22" s="4">
        <v>42.29</v>
      </c>
      <c r="G22" s="4">
        <v>8.3800000000000008</v>
      </c>
      <c r="H22" s="4">
        <v>11.74</v>
      </c>
      <c r="I22" s="4">
        <v>34.97</v>
      </c>
      <c r="J22" s="4">
        <v>8.43</v>
      </c>
      <c r="K22" s="4">
        <v>9.27</v>
      </c>
      <c r="L22" s="4">
        <v>35.04</v>
      </c>
      <c r="M22" s="4">
        <v>10.220000000000001</v>
      </c>
    </row>
    <row r="23" spans="2:13" x14ac:dyDescent="0.3">
      <c r="B23" s="3">
        <v>16.79</v>
      </c>
      <c r="C23" s="3">
        <v>49.82</v>
      </c>
      <c r="D23" s="3">
        <v>6.7</v>
      </c>
      <c r="E23" s="3">
        <v>13.25</v>
      </c>
      <c r="F23" s="3">
        <v>42.33</v>
      </c>
      <c r="G23" s="3">
        <v>8.14</v>
      </c>
      <c r="H23" s="3">
        <v>17.95</v>
      </c>
      <c r="I23" s="3">
        <v>49.81</v>
      </c>
      <c r="J23" s="3">
        <v>6.45</v>
      </c>
      <c r="K23" s="3">
        <v>16.04</v>
      </c>
      <c r="L23" s="3">
        <v>49.92</v>
      </c>
      <c r="M23" s="3">
        <v>7.06</v>
      </c>
    </row>
    <row r="24" spans="2:13" x14ac:dyDescent="0.3">
      <c r="B24" s="4">
        <v>10.64</v>
      </c>
      <c r="C24" s="4">
        <v>42.36</v>
      </c>
      <c r="D24" s="4">
        <v>9.2200000000000006</v>
      </c>
      <c r="E24" s="4">
        <v>12</v>
      </c>
      <c r="F24" s="4">
        <v>34.770000000000003</v>
      </c>
      <c r="G24" s="4">
        <v>8.7899999999999991</v>
      </c>
      <c r="H24" s="4">
        <v>12.3</v>
      </c>
      <c r="I24" s="4">
        <v>42.34</v>
      </c>
      <c r="J24" s="4">
        <v>8.15</v>
      </c>
      <c r="K24" s="4">
        <v>11.77</v>
      </c>
      <c r="L24" s="4">
        <v>42.25</v>
      </c>
      <c r="M24" s="4">
        <v>8.65</v>
      </c>
    </row>
    <row r="25" spans="2:13" x14ac:dyDescent="0.3">
      <c r="B25" s="3">
        <v>8.34</v>
      </c>
      <c r="C25" s="3">
        <v>27.19</v>
      </c>
      <c r="D25" s="3">
        <v>7.88</v>
      </c>
      <c r="E25" s="3">
        <v>10.47</v>
      </c>
      <c r="F25" s="3">
        <v>34.6</v>
      </c>
      <c r="G25" s="3">
        <v>8.2200000000000006</v>
      </c>
      <c r="H25" s="3">
        <v>12.83</v>
      </c>
      <c r="I25" s="3">
        <v>42.14</v>
      </c>
      <c r="J25" s="3">
        <v>5.99</v>
      </c>
      <c r="K25" s="3">
        <v>12.95</v>
      </c>
      <c r="L25" s="3">
        <v>34.69</v>
      </c>
      <c r="M25" s="3">
        <v>5.79</v>
      </c>
    </row>
    <row r="26" spans="2:13" x14ac:dyDescent="0.3">
      <c r="B26" s="4">
        <v>12.71</v>
      </c>
      <c r="C26" s="4">
        <v>42.31</v>
      </c>
      <c r="D26" s="4">
        <v>6.4</v>
      </c>
      <c r="E26" s="4">
        <v>8.9</v>
      </c>
      <c r="F26" s="4">
        <v>34.6</v>
      </c>
      <c r="G26" s="4">
        <v>8.2799999999999994</v>
      </c>
      <c r="H26" s="4">
        <v>9.35</v>
      </c>
      <c r="I26" s="4">
        <v>34.64</v>
      </c>
      <c r="J26" s="4">
        <v>8.3000000000000007</v>
      </c>
      <c r="K26" s="4">
        <v>7.53</v>
      </c>
      <c r="L26" s="4">
        <v>27.27</v>
      </c>
      <c r="M26" s="4">
        <v>9.7200000000000006</v>
      </c>
    </row>
    <row r="27" spans="2:13" x14ac:dyDescent="0.3">
      <c r="B27" s="3">
        <v>11.97</v>
      </c>
      <c r="C27" s="3">
        <v>34.69</v>
      </c>
      <c r="D27" s="3">
        <v>6.74</v>
      </c>
      <c r="E27" s="3">
        <v>13.03</v>
      </c>
      <c r="F27" s="3">
        <v>34.68</v>
      </c>
      <c r="G27" s="3">
        <v>6.25</v>
      </c>
      <c r="H27" s="3">
        <v>12.91</v>
      </c>
      <c r="I27" s="3">
        <v>34.71</v>
      </c>
      <c r="J27" s="3">
        <v>6.28</v>
      </c>
      <c r="K27" s="3">
        <v>13.97</v>
      </c>
      <c r="L27" s="3">
        <v>34.72</v>
      </c>
      <c r="M27" s="3">
        <v>5.79</v>
      </c>
    </row>
    <row r="28" spans="2:13" x14ac:dyDescent="0.3">
      <c r="B28" s="4">
        <v>17.420000000000002</v>
      </c>
      <c r="C28" s="4">
        <v>36.15</v>
      </c>
      <c r="D28" s="4">
        <v>5.8</v>
      </c>
      <c r="E28" s="4">
        <v>11.78</v>
      </c>
      <c r="F28" s="4">
        <v>34.65</v>
      </c>
      <c r="G28" s="4">
        <v>6.25</v>
      </c>
      <c r="H28" s="4">
        <v>7.03</v>
      </c>
      <c r="I28" s="4">
        <v>12.18</v>
      </c>
      <c r="J28" s="4">
        <v>9.7899999999999991</v>
      </c>
      <c r="K28" s="4">
        <v>12.14</v>
      </c>
      <c r="L28" s="4">
        <v>42.15</v>
      </c>
      <c r="M28" s="4">
        <v>6.4</v>
      </c>
    </row>
    <row r="29" spans="2:13" x14ac:dyDescent="0.3">
      <c r="B29" s="3">
        <v>11.91</v>
      </c>
      <c r="C29" s="3">
        <v>42.2</v>
      </c>
      <c r="D29" s="3">
        <v>7.66</v>
      </c>
      <c r="E29" s="3">
        <v>10.48</v>
      </c>
      <c r="F29" s="3">
        <v>42.19</v>
      </c>
      <c r="G29" s="3">
        <v>7.08</v>
      </c>
      <c r="H29" s="3">
        <v>12.54</v>
      </c>
      <c r="I29" s="3">
        <v>34.67</v>
      </c>
      <c r="J29" s="3">
        <v>6.62</v>
      </c>
      <c r="K29" s="3">
        <v>9.2799999999999994</v>
      </c>
      <c r="L29" s="3">
        <v>27.25</v>
      </c>
      <c r="M29" s="3">
        <v>7.96</v>
      </c>
    </row>
    <row r="30" spans="2:13" x14ac:dyDescent="0.3">
      <c r="B30" s="4">
        <v>11.85</v>
      </c>
      <c r="C30" s="4">
        <v>34.770000000000003</v>
      </c>
      <c r="D30" s="4">
        <v>6.33</v>
      </c>
      <c r="E30" s="4">
        <v>13.68</v>
      </c>
      <c r="F30" s="4">
        <v>49.72</v>
      </c>
      <c r="G30" s="4">
        <v>6.19</v>
      </c>
      <c r="H30" s="4">
        <v>13.83</v>
      </c>
      <c r="I30" s="4">
        <v>42.15</v>
      </c>
      <c r="J30" s="4">
        <v>5.8</v>
      </c>
      <c r="K30" s="4">
        <v>11.24</v>
      </c>
      <c r="L30" s="4">
        <v>34.71</v>
      </c>
      <c r="M30" s="4">
        <v>6</v>
      </c>
    </row>
    <row r="31" spans="2:13" x14ac:dyDescent="0.3">
      <c r="B31" s="3">
        <v>18.2</v>
      </c>
      <c r="C31" s="3">
        <v>42.2</v>
      </c>
      <c r="D31" s="3">
        <v>5.2</v>
      </c>
      <c r="E31" s="3">
        <v>14.96</v>
      </c>
      <c r="F31" s="3">
        <v>42.26</v>
      </c>
      <c r="G31" s="3">
        <v>5.34</v>
      </c>
      <c r="H31" s="3">
        <v>10.28</v>
      </c>
      <c r="I31" s="3">
        <v>27.17</v>
      </c>
      <c r="J31" s="3">
        <v>6.98</v>
      </c>
      <c r="K31" s="3">
        <v>13.4</v>
      </c>
      <c r="L31" s="3">
        <v>28.96</v>
      </c>
      <c r="M31" s="3">
        <v>5.88</v>
      </c>
    </row>
    <row r="32" spans="2:13" x14ac:dyDescent="0.3">
      <c r="B32" s="4">
        <v>10.75</v>
      </c>
      <c r="C32" s="4">
        <v>19.95</v>
      </c>
      <c r="D32" s="4">
        <v>6.75</v>
      </c>
      <c r="E32" s="4">
        <v>15.02</v>
      </c>
      <c r="F32" s="4">
        <v>34.630000000000003</v>
      </c>
      <c r="G32" s="4">
        <v>6.51</v>
      </c>
      <c r="H32" s="4">
        <v>13.78</v>
      </c>
      <c r="I32" s="4">
        <v>34.79</v>
      </c>
      <c r="J32" s="4">
        <v>6.4</v>
      </c>
      <c r="K32" s="4">
        <v>11.37</v>
      </c>
      <c r="L32" s="4">
        <v>34.72</v>
      </c>
      <c r="M32" s="4">
        <v>7.78</v>
      </c>
    </row>
    <row r="33" spans="2:13" x14ac:dyDescent="0.3">
      <c r="B33" s="3">
        <v>6.16</v>
      </c>
      <c r="C33" s="3">
        <v>19.63</v>
      </c>
      <c r="D33" s="3">
        <v>10.38</v>
      </c>
      <c r="E33" s="3">
        <v>8.25</v>
      </c>
      <c r="F33" s="3">
        <v>35.03</v>
      </c>
      <c r="G33" s="3">
        <v>7.89</v>
      </c>
      <c r="H33" s="3">
        <v>8.9700000000000006</v>
      </c>
      <c r="I33" s="3">
        <v>34.46</v>
      </c>
      <c r="J33" s="3">
        <v>7.88</v>
      </c>
      <c r="K33" s="3">
        <v>8.59</v>
      </c>
      <c r="L33" s="3">
        <v>34.479999999999997</v>
      </c>
      <c r="M33" s="3">
        <v>7.8</v>
      </c>
    </row>
    <row r="34" spans="2:13" x14ac:dyDescent="0.3">
      <c r="B34" s="4">
        <v>13.43</v>
      </c>
      <c r="C34" s="4">
        <v>41.14</v>
      </c>
      <c r="D34" s="4">
        <v>5.78</v>
      </c>
      <c r="E34" s="4">
        <v>13.31</v>
      </c>
      <c r="F34" s="4">
        <v>34.68</v>
      </c>
      <c r="G34" s="4">
        <v>6.15</v>
      </c>
      <c r="H34" s="4">
        <v>11.17</v>
      </c>
      <c r="I34" s="4">
        <v>27.25</v>
      </c>
      <c r="J34" s="4">
        <v>7.33</v>
      </c>
      <c r="K34" s="4">
        <v>9.5500000000000007</v>
      </c>
      <c r="L34" s="4">
        <v>27.16</v>
      </c>
      <c r="M34" s="4">
        <v>7.87</v>
      </c>
    </row>
    <row r="35" spans="2:13" x14ac:dyDescent="0.3">
      <c r="B35" s="3">
        <v>16.190000000000001</v>
      </c>
      <c r="C35" s="3">
        <v>42.21</v>
      </c>
      <c r="D35" s="3">
        <v>5.95</v>
      </c>
      <c r="E35" s="3">
        <v>12.49</v>
      </c>
      <c r="F35" s="3">
        <v>34.700000000000003</v>
      </c>
      <c r="G35" s="3">
        <v>6.75</v>
      </c>
      <c r="H35" s="3">
        <v>17.48</v>
      </c>
      <c r="I35" s="3">
        <v>49.46</v>
      </c>
      <c r="J35" s="3">
        <v>4.91</v>
      </c>
      <c r="K35" s="3">
        <v>12.24</v>
      </c>
      <c r="L35" s="3">
        <v>42.19</v>
      </c>
      <c r="M35" s="3">
        <v>6.61</v>
      </c>
    </row>
    <row r="36" spans="2:13" x14ac:dyDescent="0.3">
      <c r="B36" s="4">
        <v>9.07</v>
      </c>
      <c r="C36" s="4">
        <v>27.14</v>
      </c>
      <c r="D36" s="4">
        <v>8.58</v>
      </c>
      <c r="E36" s="4">
        <v>11.35</v>
      </c>
      <c r="F36" s="4">
        <v>27.3</v>
      </c>
      <c r="G36" s="4">
        <v>7.55</v>
      </c>
      <c r="H36" s="4">
        <v>9.0500000000000007</v>
      </c>
      <c r="I36" s="4">
        <v>34.78</v>
      </c>
      <c r="J36" s="4">
        <v>8.7200000000000006</v>
      </c>
      <c r="K36" s="4">
        <v>11.27</v>
      </c>
      <c r="L36" s="4">
        <v>28.48</v>
      </c>
      <c r="M36" s="4">
        <v>7.28</v>
      </c>
    </row>
    <row r="37" spans="2:13" x14ac:dyDescent="0.3">
      <c r="B37" s="3">
        <v>15.94</v>
      </c>
      <c r="C37" s="3">
        <v>57.18</v>
      </c>
      <c r="D37" s="3">
        <v>7.4</v>
      </c>
      <c r="E37" s="3">
        <v>13.17</v>
      </c>
      <c r="F37" s="3">
        <v>64.81</v>
      </c>
      <c r="G37" s="3">
        <v>8.58</v>
      </c>
      <c r="H37" s="3">
        <v>21.65</v>
      </c>
      <c r="I37" s="3">
        <v>79.62</v>
      </c>
      <c r="J37" s="3">
        <v>5.7</v>
      </c>
      <c r="K37" s="3">
        <v>16.809999999999999</v>
      </c>
      <c r="L37" s="3">
        <v>64.63</v>
      </c>
      <c r="M37" s="3">
        <v>7.04</v>
      </c>
    </row>
    <row r="38" spans="2:13" x14ac:dyDescent="0.3">
      <c r="B38" s="4">
        <v>16.32</v>
      </c>
      <c r="C38" s="4">
        <v>85.75</v>
      </c>
      <c r="D38" s="4">
        <v>6.8</v>
      </c>
      <c r="E38" s="4">
        <v>15.43</v>
      </c>
      <c r="F38" s="4">
        <v>63.14</v>
      </c>
      <c r="G38" s="4">
        <v>7.43</v>
      </c>
      <c r="H38" s="4">
        <v>16.8</v>
      </c>
      <c r="I38" s="4">
        <v>72.150000000000006</v>
      </c>
      <c r="J38" s="4">
        <v>6.71</v>
      </c>
      <c r="K38" s="4">
        <v>14.52</v>
      </c>
      <c r="L38" s="4">
        <v>70.739999999999995</v>
      </c>
      <c r="M38" s="4">
        <v>7.48</v>
      </c>
    </row>
    <row r="39" spans="2:13" x14ac:dyDescent="0.3">
      <c r="B39" s="3">
        <v>17.75</v>
      </c>
      <c r="C39" s="3">
        <v>57.41</v>
      </c>
      <c r="D39" s="3">
        <v>6.7</v>
      </c>
      <c r="E39" s="3">
        <v>17.12</v>
      </c>
      <c r="F39" s="3">
        <v>58.61</v>
      </c>
      <c r="G39" s="3">
        <v>6.91</v>
      </c>
      <c r="H39" s="3">
        <v>24.68</v>
      </c>
      <c r="I39" s="3">
        <v>64.760000000000005</v>
      </c>
      <c r="J39" s="3">
        <v>5.08</v>
      </c>
      <c r="K39" s="3">
        <v>20.34</v>
      </c>
      <c r="L39" s="3">
        <v>49.64</v>
      </c>
      <c r="M39" s="3">
        <v>6.28</v>
      </c>
    </row>
    <row r="40" spans="2:13" x14ac:dyDescent="0.3">
      <c r="B40" s="4">
        <v>20.23</v>
      </c>
      <c r="C40" s="4">
        <v>70.58</v>
      </c>
      <c r="D40" s="4">
        <v>6.22</v>
      </c>
      <c r="E40" s="4">
        <v>19.96</v>
      </c>
      <c r="F40" s="4">
        <v>66.099999999999994</v>
      </c>
      <c r="G40" s="4">
        <v>6.07</v>
      </c>
      <c r="H40" s="4">
        <v>22.4</v>
      </c>
      <c r="I40" s="4">
        <v>93.15</v>
      </c>
      <c r="J40" s="4">
        <v>5.67</v>
      </c>
      <c r="K40" s="4">
        <v>17.66</v>
      </c>
      <c r="L40" s="4">
        <v>70.55</v>
      </c>
      <c r="M40" s="4">
        <v>6.89</v>
      </c>
    </row>
    <row r="41" spans="2:13" x14ac:dyDescent="0.3">
      <c r="B41" s="3">
        <v>12.99</v>
      </c>
      <c r="C41" s="3">
        <v>85.97</v>
      </c>
      <c r="D41" s="3">
        <v>8.1999999999999993</v>
      </c>
      <c r="E41" s="3">
        <v>12.99</v>
      </c>
      <c r="F41" s="3">
        <v>63.01</v>
      </c>
      <c r="G41" s="3">
        <v>7.82</v>
      </c>
      <c r="H41" s="3">
        <v>14.39</v>
      </c>
      <c r="I41" s="3">
        <v>57.13</v>
      </c>
      <c r="J41" s="3">
        <v>7.54</v>
      </c>
      <c r="K41" s="3">
        <v>11.1</v>
      </c>
      <c r="L41" s="3">
        <v>64.72</v>
      </c>
      <c r="M41" s="3">
        <v>9.34</v>
      </c>
    </row>
    <row r="42" spans="2:13" x14ac:dyDescent="0.3">
      <c r="B42" s="4">
        <v>16.940000000000001</v>
      </c>
      <c r="C42" s="4">
        <v>77.67</v>
      </c>
      <c r="D42" s="4">
        <v>7.04</v>
      </c>
      <c r="E42" s="4">
        <v>15.9</v>
      </c>
      <c r="F42" s="4">
        <v>100.66</v>
      </c>
      <c r="G42" s="4">
        <v>6.9</v>
      </c>
      <c r="H42" s="4">
        <v>18.13</v>
      </c>
      <c r="I42" s="4">
        <v>70.58</v>
      </c>
      <c r="J42" s="4">
        <v>6.4</v>
      </c>
      <c r="K42" s="4">
        <v>19.03</v>
      </c>
      <c r="L42" s="4">
        <v>65.91</v>
      </c>
      <c r="M42" s="4">
        <v>6.23</v>
      </c>
    </row>
    <row r="43" spans="2:13" x14ac:dyDescent="0.3">
      <c r="B43" s="3">
        <v>18.62</v>
      </c>
      <c r="C43" s="3">
        <v>72.11</v>
      </c>
      <c r="D43" s="3">
        <v>6.65</v>
      </c>
      <c r="E43" s="3">
        <v>26.34</v>
      </c>
      <c r="F43" s="3">
        <v>101.01</v>
      </c>
      <c r="G43" s="3">
        <v>5.1100000000000003</v>
      </c>
      <c r="H43" s="3">
        <v>28.92</v>
      </c>
      <c r="I43" s="3">
        <v>102.15</v>
      </c>
      <c r="J43" s="3">
        <v>4.71</v>
      </c>
      <c r="K43" s="3">
        <v>19.45</v>
      </c>
      <c r="L43" s="3">
        <v>58.45</v>
      </c>
      <c r="M43" s="3">
        <v>6.4</v>
      </c>
    </row>
    <row r="44" spans="2:13" x14ac:dyDescent="0.3">
      <c r="B44" s="4">
        <v>13.68</v>
      </c>
      <c r="C44" s="4">
        <v>78.349999999999994</v>
      </c>
      <c r="D44" s="4">
        <v>7.83</v>
      </c>
      <c r="E44" s="4">
        <v>19.399999999999999</v>
      </c>
      <c r="F44" s="4">
        <v>78.16</v>
      </c>
      <c r="G44" s="4">
        <v>6.15</v>
      </c>
      <c r="H44" s="4">
        <v>15.44</v>
      </c>
      <c r="I44" s="4">
        <v>70.88</v>
      </c>
      <c r="J44" s="4">
        <v>7.33</v>
      </c>
      <c r="K44" s="4">
        <v>16.510000000000002</v>
      </c>
      <c r="L44" s="4">
        <v>93.08</v>
      </c>
      <c r="M44" s="4">
        <v>6.68</v>
      </c>
    </row>
    <row r="45" spans="2:13" x14ac:dyDescent="0.3">
      <c r="B45" s="3">
        <v>19.93</v>
      </c>
      <c r="C45" s="3">
        <v>81.040000000000006</v>
      </c>
      <c r="D45" s="3">
        <v>5.78</v>
      </c>
      <c r="E45" s="3">
        <v>18.489999999999998</v>
      </c>
      <c r="F45" s="3">
        <v>87.16</v>
      </c>
      <c r="G45" s="3">
        <v>5.97</v>
      </c>
      <c r="H45" s="3">
        <v>14.88</v>
      </c>
      <c r="I45" s="3">
        <v>85.75</v>
      </c>
      <c r="J45" s="3">
        <v>7.22</v>
      </c>
      <c r="K45" s="3">
        <v>14.28</v>
      </c>
      <c r="L45" s="3">
        <v>92.92</v>
      </c>
      <c r="M45" s="3">
        <v>7.33</v>
      </c>
    </row>
    <row r="46" spans="2:13" x14ac:dyDescent="0.3">
      <c r="B46" s="4">
        <v>19.27</v>
      </c>
      <c r="C46" s="4">
        <v>64.97</v>
      </c>
      <c r="D46" s="4">
        <v>6.14</v>
      </c>
      <c r="E46" s="4">
        <v>16.989999999999998</v>
      </c>
      <c r="F46" s="4">
        <v>72.17</v>
      </c>
      <c r="G46" s="4">
        <v>6.64</v>
      </c>
      <c r="H46" s="4">
        <v>18.37</v>
      </c>
      <c r="I46" s="4">
        <v>64.510000000000005</v>
      </c>
      <c r="J46" s="4">
        <v>6.66</v>
      </c>
      <c r="K46" s="4">
        <v>19.649999999999999</v>
      </c>
      <c r="L46" s="4">
        <v>71.38</v>
      </c>
      <c r="M46" s="4">
        <v>6.16</v>
      </c>
    </row>
    <row r="47" spans="2:13" x14ac:dyDescent="0.3">
      <c r="B47" s="3">
        <v>16.52</v>
      </c>
      <c r="C47" s="3">
        <v>70.900000000000006</v>
      </c>
      <c r="D47" s="3">
        <v>7.18</v>
      </c>
      <c r="E47" s="3">
        <v>20.45</v>
      </c>
      <c r="F47" s="3">
        <v>85.79</v>
      </c>
      <c r="G47" s="3">
        <v>5.95</v>
      </c>
      <c r="H47" s="3">
        <v>17.55</v>
      </c>
      <c r="I47" s="3">
        <v>78.209999999999994</v>
      </c>
      <c r="J47" s="3">
        <v>6.67</v>
      </c>
      <c r="K47" s="3">
        <v>16.21</v>
      </c>
      <c r="L47" s="3">
        <v>64.650000000000006</v>
      </c>
      <c r="M47" s="3">
        <v>7.53</v>
      </c>
    </row>
    <row r="48" spans="2:13" x14ac:dyDescent="0.3">
      <c r="B48" s="4">
        <v>14.9</v>
      </c>
      <c r="C48" s="4">
        <v>70.31</v>
      </c>
      <c r="D48" s="4">
        <v>7.56</v>
      </c>
      <c r="E48" s="4">
        <v>17.690000000000001</v>
      </c>
      <c r="F48" s="4">
        <v>80.959999999999994</v>
      </c>
      <c r="G48" s="4">
        <v>6.39</v>
      </c>
      <c r="H48" s="4">
        <v>11</v>
      </c>
      <c r="I48" s="4">
        <v>70.97</v>
      </c>
      <c r="J48" s="4">
        <v>9.1999999999999993</v>
      </c>
      <c r="K48" s="4">
        <v>13.07</v>
      </c>
      <c r="L48" s="4">
        <v>59.18</v>
      </c>
      <c r="M48" s="4">
        <v>8.44</v>
      </c>
    </row>
    <row r="50" spans="1:13" x14ac:dyDescent="0.3">
      <c r="A50" s="5" t="s">
        <v>42</v>
      </c>
      <c r="B50" s="5">
        <f>AVERAGE(B13:B48)</f>
        <v>14.018333333333333</v>
      </c>
      <c r="C50" s="5">
        <f t="shared" ref="C50:M50" si="0">AVERAGE(C13:C48)</f>
        <v>50.563055555555557</v>
      </c>
      <c r="D50" s="5">
        <f t="shared" si="0"/>
        <v>7.3991666666666669</v>
      </c>
      <c r="E50" s="5">
        <f t="shared" si="0"/>
        <v>14.250555555555557</v>
      </c>
      <c r="F50" s="5">
        <f t="shared" si="0"/>
        <v>52.160833333333336</v>
      </c>
      <c r="G50" s="5">
        <f t="shared" si="0"/>
        <v>7.2033333333333331</v>
      </c>
      <c r="H50" s="5">
        <f t="shared" si="0"/>
        <v>14.094444444444445</v>
      </c>
      <c r="I50" s="5">
        <f t="shared" si="0"/>
        <v>50.952777777777783</v>
      </c>
      <c r="J50" s="5">
        <f t="shared" si="0"/>
        <v>7.3991666666666669</v>
      </c>
      <c r="K50" s="5">
        <f t="shared" si="0"/>
        <v>13.140555555555553</v>
      </c>
      <c r="L50" s="5">
        <f t="shared" si="0"/>
        <v>48.080833333333345</v>
      </c>
      <c r="M50" s="5">
        <f t="shared" si="0"/>
        <v>7.6155555555555559</v>
      </c>
    </row>
    <row r="51" spans="1:13" x14ac:dyDescent="0.3">
      <c r="A51" s="5" t="s">
        <v>35</v>
      </c>
      <c r="B51" s="5">
        <f>AVERAGE(B50,E50,H50,K50)</f>
        <v>13.87597222222222</v>
      </c>
      <c r="C51" s="5">
        <f t="shared" ref="C51:D51" si="1">AVERAGE(C50,F50,I50,L50)</f>
        <v>50.439375000000005</v>
      </c>
      <c r="D51" s="5">
        <f t="shared" si="1"/>
        <v>7.4043055555555553</v>
      </c>
      <c r="E51" s="5"/>
      <c r="F51" s="5"/>
      <c r="G51" s="5"/>
      <c r="H51" s="5"/>
      <c r="I51" s="5"/>
      <c r="J51" s="5"/>
      <c r="K51" s="5"/>
      <c r="L51" s="5"/>
      <c r="M51" s="5"/>
    </row>
    <row r="53" spans="1:13" x14ac:dyDescent="0.3">
      <c r="B53" s="38" t="s">
        <v>2</v>
      </c>
      <c r="C53" s="38"/>
      <c r="D53" s="38"/>
      <c r="E53" s="38"/>
    </row>
    <row r="55" spans="1:13" x14ac:dyDescent="0.3">
      <c r="B55" s="39" t="s">
        <v>17</v>
      </c>
      <c r="C55" s="39"/>
      <c r="D55" s="39"/>
      <c r="E55" s="40" t="s">
        <v>18</v>
      </c>
      <c r="F55" s="40"/>
      <c r="G55" s="40"/>
      <c r="H55" s="41" t="s">
        <v>19</v>
      </c>
      <c r="I55" s="41"/>
      <c r="J55" s="41"/>
      <c r="K55" s="42" t="s">
        <v>20</v>
      </c>
      <c r="L55" s="42"/>
      <c r="M55" s="42"/>
    </row>
    <row r="56" spans="1:13" x14ac:dyDescent="0.3">
      <c r="B56" s="1" t="s">
        <v>21</v>
      </c>
      <c r="C56" s="1" t="s">
        <v>22</v>
      </c>
      <c r="D56" s="1" t="s">
        <v>23</v>
      </c>
      <c r="E56" s="1" t="s">
        <v>21</v>
      </c>
      <c r="F56" s="1" t="s">
        <v>22</v>
      </c>
      <c r="G56" s="1" t="s">
        <v>23</v>
      </c>
      <c r="H56" s="1" t="s">
        <v>21</v>
      </c>
      <c r="I56" s="1" t="s">
        <v>22</v>
      </c>
      <c r="J56" s="1" t="s">
        <v>23</v>
      </c>
      <c r="K56" s="1" t="s">
        <v>21</v>
      </c>
      <c r="L56" s="1" t="s">
        <v>22</v>
      </c>
      <c r="M56" s="1" t="s">
        <v>23</v>
      </c>
    </row>
    <row r="57" spans="1:13" x14ac:dyDescent="0.3">
      <c r="A57" t="s">
        <v>27</v>
      </c>
      <c r="B57" s="3">
        <v>16.34</v>
      </c>
      <c r="C57" s="3">
        <v>102.94</v>
      </c>
      <c r="D57" s="3">
        <v>7.69</v>
      </c>
      <c r="E57" s="3">
        <v>16.670000000000002</v>
      </c>
      <c r="F57" s="3">
        <v>110.25</v>
      </c>
      <c r="G57" s="3">
        <v>7.69</v>
      </c>
      <c r="H57" s="3">
        <v>16.38</v>
      </c>
      <c r="I57" s="3">
        <v>102.82</v>
      </c>
      <c r="J57" s="3">
        <v>7.69</v>
      </c>
      <c r="K57" s="3">
        <v>16.21</v>
      </c>
      <c r="L57" s="3">
        <v>102.88</v>
      </c>
      <c r="M57" s="3">
        <v>7.57</v>
      </c>
    </row>
    <row r="58" spans="1:13" x14ac:dyDescent="0.3">
      <c r="B58" s="4">
        <v>28.99</v>
      </c>
      <c r="C58" s="4">
        <v>141.1</v>
      </c>
      <c r="D58" s="4">
        <v>5.73</v>
      </c>
      <c r="E58" s="4">
        <v>29.58</v>
      </c>
      <c r="F58" s="4">
        <v>148.59</v>
      </c>
      <c r="G58" s="4">
        <v>5.87</v>
      </c>
      <c r="H58" s="4">
        <v>27.93</v>
      </c>
      <c r="I58" s="4">
        <v>132.44999999999999</v>
      </c>
      <c r="J58" s="4">
        <v>5.82</v>
      </c>
      <c r="K58" s="4">
        <v>27.15</v>
      </c>
      <c r="L58" s="4">
        <v>148.13999999999999</v>
      </c>
      <c r="M58" s="4">
        <v>5.92</v>
      </c>
    </row>
    <row r="59" spans="1:13" x14ac:dyDescent="0.3">
      <c r="B59" s="3">
        <v>32.71</v>
      </c>
      <c r="C59" s="3">
        <v>117.38</v>
      </c>
      <c r="D59" s="3">
        <v>5.5</v>
      </c>
      <c r="E59" s="3">
        <v>28.84</v>
      </c>
      <c r="F59" s="3">
        <v>118.66</v>
      </c>
      <c r="G59" s="3">
        <v>5.69</v>
      </c>
      <c r="H59" s="3">
        <v>32.72</v>
      </c>
      <c r="I59" s="3">
        <v>117.28</v>
      </c>
      <c r="J59" s="3">
        <v>5.45</v>
      </c>
      <c r="K59" s="3">
        <v>37.799999999999997</v>
      </c>
      <c r="L59" s="3">
        <v>132.27000000000001</v>
      </c>
      <c r="M59" s="3">
        <v>4.9400000000000004</v>
      </c>
    </row>
    <row r="60" spans="1:13" x14ac:dyDescent="0.3">
      <c r="B60" s="4">
        <v>32.99</v>
      </c>
      <c r="C60" s="4">
        <v>117.88</v>
      </c>
      <c r="D60" s="4">
        <v>5.76</v>
      </c>
      <c r="E60" s="4">
        <v>29.67</v>
      </c>
      <c r="F60" s="4">
        <v>87.37</v>
      </c>
      <c r="G60" s="4">
        <v>6.28</v>
      </c>
      <c r="H60" s="4">
        <v>31.81</v>
      </c>
      <c r="I60" s="4">
        <v>103.15</v>
      </c>
      <c r="J60" s="4">
        <v>5.84</v>
      </c>
      <c r="K60" s="4">
        <v>36.29</v>
      </c>
      <c r="L60" s="4">
        <v>109.74</v>
      </c>
      <c r="M60" s="4">
        <v>5.47</v>
      </c>
    </row>
    <row r="61" spans="1:13" x14ac:dyDescent="0.3">
      <c r="B61" s="3">
        <v>43.64</v>
      </c>
      <c r="C61" s="3">
        <v>117.77</v>
      </c>
      <c r="D61" s="3">
        <v>4.76</v>
      </c>
      <c r="E61" s="3">
        <v>40.07</v>
      </c>
      <c r="F61" s="3">
        <v>95.17</v>
      </c>
      <c r="G61" s="3">
        <v>4.97</v>
      </c>
      <c r="H61" s="3">
        <v>44.99</v>
      </c>
      <c r="I61" s="3">
        <v>110.46</v>
      </c>
      <c r="J61" s="3">
        <v>4.28</v>
      </c>
      <c r="K61" s="3">
        <v>38.26</v>
      </c>
      <c r="L61" s="3">
        <v>87.7</v>
      </c>
      <c r="M61" s="3">
        <v>5.14</v>
      </c>
    </row>
    <row r="62" spans="1:13" x14ac:dyDescent="0.3">
      <c r="B62" s="4">
        <v>18.36</v>
      </c>
      <c r="C62" s="4">
        <v>64.7</v>
      </c>
      <c r="D62" s="4">
        <v>7.46</v>
      </c>
      <c r="E62" s="4">
        <v>19.47</v>
      </c>
      <c r="F62" s="4">
        <v>64.849999999999994</v>
      </c>
      <c r="G62" s="4">
        <v>7.34</v>
      </c>
      <c r="H62" s="4">
        <v>29.8</v>
      </c>
      <c r="I62" s="4">
        <v>80.349999999999994</v>
      </c>
      <c r="J62" s="4">
        <v>5.86</v>
      </c>
      <c r="K62" s="4">
        <v>19.579999999999998</v>
      </c>
      <c r="L62" s="4">
        <v>57.15</v>
      </c>
      <c r="M62" s="4">
        <v>7.55</v>
      </c>
    </row>
    <row r="63" spans="1:13" x14ac:dyDescent="0.3">
      <c r="B63" s="3">
        <v>26.04</v>
      </c>
      <c r="C63" s="3">
        <v>80.02</v>
      </c>
      <c r="D63" s="3">
        <v>6.05</v>
      </c>
      <c r="E63" s="3">
        <v>29.5</v>
      </c>
      <c r="F63" s="3">
        <v>80.36</v>
      </c>
      <c r="G63" s="3">
        <v>5.95</v>
      </c>
      <c r="H63" s="3">
        <v>20.82</v>
      </c>
      <c r="I63" s="3">
        <v>49.72</v>
      </c>
      <c r="J63" s="3">
        <v>7</v>
      </c>
      <c r="K63" s="3">
        <v>25.56</v>
      </c>
      <c r="L63" s="3">
        <v>72.75</v>
      </c>
      <c r="M63" s="3">
        <v>6.18</v>
      </c>
    </row>
    <row r="64" spans="1:13" x14ac:dyDescent="0.3">
      <c r="B64" s="4">
        <v>18.36</v>
      </c>
      <c r="C64" s="4">
        <v>64.7</v>
      </c>
      <c r="D64" s="4">
        <v>7.46</v>
      </c>
      <c r="E64" s="4">
        <v>18.36</v>
      </c>
      <c r="F64" s="4">
        <v>64.7</v>
      </c>
      <c r="G64" s="4">
        <v>7.46</v>
      </c>
      <c r="H64" s="4">
        <v>18.36</v>
      </c>
      <c r="I64" s="4">
        <v>64.7</v>
      </c>
      <c r="J64" s="4">
        <v>7.46</v>
      </c>
      <c r="K64" s="4">
        <v>13.55</v>
      </c>
      <c r="L64" s="4">
        <v>19.68</v>
      </c>
      <c r="M64" s="4">
        <v>8.81</v>
      </c>
    </row>
    <row r="65" spans="2:13" x14ac:dyDescent="0.3">
      <c r="B65" s="3">
        <v>18.850000000000001</v>
      </c>
      <c r="C65" s="3">
        <v>82.23</v>
      </c>
      <c r="D65" s="3">
        <v>7.94</v>
      </c>
      <c r="E65" s="3">
        <v>18.45</v>
      </c>
      <c r="F65" s="3">
        <v>95.3</v>
      </c>
      <c r="G65" s="3">
        <v>8.08</v>
      </c>
      <c r="H65" s="3">
        <v>17.93</v>
      </c>
      <c r="I65" s="3">
        <v>87.5</v>
      </c>
      <c r="J65" s="3">
        <v>7.98</v>
      </c>
      <c r="K65" s="3">
        <v>18.2</v>
      </c>
      <c r="L65" s="3">
        <v>87.81</v>
      </c>
      <c r="M65" s="3">
        <v>8.06</v>
      </c>
    </row>
    <row r="66" spans="2:13" x14ac:dyDescent="0.3">
      <c r="B66" s="4">
        <v>14.78</v>
      </c>
      <c r="C66" s="4">
        <v>102.46</v>
      </c>
      <c r="D66" s="4">
        <v>7.89</v>
      </c>
      <c r="E66" s="4">
        <v>21.41</v>
      </c>
      <c r="F66" s="4">
        <v>87.3</v>
      </c>
      <c r="G66" s="4">
        <v>6.86</v>
      </c>
      <c r="H66" s="4">
        <v>17.13</v>
      </c>
      <c r="I66" s="4">
        <v>79.75</v>
      </c>
      <c r="J66" s="4">
        <v>7.4</v>
      </c>
      <c r="K66" s="4">
        <v>17.95</v>
      </c>
      <c r="L66" s="4">
        <v>96.12</v>
      </c>
      <c r="M66" s="4">
        <v>7.62</v>
      </c>
    </row>
    <row r="67" spans="2:13" x14ac:dyDescent="0.3">
      <c r="B67" s="3">
        <v>12.96</v>
      </c>
      <c r="C67" s="3">
        <v>50.55</v>
      </c>
      <c r="D67" s="3">
        <v>8.42</v>
      </c>
      <c r="E67" s="3">
        <v>21</v>
      </c>
      <c r="F67" s="3">
        <v>96.27</v>
      </c>
      <c r="G67" s="3">
        <v>6.65</v>
      </c>
      <c r="H67" s="3">
        <v>21.9</v>
      </c>
      <c r="I67" s="3">
        <v>95.12</v>
      </c>
      <c r="J67" s="3">
        <v>6.33</v>
      </c>
      <c r="K67" s="3">
        <v>17.760000000000002</v>
      </c>
      <c r="L67" s="3">
        <v>94.97</v>
      </c>
      <c r="M67" s="3">
        <v>7.42</v>
      </c>
    </row>
    <row r="68" spans="2:13" x14ac:dyDescent="0.3">
      <c r="B68" s="4">
        <v>43.27</v>
      </c>
      <c r="C68" s="4">
        <v>163.06</v>
      </c>
      <c r="D68" s="4">
        <v>3.94</v>
      </c>
      <c r="E68" s="4">
        <v>42.07</v>
      </c>
      <c r="F68" s="4">
        <v>155.75</v>
      </c>
      <c r="G68" s="4">
        <v>3.84</v>
      </c>
      <c r="H68" s="4">
        <v>41.88</v>
      </c>
      <c r="I68" s="4">
        <v>140.54</v>
      </c>
      <c r="J68" s="4">
        <v>4.18</v>
      </c>
      <c r="K68" s="4">
        <v>37.659999999999997</v>
      </c>
      <c r="L68" s="4">
        <v>140.57</v>
      </c>
      <c r="M68" s="4">
        <v>4.05</v>
      </c>
    </row>
    <row r="69" spans="2:13" x14ac:dyDescent="0.3">
      <c r="B69" s="3">
        <v>17.21</v>
      </c>
      <c r="C69" s="3">
        <v>103.08</v>
      </c>
      <c r="D69" s="3">
        <v>7.67</v>
      </c>
      <c r="E69" s="3">
        <v>16.73</v>
      </c>
      <c r="F69" s="3">
        <v>102.45</v>
      </c>
      <c r="G69" s="3">
        <v>7.74</v>
      </c>
      <c r="H69" s="3">
        <v>16.93</v>
      </c>
      <c r="I69" s="3">
        <v>110.47</v>
      </c>
      <c r="J69" s="3">
        <v>7.8</v>
      </c>
      <c r="K69" s="3">
        <v>18.059999999999999</v>
      </c>
      <c r="L69" s="3">
        <v>103.15</v>
      </c>
      <c r="M69" s="3">
        <v>7.53</v>
      </c>
    </row>
    <row r="70" spans="2:13" x14ac:dyDescent="0.3">
      <c r="B70" s="4">
        <v>29.62</v>
      </c>
      <c r="C70" s="4">
        <v>148.22</v>
      </c>
      <c r="D70" s="4">
        <v>5.82</v>
      </c>
      <c r="E70" s="4">
        <v>32.44</v>
      </c>
      <c r="F70" s="4">
        <v>155.5</v>
      </c>
      <c r="G70" s="4">
        <v>5.73</v>
      </c>
      <c r="H70" s="4">
        <v>28.43</v>
      </c>
      <c r="I70" s="4">
        <v>125</v>
      </c>
      <c r="J70" s="4">
        <v>5.49</v>
      </c>
      <c r="K70" s="4">
        <v>28.69</v>
      </c>
      <c r="L70" s="4">
        <v>156.1</v>
      </c>
      <c r="M70" s="4">
        <v>5.64</v>
      </c>
    </row>
    <row r="71" spans="2:13" x14ac:dyDescent="0.3">
      <c r="B71" s="3">
        <v>34.020000000000003</v>
      </c>
      <c r="C71" s="3">
        <v>109.8</v>
      </c>
      <c r="D71" s="3">
        <v>5.07</v>
      </c>
      <c r="E71" s="3">
        <v>32.549999999999997</v>
      </c>
      <c r="F71" s="3">
        <v>118.64</v>
      </c>
      <c r="G71" s="3">
        <v>5.25</v>
      </c>
      <c r="H71" s="3">
        <v>31.47</v>
      </c>
      <c r="I71" s="3">
        <v>110.14</v>
      </c>
      <c r="J71" s="3">
        <v>5.83</v>
      </c>
      <c r="K71" s="3">
        <v>37.950000000000003</v>
      </c>
      <c r="L71" s="3">
        <v>132.37</v>
      </c>
      <c r="M71" s="3">
        <v>5.0999999999999996</v>
      </c>
    </row>
    <row r="72" spans="2:13" x14ac:dyDescent="0.3">
      <c r="B72" s="4">
        <v>29.55</v>
      </c>
      <c r="C72" s="4">
        <v>110.27</v>
      </c>
      <c r="D72" s="4">
        <v>6.02</v>
      </c>
      <c r="E72" s="4">
        <v>33.299999999999997</v>
      </c>
      <c r="F72" s="4">
        <v>87.3</v>
      </c>
      <c r="G72" s="4">
        <v>5.38</v>
      </c>
      <c r="H72" s="4">
        <v>32.409999999999997</v>
      </c>
      <c r="I72" s="4">
        <v>89.13</v>
      </c>
      <c r="J72" s="4">
        <v>5.68</v>
      </c>
      <c r="K72" s="4">
        <v>38.61</v>
      </c>
      <c r="L72" s="4">
        <v>109.77</v>
      </c>
      <c r="M72" s="4">
        <v>5.08</v>
      </c>
    </row>
    <row r="73" spans="2:13" x14ac:dyDescent="0.3">
      <c r="B73" s="3">
        <v>47.87</v>
      </c>
      <c r="C73" s="3">
        <v>118.05</v>
      </c>
      <c r="D73" s="3">
        <v>4.51</v>
      </c>
      <c r="E73" s="3">
        <v>38.700000000000003</v>
      </c>
      <c r="F73" s="3">
        <v>95.19</v>
      </c>
      <c r="G73" s="3">
        <v>5.07</v>
      </c>
      <c r="H73" s="3">
        <v>45.36</v>
      </c>
      <c r="I73" s="3">
        <v>102.89</v>
      </c>
      <c r="J73" s="3">
        <v>4.4000000000000004</v>
      </c>
      <c r="K73" s="3">
        <v>40.090000000000003</v>
      </c>
      <c r="L73" s="3">
        <v>95.31</v>
      </c>
      <c r="M73" s="3">
        <v>5.2</v>
      </c>
    </row>
    <row r="74" spans="2:13" x14ac:dyDescent="0.3">
      <c r="B74" s="4">
        <v>17.170000000000002</v>
      </c>
      <c r="C74" s="4">
        <v>57.59</v>
      </c>
      <c r="D74" s="4">
        <v>7.76</v>
      </c>
      <c r="E74" s="4">
        <v>22.58</v>
      </c>
      <c r="F74" s="4">
        <v>72.52</v>
      </c>
      <c r="G74" s="4">
        <v>6.82</v>
      </c>
      <c r="H74" s="4">
        <v>27.87</v>
      </c>
      <c r="I74" s="4">
        <v>72.739999999999995</v>
      </c>
      <c r="J74" s="4">
        <v>6.03</v>
      </c>
      <c r="K74" s="4">
        <v>19.399999999999999</v>
      </c>
      <c r="L74" s="4">
        <v>49.9</v>
      </c>
      <c r="M74" s="4">
        <v>7.79</v>
      </c>
    </row>
    <row r="75" spans="2:13" x14ac:dyDescent="0.3">
      <c r="B75" s="3">
        <v>32.909999999999997</v>
      </c>
      <c r="C75" s="3">
        <v>87.68</v>
      </c>
      <c r="D75" s="3">
        <v>5.32</v>
      </c>
      <c r="E75" s="3">
        <v>28.93</v>
      </c>
      <c r="F75" s="3">
        <v>72.97</v>
      </c>
      <c r="G75" s="3">
        <v>6.23</v>
      </c>
      <c r="H75" s="3">
        <v>21</v>
      </c>
      <c r="I75" s="3">
        <v>42.42</v>
      </c>
      <c r="J75" s="3">
        <v>7.31</v>
      </c>
      <c r="K75" s="3">
        <v>30.94</v>
      </c>
      <c r="L75" s="3">
        <v>72.459999999999994</v>
      </c>
      <c r="M75" s="3">
        <v>5.46</v>
      </c>
    </row>
    <row r="76" spans="2:13" x14ac:dyDescent="0.3">
      <c r="B76" s="4">
        <v>10.41</v>
      </c>
      <c r="C76" s="4">
        <v>21.22</v>
      </c>
      <c r="D76" s="4">
        <v>9.85</v>
      </c>
      <c r="E76" s="4">
        <v>10.41</v>
      </c>
      <c r="F76" s="4">
        <v>21.22</v>
      </c>
      <c r="G76" s="4">
        <v>9.85</v>
      </c>
      <c r="H76" s="4">
        <v>10.41</v>
      </c>
      <c r="I76" s="4">
        <v>21.22</v>
      </c>
      <c r="J76" s="4">
        <v>9.85</v>
      </c>
      <c r="K76" s="4">
        <v>14.01</v>
      </c>
      <c r="L76" s="4">
        <v>19.71</v>
      </c>
      <c r="M76" s="4">
        <v>9.08</v>
      </c>
    </row>
    <row r="77" spans="2:13" x14ac:dyDescent="0.3">
      <c r="B77" s="3">
        <v>20.56</v>
      </c>
      <c r="C77" s="3">
        <v>89.68</v>
      </c>
      <c r="D77" s="3">
        <v>7.67</v>
      </c>
      <c r="E77" s="3">
        <v>21.37</v>
      </c>
      <c r="F77" s="3">
        <v>102.72</v>
      </c>
      <c r="G77" s="3">
        <v>7.78</v>
      </c>
      <c r="H77" s="3">
        <v>19.54</v>
      </c>
      <c r="I77" s="3">
        <v>95.33</v>
      </c>
      <c r="J77" s="3">
        <v>8.0299999999999994</v>
      </c>
      <c r="K77" s="3">
        <v>20.8</v>
      </c>
      <c r="L77" s="3">
        <v>102.91</v>
      </c>
      <c r="M77" s="3">
        <v>7.88</v>
      </c>
    </row>
    <row r="78" spans="2:13" x14ac:dyDescent="0.3">
      <c r="B78" s="4">
        <v>17.41</v>
      </c>
      <c r="C78" s="4">
        <v>109.98</v>
      </c>
      <c r="D78" s="4">
        <v>7.14</v>
      </c>
      <c r="E78" s="4">
        <v>22.43</v>
      </c>
      <c r="F78" s="4">
        <v>87.25</v>
      </c>
      <c r="G78" s="4">
        <v>6.82</v>
      </c>
      <c r="H78" s="4">
        <v>21.16</v>
      </c>
      <c r="I78" s="4">
        <v>73.05</v>
      </c>
      <c r="J78" s="4">
        <v>6.52</v>
      </c>
      <c r="K78" s="4">
        <v>19.62</v>
      </c>
      <c r="L78" s="4">
        <v>79.87</v>
      </c>
      <c r="M78" s="4">
        <v>7</v>
      </c>
    </row>
    <row r="79" spans="2:13" x14ac:dyDescent="0.3">
      <c r="B79" s="3">
        <v>12.92</v>
      </c>
      <c r="C79" s="3">
        <v>49.68</v>
      </c>
      <c r="D79" s="3">
        <v>7.92</v>
      </c>
      <c r="E79" s="3">
        <v>20.28</v>
      </c>
      <c r="F79" s="3">
        <v>88.98</v>
      </c>
      <c r="G79" s="3">
        <v>6.6</v>
      </c>
      <c r="H79" s="3">
        <v>21.86</v>
      </c>
      <c r="I79" s="3">
        <v>81.13</v>
      </c>
      <c r="J79" s="3">
        <v>6.15</v>
      </c>
      <c r="K79" s="3">
        <v>20</v>
      </c>
      <c r="L79" s="3">
        <v>102.59</v>
      </c>
      <c r="M79" s="3">
        <v>6.56</v>
      </c>
    </row>
    <row r="80" spans="2:13" x14ac:dyDescent="0.3">
      <c r="B80" s="4">
        <v>41.88</v>
      </c>
      <c r="C80" s="4">
        <v>156.02000000000001</v>
      </c>
      <c r="D80" s="4">
        <v>4.12</v>
      </c>
      <c r="E80" s="4">
        <v>39.049999999999997</v>
      </c>
      <c r="F80" s="4">
        <v>147.85</v>
      </c>
      <c r="G80" s="4">
        <v>4.16</v>
      </c>
      <c r="H80" s="4">
        <v>39.72</v>
      </c>
      <c r="I80" s="4">
        <v>140.72999999999999</v>
      </c>
      <c r="J80" s="4">
        <v>4.2</v>
      </c>
      <c r="K80" s="4">
        <v>37.72</v>
      </c>
      <c r="L80" s="4">
        <v>140.47999999999999</v>
      </c>
      <c r="M80" s="4">
        <v>4.24</v>
      </c>
    </row>
    <row r="82" spans="1:13" x14ac:dyDescent="0.3">
      <c r="A82" s="5" t="s">
        <v>42</v>
      </c>
      <c r="B82" s="5">
        <f>AVERAGE(B57:B80)</f>
        <v>25.78416666666666</v>
      </c>
      <c r="C82" s="5">
        <f t="shared" ref="C82:M82" si="2">AVERAGE(C57:C80)</f>
        <v>98.585833333333312</v>
      </c>
      <c r="D82" s="5">
        <f t="shared" si="2"/>
        <v>6.5612499999999985</v>
      </c>
      <c r="E82" s="5">
        <f t="shared" si="2"/>
        <v>26.410833333333326</v>
      </c>
      <c r="F82" s="5">
        <f t="shared" si="2"/>
        <v>98.214999999999989</v>
      </c>
      <c r="G82" s="5">
        <f t="shared" si="2"/>
        <v>6.4212500000000006</v>
      </c>
      <c r="H82" s="5">
        <f t="shared" si="2"/>
        <v>26.575416666666666</v>
      </c>
      <c r="I82" s="5">
        <f t="shared" si="2"/>
        <v>92.837083333333354</v>
      </c>
      <c r="J82" s="5">
        <f t="shared" si="2"/>
        <v>6.3575000000000008</v>
      </c>
      <c r="K82" s="5">
        <f t="shared" si="2"/>
        <v>26.327499999999997</v>
      </c>
      <c r="L82" s="5">
        <f t="shared" si="2"/>
        <v>96.433333333333351</v>
      </c>
      <c r="M82" s="5">
        <f t="shared" si="2"/>
        <v>6.4704166666666678</v>
      </c>
    </row>
    <row r="83" spans="1:13" x14ac:dyDescent="0.3">
      <c r="A83" s="5" t="s">
        <v>35</v>
      </c>
      <c r="B83" s="5">
        <f>AVERAGE(B82,E82,H82,K82)</f>
        <v>26.274479166666662</v>
      </c>
      <c r="C83" s="5">
        <f t="shared" ref="C83" si="3">AVERAGE(C82,F82,I82,L82)</f>
        <v>96.517812499999991</v>
      </c>
      <c r="D83" s="5">
        <f t="shared" ref="D83" si="4">AVERAGE(D82,G82,J82,M82)</f>
        <v>6.4526041666666671</v>
      </c>
      <c r="E83" s="5"/>
      <c r="F83" s="5"/>
      <c r="G83" s="5"/>
      <c r="H83" s="5"/>
      <c r="I83" s="5"/>
      <c r="J83" s="5"/>
      <c r="K83" s="5"/>
      <c r="L83" s="5"/>
      <c r="M83" s="5"/>
    </row>
    <row r="85" spans="1:13" x14ac:dyDescent="0.3">
      <c r="A85" t="s">
        <v>28</v>
      </c>
      <c r="B85" s="3">
        <v>12.38</v>
      </c>
      <c r="C85" s="3">
        <v>65.16</v>
      </c>
      <c r="D85" s="3">
        <v>8.35</v>
      </c>
      <c r="E85" s="3">
        <v>13.17</v>
      </c>
      <c r="F85" s="3">
        <v>72.75</v>
      </c>
      <c r="G85" s="3">
        <v>7.9</v>
      </c>
      <c r="H85" s="3">
        <v>16.71</v>
      </c>
      <c r="I85" s="3">
        <v>102.53</v>
      </c>
      <c r="J85" s="3">
        <v>7.53</v>
      </c>
      <c r="K85" s="3">
        <v>13.35</v>
      </c>
      <c r="L85" s="3">
        <v>72.33</v>
      </c>
      <c r="M85" s="3">
        <v>7.61</v>
      </c>
    </row>
    <row r="86" spans="1:13" x14ac:dyDescent="0.3">
      <c r="B86" s="4">
        <v>28.92</v>
      </c>
      <c r="C86" s="4">
        <v>109.78</v>
      </c>
      <c r="D86" s="4">
        <v>5.77</v>
      </c>
      <c r="E86" s="4">
        <v>23.72</v>
      </c>
      <c r="F86" s="4">
        <v>123.33</v>
      </c>
      <c r="G86" s="4">
        <v>6.05</v>
      </c>
      <c r="H86" s="4">
        <v>21.9</v>
      </c>
      <c r="I86" s="4">
        <v>115.98</v>
      </c>
      <c r="J86" s="4">
        <v>6.09</v>
      </c>
      <c r="K86" s="4">
        <v>25.44</v>
      </c>
      <c r="L86" s="4">
        <v>110.26</v>
      </c>
      <c r="M86" s="4">
        <v>6.06</v>
      </c>
    </row>
    <row r="87" spans="1:13" x14ac:dyDescent="0.3">
      <c r="B87" s="3">
        <v>28.14</v>
      </c>
      <c r="C87" s="3">
        <v>72.260000000000005</v>
      </c>
      <c r="D87" s="3">
        <v>5.44</v>
      </c>
      <c r="E87" s="3">
        <v>22.5</v>
      </c>
      <c r="F87" s="3">
        <v>79.760000000000005</v>
      </c>
      <c r="G87" s="3">
        <v>5.79</v>
      </c>
      <c r="H87" s="3">
        <v>27.43</v>
      </c>
      <c r="I87" s="3">
        <v>88.46</v>
      </c>
      <c r="J87" s="3">
        <v>5.36</v>
      </c>
      <c r="K87" s="3">
        <v>26.63</v>
      </c>
      <c r="L87" s="3">
        <v>79.760000000000005</v>
      </c>
      <c r="M87" s="3">
        <v>5.53</v>
      </c>
    </row>
    <row r="88" spans="1:13" x14ac:dyDescent="0.3">
      <c r="B88" s="4">
        <v>31.97</v>
      </c>
      <c r="C88" s="4">
        <v>72.38</v>
      </c>
      <c r="D88" s="4">
        <v>5.57</v>
      </c>
      <c r="E88" s="4">
        <v>27.93</v>
      </c>
      <c r="F88" s="4">
        <v>93.27</v>
      </c>
      <c r="G88" s="4">
        <v>5.83</v>
      </c>
      <c r="H88" s="4">
        <v>29.9</v>
      </c>
      <c r="I88" s="4">
        <v>85.8</v>
      </c>
      <c r="J88" s="4">
        <v>5.49</v>
      </c>
      <c r="K88" s="4">
        <v>32.99</v>
      </c>
      <c r="L88" s="4">
        <v>86.01</v>
      </c>
      <c r="M88" s="4">
        <v>5.55</v>
      </c>
    </row>
    <row r="89" spans="1:13" x14ac:dyDescent="0.3">
      <c r="B89" s="3">
        <v>31.74</v>
      </c>
      <c r="C89" s="3">
        <v>78.31</v>
      </c>
      <c r="D89" s="3">
        <v>5.45</v>
      </c>
      <c r="E89" s="3">
        <v>24.74</v>
      </c>
      <c r="F89" s="3">
        <v>55.77</v>
      </c>
      <c r="G89" s="3">
        <v>6.4</v>
      </c>
      <c r="H89" s="3">
        <v>29.88</v>
      </c>
      <c r="I89" s="3">
        <v>78.23</v>
      </c>
      <c r="J89" s="3">
        <v>5.73</v>
      </c>
      <c r="K89" s="3">
        <v>29.23</v>
      </c>
      <c r="L89" s="3">
        <v>64.97</v>
      </c>
      <c r="M89" s="3">
        <v>5.67</v>
      </c>
    </row>
    <row r="90" spans="1:13" x14ac:dyDescent="0.3">
      <c r="B90" s="4">
        <v>14.45</v>
      </c>
      <c r="C90" s="4">
        <v>32.92</v>
      </c>
      <c r="D90" s="4">
        <v>7.9</v>
      </c>
      <c r="E90" s="4">
        <v>14.72</v>
      </c>
      <c r="F90" s="4">
        <v>33.270000000000003</v>
      </c>
      <c r="G90" s="4">
        <v>8.2799999999999994</v>
      </c>
      <c r="H90" s="4">
        <v>15.29</v>
      </c>
      <c r="I90" s="4">
        <v>34.909999999999997</v>
      </c>
      <c r="J90" s="4">
        <v>7.71</v>
      </c>
      <c r="K90" s="4">
        <v>24.26</v>
      </c>
      <c r="L90" s="4">
        <v>78.599999999999994</v>
      </c>
      <c r="M90" s="4">
        <v>6.2</v>
      </c>
    </row>
    <row r="91" spans="1:13" x14ac:dyDescent="0.3">
      <c r="B91" s="3">
        <v>20.3</v>
      </c>
      <c r="C91" s="3">
        <v>49.78</v>
      </c>
      <c r="D91" s="3">
        <v>6.46</v>
      </c>
      <c r="E91" s="3">
        <v>23.26</v>
      </c>
      <c r="F91" s="3">
        <v>42.26</v>
      </c>
      <c r="G91" s="3">
        <v>7.09</v>
      </c>
      <c r="H91" s="3">
        <v>16.75</v>
      </c>
      <c r="I91" s="3">
        <v>48.28</v>
      </c>
      <c r="J91" s="3">
        <v>7.4</v>
      </c>
      <c r="K91" s="3">
        <v>13.16</v>
      </c>
      <c r="L91" s="3">
        <v>40.74</v>
      </c>
      <c r="M91" s="3">
        <v>8.3000000000000007</v>
      </c>
    </row>
    <row r="92" spans="1:13" x14ac:dyDescent="0.3">
      <c r="B92" s="4">
        <v>6.57</v>
      </c>
      <c r="C92" s="4">
        <v>16.5</v>
      </c>
      <c r="D92" s="4">
        <v>10.33</v>
      </c>
      <c r="E92" s="4">
        <v>7</v>
      </c>
      <c r="F92" s="4">
        <v>16.48</v>
      </c>
      <c r="G92" s="4">
        <v>10.28</v>
      </c>
      <c r="H92" s="4">
        <v>14.49</v>
      </c>
      <c r="I92" s="4">
        <v>34.74</v>
      </c>
      <c r="J92" s="4">
        <v>8.48</v>
      </c>
      <c r="K92" s="4">
        <v>6.34</v>
      </c>
      <c r="L92" s="4">
        <v>16.48</v>
      </c>
      <c r="M92" s="4">
        <v>10.28</v>
      </c>
    </row>
    <row r="93" spans="1:13" x14ac:dyDescent="0.3">
      <c r="B93" s="3">
        <v>13.81</v>
      </c>
      <c r="C93" s="3">
        <v>57.6</v>
      </c>
      <c r="D93" s="3">
        <v>8.42</v>
      </c>
      <c r="E93" s="3">
        <v>12.69</v>
      </c>
      <c r="F93" s="3">
        <v>58.55</v>
      </c>
      <c r="G93" s="3">
        <v>8.49</v>
      </c>
      <c r="H93" s="3">
        <v>14.04</v>
      </c>
      <c r="I93" s="3">
        <v>57.44</v>
      </c>
      <c r="J93" s="3">
        <v>8.6199999999999992</v>
      </c>
      <c r="K93" s="3">
        <v>15.52</v>
      </c>
      <c r="L93" s="3">
        <v>72.64</v>
      </c>
      <c r="M93" s="3">
        <v>7.9</v>
      </c>
    </row>
    <row r="94" spans="1:13" x14ac:dyDescent="0.3">
      <c r="B94" s="4">
        <v>15.2</v>
      </c>
      <c r="C94" s="4">
        <v>72.31</v>
      </c>
      <c r="D94" s="4">
        <v>7.85</v>
      </c>
      <c r="E94" s="4">
        <v>16.25</v>
      </c>
      <c r="F94" s="4">
        <v>72.28</v>
      </c>
      <c r="G94" s="4">
        <v>7.81</v>
      </c>
      <c r="H94" s="4">
        <v>16.98</v>
      </c>
      <c r="I94" s="4">
        <v>64.72</v>
      </c>
      <c r="J94" s="4">
        <v>7.78</v>
      </c>
      <c r="K94" s="4">
        <v>18.97</v>
      </c>
      <c r="L94" s="4">
        <v>79.84</v>
      </c>
      <c r="M94" s="4">
        <v>7.61</v>
      </c>
    </row>
    <row r="95" spans="1:13" x14ac:dyDescent="0.3">
      <c r="B95" s="3">
        <v>15.61</v>
      </c>
      <c r="C95" s="3">
        <v>64.819999999999993</v>
      </c>
      <c r="D95" s="3">
        <v>7.34</v>
      </c>
      <c r="E95" s="3">
        <v>15.6</v>
      </c>
      <c r="F95" s="3">
        <v>57.24</v>
      </c>
      <c r="G95" s="3">
        <v>7.45</v>
      </c>
      <c r="H95" s="3">
        <v>18.059999999999999</v>
      </c>
      <c r="I95" s="3">
        <v>42.49</v>
      </c>
      <c r="J95" s="3">
        <v>7.14</v>
      </c>
      <c r="K95" s="3">
        <v>19.690000000000001</v>
      </c>
      <c r="L95" s="3">
        <v>49.9</v>
      </c>
      <c r="M95" s="3">
        <v>6.59</v>
      </c>
    </row>
    <row r="96" spans="1:13" x14ac:dyDescent="0.3">
      <c r="B96" s="4">
        <v>34.69</v>
      </c>
      <c r="C96" s="4">
        <v>102.7</v>
      </c>
      <c r="D96" s="4">
        <v>4.3</v>
      </c>
      <c r="E96" s="4">
        <v>37.25</v>
      </c>
      <c r="F96" s="4">
        <v>102.78</v>
      </c>
      <c r="G96" s="4">
        <v>4.5</v>
      </c>
      <c r="H96" s="4">
        <v>49.42</v>
      </c>
      <c r="I96" s="4">
        <v>110.38</v>
      </c>
      <c r="J96" s="4">
        <v>4.09</v>
      </c>
      <c r="K96" s="4">
        <v>34.07</v>
      </c>
      <c r="L96" s="4">
        <v>87.08</v>
      </c>
      <c r="M96" s="4">
        <v>4.5199999999999996</v>
      </c>
    </row>
    <row r="97" spans="1:13" x14ac:dyDescent="0.3">
      <c r="B97" s="3">
        <v>10.47</v>
      </c>
      <c r="C97" s="3">
        <v>57.84</v>
      </c>
      <c r="D97" s="3">
        <v>8.41</v>
      </c>
      <c r="E97" s="3">
        <v>10.49</v>
      </c>
      <c r="F97" s="3">
        <v>65.11</v>
      </c>
      <c r="G97" s="3">
        <v>8.31</v>
      </c>
      <c r="H97" s="3">
        <v>12.64</v>
      </c>
      <c r="I97" s="3">
        <v>102.52</v>
      </c>
      <c r="J97" s="3">
        <v>7.67</v>
      </c>
      <c r="K97" s="3">
        <v>11.45</v>
      </c>
      <c r="L97" s="3">
        <v>72.56</v>
      </c>
      <c r="M97" s="3">
        <v>7.94</v>
      </c>
    </row>
    <row r="98" spans="1:13" x14ac:dyDescent="0.3">
      <c r="B98" s="4">
        <v>29.35</v>
      </c>
      <c r="C98" s="4">
        <v>123.22</v>
      </c>
      <c r="D98" s="4">
        <v>5.72</v>
      </c>
      <c r="E98" s="4">
        <v>21.41</v>
      </c>
      <c r="F98" s="4">
        <v>109.78</v>
      </c>
      <c r="G98" s="4">
        <v>5.98</v>
      </c>
      <c r="H98" s="4">
        <v>18.97</v>
      </c>
      <c r="I98" s="4">
        <v>109.98</v>
      </c>
      <c r="J98" s="4">
        <v>5.84</v>
      </c>
      <c r="K98" s="4">
        <v>22.43</v>
      </c>
      <c r="L98" s="4">
        <v>109.79</v>
      </c>
      <c r="M98" s="4">
        <v>5.91</v>
      </c>
    </row>
    <row r="99" spans="1:13" x14ac:dyDescent="0.3">
      <c r="B99" s="3">
        <v>27.87</v>
      </c>
      <c r="C99" s="3">
        <v>72.27</v>
      </c>
      <c r="D99" s="3">
        <v>4.24</v>
      </c>
      <c r="E99" s="3">
        <v>23.91</v>
      </c>
      <c r="F99" s="3">
        <v>79.790000000000006</v>
      </c>
      <c r="G99" s="3">
        <v>4.91</v>
      </c>
      <c r="H99" s="3">
        <v>26.11</v>
      </c>
      <c r="I99" s="3">
        <v>87.23</v>
      </c>
      <c r="J99" s="3">
        <v>5.07</v>
      </c>
      <c r="K99" s="3">
        <v>26.01</v>
      </c>
      <c r="L99" s="3">
        <v>72.31</v>
      </c>
      <c r="M99" s="3">
        <v>4.16</v>
      </c>
    </row>
    <row r="100" spans="1:13" x14ac:dyDescent="0.3">
      <c r="B100" s="4">
        <v>29.4</v>
      </c>
      <c r="C100" s="4">
        <v>70.849999999999994</v>
      </c>
      <c r="D100" s="4">
        <v>5.4</v>
      </c>
      <c r="E100" s="4">
        <v>28.46</v>
      </c>
      <c r="F100" s="4">
        <v>94.76</v>
      </c>
      <c r="G100" s="4">
        <v>5.5</v>
      </c>
      <c r="H100" s="4">
        <v>33.67</v>
      </c>
      <c r="I100" s="4">
        <v>79.87</v>
      </c>
      <c r="J100" s="4">
        <v>4.83</v>
      </c>
      <c r="K100" s="4">
        <v>33.549999999999997</v>
      </c>
      <c r="L100" s="4">
        <v>87.67</v>
      </c>
      <c r="M100" s="4">
        <v>5.05</v>
      </c>
    </row>
    <row r="101" spans="1:13" x14ac:dyDescent="0.3">
      <c r="B101" s="3">
        <v>30.28</v>
      </c>
      <c r="C101" s="3">
        <v>72.510000000000005</v>
      </c>
      <c r="D101" s="3">
        <v>5.51</v>
      </c>
      <c r="E101" s="3">
        <v>17.32</v>
      </c>
      <c r="F101" s="3">
        <v>34.72</v>
      </c>
      <c r="G101" s="3">
        <v>7.23</v>
      </c>
      <c r="H101" s="3">
        <v>27.59</v>
      </c>
      <c r="I101" s="3">
        <v>57.57</v>
      </c>
      <c r="J101" s="3">
        <v>6.09</v>
      </c>
      <c r="K101" s="3">
        <v>27.16</v>
      </c>
      <c r="L101" s="3">
        <v>78.290000000000006</v>
      </c>
      <c r="M101" s="3">
        <v>5.6</v>
      </c>
    </row>
    <row r="102" spans="1:13" x14ac:dyDescent="0.3">
      <c r="B102" s="4">
        <v>15.63</v>
      </c>
      <c r="C102" s="4">
        <v>27.31</v>
      </c>
      <c r="D102" s="4">
        <v>7.6</v>
      </c>
      <c r="E102" s="4">
        <v>13.3</v>
      </c>
      <c r="F102" s="4">
        <v>33.06</v>
      </c>
      <c r="G102" s="4">
        <v>8.19</v>
      </c>
      <c r="H102" s="4">
        <v>11.84</v>
      </c>
      <c r="I102" s="4">
        <v>40.840000000000003</v>
      </c>
      <c r="J102" s="4">
        <v>7.86</v>
      </c>
      <c r="K102" s="4">
        <v>27.74</v>
      </c>
      <c r="L102" s="4">
        <v>72.7</v>
      </c>
      <c r="M102" s="4">
        <v>5.13</v>
      </c>
    </row>
    <row r="103" spans="1:13" x14ac:dyDescent="0.3">
      <c r="B103" s="3">
        <v>21.03</v>
      </c>
      <c r="C103" s="3">
        <v>63.29</v>
      </c>
      <c r="D103" s="3">
        <v>5.82</v>
      </c>
      <c r="E103" s="3">
        <v>40.229999999999997</v>
      </c>
      <c r="F103" s="3">
        <v>48.26</v>
      </c>
      <c r="G103" s="3">
        <v>4.53</v>
      </c>
      <c r="H103" s="3">
        <v>20.9</v>
      </c>
      <c r="I103" s="3">
        <v>48.07</v>
      </c>
      <c r="J103" s="3">
        <v>6.46</v>
      </c>
      <c r="K103" s="3">
        <v>11.21</v>
      </c>
      <c r="L103" s="3">
        <v>27.26</v>
      </c>
      <c r="M103" s="3">
        <v>8.9600000000000009</v>
      </c>
    </row>
    <row r="104" spans="1:13" x14ac:dyDescent="0.3">
      <c r="B104" s="4">
        <v>3.24</v>
      </c>
      <c r="C104" s="4">
        <v>12.25</v>
      </c>
      <c r="D104" s="4">
        <v>12.16</v>
      </c>
      <c r="E104" s="4">
        <v>4.3899999999999997</v>
      </c>
      <c r="F104" s="4">
        <v>3.98</v>
      </c>
      <c r="G104" s="4">
        <v>11.79</v>
      </c>
      <c r="H104" s="4">
        <v>9.32</v>
      </c>
      <c r="I104" s="4">
        <v>19.8</v>
      </c>
      <c r="J104" s="4">
        <v>9.3000000000000007</v>
      </c>
      <c r="K104" s="4">
        <v>8.66</v>
      </c>
      <c r="L104" s="4">
        <v>19.91</v>
      </c>
      <c r="M104" s="4">
        <v>9.98</v>
      </c>
    </row>
    <row r="105" spans="1:13" x14ac:dyDescent="0.3">
      <c r="B105" s="3">
        <v>12.4</v>
      </c>
      <c r="C105" s="3">
        <v>51.22</v>
      </c>
      <c r="D105" s="3">
        <v>8.4499999999999993</v>
      </c>
      <c r="E105" s="3">
        <v>13.24</v>
      </c>
      <c r="F105" s="3">
        <v>64.819999999999993</v>
      </c>
      <c r="G105" s="3">
        <v>8.41</v>
      </c>
      <c r="H105" s="3">
        <v>12.03</v>
      </c>
      <c r="I105" s="3">
        <v>57.74</v>
      </c>
      <c r="J105" s="3">
        <v>8.73</v>
      </c>
      <c r="K105" s="3">
        <v>13.92</v>
      </c>
      <c r="L105" s="3">
        <v>64.959999999999994</v>
      </c>
      <c r="M105" s="3">
        <v>8.24</v>
      </c>
    </row>
    <row r="106" spans="1:13" x14ac:dyDescent="0.3">
      <c r="B106" s="4">
        <v>15.42</v>
      </c>
      <c r="C106" s="4">
        <v>66.08</v>
      </c>
      <c r="D106" s="4">
        <v>7.1</v>
      </c>
      <c r="E106" s="4">
        <v>16.95</v>
      </c>
      <c r="F106" s="4">
        <v>72.2</v>
      </c>
      <c r="G106" s="4">
        <v>7.46</v>
      </c>
      <c r="H106" s="4">
        <v>19.579999999999998</v>
      </c>
      <c r="I106" s="4">
        <v>72.34</v>
      </c>
      <c r="J106" s="4">
        <v>7.22</v>
      </c>
      <c r="K106" s="4">
        <v>23.89</v>
      </c>
      <c r="L106" s="4">
        <v>72.319999999999993</v>
      </c>
      <c r="M106" s="4">
        <v>7.01</v>
      </c>
    </row>
    <row r="107" spans="1:13" x14ac:dyDescent="0.3">
      <c r="B107" s="3">
        <v>15.68</v>
      </c>
      <c r="C107" s="3">
        <v>57.26</v>
      </c>
      <c r="D107" s="3">
        <v>6.9</v>
      </c>
      <c r="E107" s="3">
        <v>15.83</v>
      </c>
      <c r="F107" s="3">
        <v>49.83</v>
      </c>
      <c r="G107" s="3">
        <v>6.72</v>
      </c>
      <c r="H107" s="3">
        <v>20.75</v>
      </c>
      <c r="I107" s="3">
        <v>49.94</v>
      </c>
      <c r="J107" s="3">
        <v>5.98</v>
      </c>
      <c r="K107" s="3">
        <v>20.86</v>
      </c>
      <c r="L107" s="3">
        <v>49.8</v>
      </c>
      <c r="M107" s="3">
        <v>6.47</v>
      </c>
    </row>
    <row r="108" spans="1:13" x14ac:dyDescent="0.3">
      <c r="B108" s="4">
        <v>37.020000000000003</v>
      </c>
      <c r="C108" s="4">
        <v>110.36</v>
      </c>
      <c r="D108" s="4">
        <v>4.1100000000000003</v>
      </c>
      <c r="E108" s="4">
        <v>42.22</v>
      </c>
      <c r="F108" s="4">
        <v>110.7</v>
      </c>
      <c r="G108" s="4">
        <v>3.93</v>
      </c>
      <c r="H108" s="4">
        <v>45.34</v>
      </c>
      <c r="I108" s="4">
        <v>110.5</v>
      </c>
      <c r="J108" s="4">
        <v>4.1500000000000004</v>
      </c>
      <c r="K108" s="4">
        <v>34.21</v>
      </c>
      <c r="L108" s="4">
        <v>88.03</v>
      </c>
      <c r="M108" s="4">
        <v>4.22</v>
      </c>
    </row>
    <row r="110" spans="1:13" x14ac:dyDescent="0.3">
      <c r="A110" s="5" t="s">
        <v>42</v>
      </c>
      <c r="B110" s="5">
        <f>AVERAGE(B85:B108)</f>
        <v>20.898749999999996</v>
      </c>
      <c r="C110" s="5">
        <f t="shared" ref="C110:M110" si="5">AVERAGE(C85:C108)</f>
        <v>65.790833333333325</v>
      </c>
      <c r="D110" s="5">
        <f t="shared" si="5"/>
        <v>6.8583333333333334</v>
      </c>
      <c r="E110" s="5">
        <f t="shared" si="5"/>
        <v>20.27416666666667</v>
      </c>
      <c r="F110" s="5">
        <f t="shared" si="5"/>
        <v>65.614583333333329</v>
      </c>
      <c r="G110" s="5">
        <f t="shared" si="5"/>
        <v>7.0345833333333339</v>
      </c>
      <c r="H110" s="5">
        <f t="shared" si="5"/>
        <v>22.066249999999993</v>
      </c>
      <c r="I110" s="5">
        <f t="shared" si="5"/>
        <v>70.848333333333315</v>
      </c>
      <c r="J110" s="5">
        <f t="shared" si="5"/>
        <v>6.692499999999999</v>
      </c>
      <c r="K110" s="5">
        <f t="shared" si="5"/>
        <v>21.697500000000005</v>
      </c>
      <c r="L110" s="5">
        <f t="shared" si="5"/>
        <v>68.925416666666663</v>
      </c>
      <c r="M110" s="5">
        <f t="shared" si="5"/>
        <v>6.6870833333333328</v>
      </c>
    </row>
    <row r="111" spans="1:13" x14ac:dyDescent="0.3">
      <c r="A111" s="5" t="s">
        <v>35</v>
      </c>
      <c r="B111" s="5">
        <f>AVERAGE(B110,E110,H110,K110)</f>
        <v>21.234166666666667</v>
      </c>
      <c r="C111" s="5">
        <f t="shared" ref="C111" si="6">AVERAGE(C110,F110,I110,L110)</f>
        <v>67.794791666666654</v>
      </c>
      <c r="D111" s="5">
        <f t="shared" ref="D111" si="7">AVERAGE(D110,G110,J110,M110)</f>
        <v>6.8181250000000002</v>
      </c>
      <c r="E111" s="5"/>
      <c r="F111" s="5"/>
      <c r="G111" s="5"/>
      <c r="H111" s="5"/>
      <c r="I111" s="5"/>
      <c r="J111" s="5"/>
      <c r="K111" s="5"/>
      <c r="L111" s="5"/>
      <c r="M111" s="5"/>
    </row>
    <row r="113" spans="1:13" x14ac:dyDescent="0.3">
      <c r="B113" s="38" t="s">
        <v>29</v>
      </c>
      <c r="C113" s="38"/>
      <c r="D113" s="38"/>
      <c r="E113" s="38"/>
    </row>
    <row r="115" spans="1:13" x14ac:dyDescent="0.3">
      <c r="B115" s="39" t="s">
        <v>17</v>
      </c>
      <c r="C115" s="39"/>
      <c r="D115" s="39"/>
      <c r="E115" s="40" t="s">
        <v>18</v>
      </c>
      <c r="F115" s="40"/>
      <c r="G115" s="40"/>
      <c r="H115" s="41" t="s">
        <v>19</v>
      </c>
      <c r="I115" s="41"/>
      <c r="J115" s="41"/>
      <c r="K115" s="42" t="s">
        <v>20</v>
      </c>
      <c r="L115" s="42"/>
      <c r="M115" s="42"/>
    </row>
    <row r="116" spans="1:13" x14ac:dyDescent="0.3">
      <c r="B116" s="1" t="s">
        <v>21</v>
      </c>
      <c r="C116" s="1" t="s">
        <v>22</v>
      </c>
      <c r="D116" s="1" t="s">
        <v>23</v>
      </c>
      <c r="E116" s="1" t="s">
        <v>21</v>
      </c>
      <c r="F116" s="1" t="s">
        <v>22</v>
      </c>
      <c r="G116" s="1" t="s">
        <v>23</v>
      </c>
      <c r="H116" s="1" t="s">
        <v>21</v>
      </c>
      <c r="I116" s="1" t="s">
        <v>22</v>
      </c>
      <c r="J116" s="1" t="s">
        <v>23</v>
      </c>
      <c r="K116" s="1" t="s">
        <v>21</v>
      </c>
      <c r="L116" s="1" t="s">
        <v>22</v>
      </c>
      <c r="M116" s="1" t="s">
        <v>23</v>
      </c>
    </row>
    <row r="117" spans="1:13" x14ac:dyDescent="0.3">
      <c r="A117" t="s">
        <v>27</v>
      </c>
      <c r="B117" s="3">
        <v>8.94</v>
      </c>
      <c r="C117" s="3">
        <v>95.23</v>
      </c>
      <c r="D117" s="3">
        <v>8.8699999999999992</v>
      </c>
      <c r="E117" s="3">
        <v>9.23</v>
      </c>
      <c r="F117" s="3">
        <v>87.84</v>
      </c>
      <c r="G117" s="3">
        <v>9.6300000000000008</v>
      </c>
      <c r="H117" s="3">
        <v>9.2799999999999994</v>
      </c>
      <c r="I117" s="3">
        <v>89.25</v>
      </c>
      <c r="J117" s="3">
        <v>9.5299999999999994</v>
      </c>
      <c r="K117" s="3">
        <v>7.91</v>
      </c>
      <c r="L117" s="3">
        <v>80.94</v>
      </c>
      <c r="M117" s="3">
        <v>9.5500000000000007</v>
      </c>
    </row>
    <row r="118" spans="1:13" x14ac:dyDescent="0.3">
      <c r="B118" s="4">
        <v>36.11</v>
      </c>
      <c r="C118" s="4">
        <v>102.95</v>
      </c>
      <c r="D118" s="4">
        <v>4.91</v>
      </c>
      <c r="E118" s="4">
        <v>33.18</v>
      </c>
      <c r="F118" s="4">
        <v>110.62</v>
      </c>
      <c r="G118" s="4">
        <v>5.13</v>
      </c>
      <c r="H118" s="4">
        <v>30.81</v>
      </c>
      <c r="I118" s="4">
        <v>95.43</v>
      </c>
      <c r="J118" s="4">
        <v>5.74</v>
      </c>
      <c r="K118" s="4">
        <v>26.66</v>
      </c>
      <c r="L118" s="4">
        <v>95.4</v>
      </c>
      <c r="M118" s="4">
        <v>5.67</v>
      </c>
    </row>
    <row r="119" spans="1:13" x14ac:dyDescent="0.3">
      <c r="B119" s="3">
        <v>12.93</v>
      </c>
      <c r="C119" s="3">
        <v>42.39</v>
      </c>
      <c r="D119" s="3">
        <v>8.11</v>
      </c>
      <c r="E119" s="3">
        <v>10.039999999999999</v>
      </c>
      <c r="F119" s="3">
        <v>19.670000000000002</v>
      </c>
      <c r="G119" s="3">
        <v>9.44</v>
      </c>
      <c r="H119" s="3">
        <v>9.82</v>
      </c>
      <c r="I119" s="3">
        <v>27.36</v>
      </c>
      <c r="J119" s="3">
        <v>9.5299999999999994</v>
      </c>
      <c r="K119" s="3">
        <v>11.86</v>
      </c>
      <c r="L119" s="3">
        <v>36.4</v>
      </c>
      <c r="M119" s="3">
        <v>8.7899999999999991</v>
      </c>
    </row>
    <row r="120" spans="1:13" x14ac:dyDescent="0.3">
      <c r="B120" s="4">
        <v>32.369999999999997</v>
      </c>
      <c r="C120" s="4">
        <v>132.65</v>
      </c>
      <c r="D120" s="4">
        <v>5.56</v>
      </c>
      <c r="E120" s="4">
        <v>31.78</v>
      </c>
      <c r="F120" s="4">
        <v>193.44</v>
      </c>
      <c r="G120" s="4">
        <v>5.62</v>
      </c>
      <c r="H120" s="4">
        <v>41.11</v>
      </c>
      <c r="I120" s="4">
        <v>184.8</v>
      </c>
      <c r="J120" s="4">
        <v>4.99</v>
      </c>
      <c r="K120" s="4">
        <v>31.41</v>
      </c>
      <c r="L120" s="4">
        <v>162.30000000000001</v>
      </c>
      <c r="M120" s="4">
        <v>5.27</v>
      </c>
    </row>
    <row r="121" spans="1:13" x14ac:dyDescent="0.3">
      <c r="B121" s="3">
        <v>11.05</v>
      </c>
      <c r="C121" s="3">
        <v>27.5</v>
      </c>
      <c r="D121" s="3">
        <v>9.83</v>
      </c>
      <c r="E121" s="3">
        <v>8.52</v>
      </c>
      <c r="F121" s="3">
        <v>72.73</v>
      </c>
      <c r="G121" s="3">
        <v>10.029999999999999</v>
      </c>
      <c r="H121" s="3">
        <v>9.1</v>
      </c>
      <c r="I121" s="3">
        <v>51.6</v>
      </c>
      <c r="J121" s="3">
        <v>9.9499999999999993</v>
      </c>
      <c r="K121" s="3">
        <v>11.8</v>
      </c>
      <c r="L121" s="3">
        <v>29.41</v>
      </c>
      <c r="M121" s="3">
        <v>9.24</v>
      </c>
    </row>
    <row r="122" spans="1:13" x14ac:dyDescent="0.3">
      <c r="B122" s="4">
        <v>31.33</v>
      </c>
      <c r="C122" s="4">
        <v>102.27</v>
      </c>
      <c r="D122" s="4">
        <v>5.44</v>
      </c>
      <c r="E122" s="4">
        <v>32.15</v>
      </c>
      <c r="F122" s="4">
        <v>105.13</v>
      </c>
      <c r="G122" s="4">
        <v>5.41</v>
      </c>
      <c r="H122" s="4">
        <v>32.909999999999997</v>
      </c>
      <c r="I122" s="4">
        <v>96.75</v>
      </c>
      <c r="J122" s="4">
        <v>5.32</v>
      </c>
      <c r="K122" s="4">
        <v>27</v>
      </c>
      <c r="L122" s="4">
        <v>80.239999999999995</v>
      </c>
      <c r="M122" s="4">
        <v>6.17</v>
      </c>
    </row>
    <row r="123" spans="1:13" x14ac:dyDescent="0.3">
      <c r="B123" s="3">
        <v>12.3</v>
      </c>
      <c r="C123" s="3">
        <v>57.21</v>
      </c>
      <c r="D123" s="3">
        <v>8.2200000000000006</v>
      </c>
      <c r="E123" s="3">
        <v>12.01</v>
      </c>
      <c r="F123" s="3">
        <v>50.23</v>
      </c>
      <c r="G123" s="3">
        <v>8.98</v>
      </c>
      <c r="H123" s="3">
        <v>15</v>
      </c>
      <c r="I123" s="3">
        <v>94.71</v>
      </c>
      <c r="J123" s="3">
        <v>7.76</v>
      </c>
      <c r="K123" s="3">
        <v>13.74</v>
      </c>
      <c r="L123" s="3">
        <v>72.38</v>
      </c>
      <c r="M123" s="3">
        <v>8.11</v>
      </c>
    </row>
    <row r="124" spans="1:13" x14ac:dyDescent="0.3">
      <c r="B124" s="4">
        <v>25.16</v>
      </c>
      <c r="C124" s="4">
        <v>104.89</v>
      </c>
      <c r="D124" s="4">
        <v>5.92</v>
      </c>
      <c r="E124" s="4">
        <v>35.6</v>
      </c>
      <c r="F124" s="4">
        <v>118.23</v>
      </c>
      <c r="G124" s="4">
        <v>5.55</v>
      </c>
      <c r="H124" s="4">
        <v>28.3</v>
      </c>
      <c r="I124" s="4">
        <v>117.37</v>
      </c>
      <c r="J124" s="4">
        <v>5.34</v>
      </c>
      <c r="K124" s="4">
        <v>25.38</v>
      </c>
      <c r="L124" s="4">
        <v>96.6</v>
      </c>
      <c r="M124" s="4">
        <v>5.07</v>
      </c>
    </row>
    <row r="125" spans="1:13" x14ac:dyDescent="0.3">
      <c r="B125" s="3">
        <v>31.07</v>
      </c>
      <c r="C125" s="3">
        <v>94.75</v>
      </c>
      <c r="D125" s="3">
        <v>5.53</v>
      </c>
      <c r="E125" s="3">
        <v>19.37</v>
      </c>
      <c r="F125" s="3">
        <v>72.209999999999994</v>
      </c>
      <c r="G125" s="3">
        <v>7.46</v>
      </c>
      <c r="H125" s="3">
        <v>33.44</v>
      </c>
      <c r="I125" s="3">
        <v>102.25</v>
      </c>
      <c r="J125" s="3">
        <v>5.85</v>
      </c>
      <c r="K125" s="3">
        <v>28.37</v>
      </c>
      <c r="L125" s="3">
        <v>88.27</v>
      </c>
      <c r="M125" s="3">
        <v>6.63</v>
      </c>
    </row>
    <row r="126" spans="1:13" x14ac:dyDescent="0.3">
      <c r="B126" s="4">
        <v>30.09</v>
      </c>
      <c r="C126" s="4">
        <v>140.56</v>
      </c>
      <c r="D126" s="4">
        <v>5.25</v>
      </c>
      <c r="E126" s="4">
        <v>34.93</v>
      </c>
      <c r="F126" s="4">
        <v>139.97999999999999</v>
      </c>
      <c r="G126" s="4">
        <v>5.4</v>
      </c>
      <c r="H126" s="4">
        <v>35.42</v>
      </c>
      <c r="I126" s="4">
        <v>124.9</v>
      </c>
      <c r="J126" s="4">
        <v>5.14</v>
      </c>
      <c r="K126" s="4">
        <v>36.25</v>
      </c>
      <c r="L126" s="4">
        <v>133.22999999999999</v>
      </c>
      <c r="M126" s="4">
        <v>5.27</v>
      </c>
    </row>
    <row r="127" spans="1:13" x14ac:dyDescent="0.3">
      <c r="B127" s="3">
        <v>28.4</v>
      </c>
      <c r="C127" s="3">
        <v>80.349999999999994</v>
      </c>
      <c r="D127" s="3">
        <v>5.79</v>
      </c>
      <c r="E127" s="3">
        <v>28.31</v>
      </c>
      <c r="F127" s="3">
        <v>87.21</v>
      </c>
      <c r="G127" s="3">
        <v>6.16</v>
      </c>
      <c r="H127" s="3">
        <v>33.72</v>
      </c>
      <c r="I127" s="3">
        <v>117.22</v>
      </c>
      <c r="J127" s="3">
        <v>5.49</v>
      </c>
      <c r="K127" s="3">
        <v>24.22</v>
      </c>
      <c r="L127" s="3">
        <v>72.510000000000005</v>
      </c>
      <c r="M127" s="3">
        <v>6.69</v>
      </c>
    </row>
    <row r="128" spans="1:13" x14ac:dyDescent="0.3">
      <c r="B128" s="4">
        <v>27.76</v>
      </c>
      <c r="C128" s="4">
        <v>124.87</v>
      </c>
      <c r="D128" s="4">
        <v>6.09</v>
      </c>
      <c r="E128" s="4">
        <v>19.95</v>
      </c>
      <c r="F128" s="4">
        <v>117.29</v>
      </c>
      <c r="G128" s="4">
        <v>8</v>
      </c>
      <c r="H128" s="4">
        <v>27.9</v>
      </c>
      <c r="I128" s="4">
        <v>125.27</v>
      </c>
      <c r="J128" s="4">
        <v>6.84</v>
      </c>
      <c r="K128" s="4">
        <v>23.22</v>
      </c>
      <c r="L128" s="4">
        <v>109.94</v>
      </c>
      <c r="M128" s="4">
        <v>7.52</v>
      </c>
    </row>
    <row r="129" spans="1:13" x14ac:dyDescent="0.3">
      <c r="B129" s="3">
        <v>8.27</v>
      </c>
      <c r="C129" s="3">
        <v>102.62</v>
      </c>
      <c r="D129" s="3">
        <v>9.11</v>
      </c>
      <c r="E129" s="3">
        <v>7.45</v>
      </c>
      <c r="F129" s="3">
        <v>80.489999999999995</v>
      </c>
      <c r="G129" s="3">
        <v>9.94</v>
      </c>
      <c r="H129" s="3">
        <v>6.62</v>
      </c>
      <c r="I129" s="3">
        <v>89.37</v>
      </c>
      <c r="J129" s="3">
        <v>10.18</v>
      </c>
      <c r="K129" s="3">
        <v>6.91</v>
      </c>
      <c r="L129" s="3">
        <v>81.31</v>
      </c>
      <c r="M129" s="3">
        <v>10.36</v>
      </c>
    </row>
    <row r="130" spans="1:13" x14ac:dyDescent="0.3">
      <c r="B130" s="4">
        <v>33.520000000000003</v>
      </c>
      <c r="C130" s="4">
        <v>102.78</v>
      </c>
      <c r="D130" s="4">
        <v>4.97</v>
      </c>
      <c r="E130" s="4">
        <v>28.16</v>
      </c>
      <c r="F130" s="4">
        <v>102.72</v>
      </c>
      <c r="G130" s="4">
        <v>5.71</v>
      </c>
      <c r="H130" s="4">
        <v>28.75</v>
      </c>
      <c r="I130" s="4">
        <v>94.91</v>
      </c>
      <c r="J130" s="4">
        <v>6.02</v>
      </c>
      <c r="K130" s="4">
        <v>25.99</v>
      </c>
      <c r="L130" s="4">
        <v>103.03</v>
      </c>
      <c r="M130" s="4">
        <v>5.77</v>
      </c>
    </row>
    <row r="131" spans="1:13" x14ac:dyDescent="0.3">
      <c r="B131" s="3">
        <v>6.84</v>
      </c>
      <c r="C131" s="3">
        <v>19.739999999999998</v>
      </c>
      <c r="D131" s="3">
        <v>9.9700000000000006</v>
      </c>
      <c r="E131" s="3">
        <v>5.07</v>
      </c>
      <c r="F131" s="3">
        <v>19.62</v>
      </c>
      <c r="G131" s="3">
        <v>11.43</v>
      </c>
      <c r="H131" s="3">
        <v>5.33</v>
      </c>
      <c r="I131" s="3">
        <v>4.45</v>
      </c>
      <c r="J131" s="3">
        <v>10.74</v>
      </c>
      <c r="K131" s="3">
        <v>7.45</v>
      </c>
      <c r="L131" s="3">
        <v>27.22</v>
      </c>
      <c r="M131" s="3">
        <v>10.47</v>
      </c>
    </row>
    <row r="132" spans="1:13" x14ac:dyDescent="0.3">
      <c r="B132" s="4">
        <v>31.67</v>
      </c>
      <c r="C132" s="4">
        <v>140.13</v>
      </c>
      <c r="D132" s="4">
        <v>5.49</v>
      </c>
      <c r="E132" s="4">
        <v>29.39</v>
      </c>
      <c r="F132" s="4">
        <v>163.77000000000001</v>
      </c>
      <c r="G132" s="4">
        <v>5.95</v>
      </c>
      <c r="H132" s="4">
        <v>42.12</v>
      </c>
      <c r="I132" s="4">
        <v>177.17</v>
      </c>
      <c r="J132" s="4">
        <v>4.92</v>
      </c>
      <c r="K132" s="4">
        <v>25.58</v>
      </c>
      <c r="L132" s="4">
        <v>141.08000000000001</v>
      </c>
      <c r="M132" s="4">
        <v>5.47</v>
      </c>
    </row>
    <row r="133" spans="1:13" x14ac:dyDescent="0.3">
      <c r="B133" s="3">
        <v>9.89</v>
      </c>
      <c r="C133" s="3">
        <v>27.53</v>
      </c>
      <c r="D133" s="3">
        <v>10.06</v>
      </c>
      <c r="E133" s="3">
        <v>6.11</v>
      </c>
      <c r="F133" s="3">
        <v>51.25</v>
      </c>
      <c r="G133" s="3">
        <v>10.97</v>
      </c>
      <c r="H133" s="3">
        <v>6.19</v>
      </c>
      <c r="I133" s="3">
        <v>35.01</v>
      </c>
      <c r="J133" s="3">
        <v>10.91</v>
      </c>
      <c r="K133" s="3">
        <v>10.78</v>
      </c>
      <c r="L133" s="3">
        <v>27.23</v>
      </c>
      <c r="M133" s="3">
        <v>9.35</v>
      </c>
    </row>
    <row r="134" spans="1:13" x14ac:dyDescent="0.3">
      <c r="B134" s="4">
        <v>26</v>
      </c>
      <c r="C134" s="4">
        <v>109.72</v>
      </c>
      <c r="D134" s="4">
        <v>6.06</v>
      </c>
      <c r="E134" s="4">
        <v>27.41</v>
      </c>
      <c r="F134" s="4">
        <v>96.44</v>
      </c>
      <c r="G134" s="4">
        <v>5.74</v>
      </c>
      <c r="H134" s="4">
        <v>26.54</v>
      </c>
      <c r="I134" s="4">
        <v>87.28</v>
      </c>
      <c r="J134" s="4">
        <v>5.93</v>
      </c>
      <c r="K134" s="4">
        <v>21.76</v>
      </c>
      <c r="L134" s="4">
        <v>64.8</v>
      </c>
      <c r="M134" s="4">
        <v>6.66</v>
      </c>
    </row>
    <row r="135" spans="1:13" x14ac:dyDescent="0.3">
      <c r="B135" s="3">
        <v>11.15</v>
      </c>
      <c r="C135" s="3">
        <v>49.68</v>
      </c>
      <c r="D135" s="3">
        <v>8.75</v>
      </c>
      <c r="E135" s="3">
        <v>10.039999999999999</v>
      </c>
      <c r="F135" s="3">
        <v>34.75</v>
      </c>
      <c r="G135" s="3">
        <v>9.5299999999999994</v>
      </c>
      <c r="H135" s="3">
        <v>13.56</v>
      </c>
      <c r="I135" s="3">
        <v>79.77</v>
      </c>
      <c r="J135" s="3">
        <v>8.6199999999999992</v>
      </c>
      <c r="K135" s="3">
        <v>14.46</v>
      </c>
      <c r="L135" s="3">
        <v>72.13</v>
      </c>
      <c r="M135" s="3">
        <v>8.36</v>
      </c>
    </row>
    <row r="136" spans="1:13" x14ac:dyDescent="0.3">
      <c r="B136" s="4">
        <v>17.88</v>
      </c>
      <c r="C136" s="4">
        <v>72.099999999999994</v>
      </c>
      <c r="D136" s="4">
        <v>6.84</v>
      </c>
      <c r="E136" s="4">
        <v>26.86</v>
      </c>
      <c r="F136" s="4">
        <v>87.81</v>
      </c>
      <c r="G136" s="4">
        <v>6.61</v>
      </c>
      <c r="H136" s="4">
        <v>22.1</v>
      </c>
      <c r="I136" s="4">
        <v>109.71</v>
      </c>
      <c r="J136" s="4">
        <v>5.99</v>
      </c>
      <c r="K136" s="4">
        <v>19.649999999999999</v>
      </c>
      <c r="L136" s="4">
        <v>87.67</v>
      </c>
      <c r="M136" s="4">
        <v>5.96</v>
      </c>
    </row>
    <row r="137" spans="1:13" x14ac:dyDescent="0.3">
      <c r="B137" s="3">
        <v>28.47</v>
      </c>
      <c r="C137" s="3">
        <v>79.459999999999994</v>
      </c>
      <c r="D137" s="3">
        <v>5.59</v>
      </c>
      <c r="E137" s="3">
        <v>20.11</v>
      </c>
      <c r="F137" s="3">
        <v>64.62</v>
      </c>
      <c r="G137" s="3">
        <v>7.52</v>
      </c>
      <c r="H137" s="3">
        <v>31.89</v>
      </c>
      <c r="I137" s="3">
        <v>94.71</v>
      </c>
      <c r="J137" s="3">
        <v>5.84</v>
      </c>
      <c r="K137" s="3">
        <v>28.59</v>
      </c>
      <c r="L137" s="3">
        <v>87.3</v>
      </c>
      <c r="M137" s="3">
        <v>6.57</v>
      </c>
    </row>
    <row r="138" spans="1:13" x14ac:dyDescent="0.3">
      <c r="B138" s="4">
        <v>22.11</v>
      </c>
      <c r="C138" s="4">
        <v>102.79</v>
      </c>
      <c r="D138" s="4">
        <v>6.49</v>
      </c>
      <c r="E138" s="4">
        <v>27.49</v>
      </c>
      <c r="F138" s="4">
        <v>132.18</v>
      </c>
      <c r="G138" s="4">
        <v>5.96</v>
      </c>
      <c r="H138" s="4">
        <v>25.38</v>
      </c>
      <c r="I138" s="4">
        <v>124.85</v>
      </c>
      <c r="J138" s="4">
        <v>6.04</v>
      </c>
      <c r="K138" s="4">
        <v>29.23</v>
      </c>
      <c r="L138" s="4">
        <v>132.26</v>
      </c>
      <c r="M138" s="4">
        <v>5.9</v>
      </c>
    </row>
    <row r="139" spans="1:13" x14ac:dyDescent="0.3">
      <c r="B139" s="3">
        <v>23.28</v>
      </c>
      <c r="C139" s="3">
        <v>72.319999999999993</v>
      </c>
      <c r="D139" s="3">
        <v>6.29</v>
      </c>
      <c r="E139" s="3">
        <v>21.44</v>
      </c>
      <c r="F139" s="3">
        <v>79.58</v>
      </c>
      <c r="G139" s="3">
        <v>6.81</v>
      </c>
      <c r="H139" s="3">
        <v>27.78</v>
      </c>
      <c r="I139" s="3">
        <v>117.65</v>
      </c>
      <c r="J139" s="3">
        <v>5.96</v>
      </c>
      <c r="K139" s="3">
        <v>20.02</v>
      </c>
      <c r="L139" s="3">
        <v>64.92</v>
      </c>
      <c r="M139" s="3">
        <v>6.87</v>
      </c>
    </row>
    <row r="140" spans="1:13" x14ac:dyDescent="0.3">
      <c r="B140" s="4">
        <v>19.829999999999998</v>
      </c>
      <c r="C140" s="4">
        <v>94.91</v>
      </c>
      <c r="D140" s="4">
        <v>7.35</v>
      </c>
      <c r="E140" s="4">
        <v>20.239999999999998</v>
      </c>
      <c r="F140" s="4">
        <v>117.17</v>
      </c>
      <c r="G140" s="4">
        <v>7.69</v>
      </c>
      <c r="H140" s="4">
        <v>22.97</v>
      </c>
      <c r="I140" s="4">
        <v>117.48</v>
      </c>
      <c r="J140" s="4">
        <v>6.94</v>
      </c>
      <c r="K140" s="4">
        <v>22.18</v>
      </c>
      <c r="L140" s="4">
        <v>103.77</v>
      </c>
      <c r="M140" s="4">
        <v>7.43</v>
      </c>
    </row>
    <row r="142" spans="1:13" x14ac:dyDescent="0.3">
      <c r="A142" s="5" t="s">
        <v>42</v>
      </c>
      <c r="B142" s="5">
        <f>AVERAGE(B117:B140)</f>
        <v>21.934166666666666</v>
      </c>
      <c r="C142" s="5">
        <f t="shared" ref="C142:M142" si="8">AVERAGE(C117:C140)</f>
        <v>86.641666666666666</v>
      </c>
      <c r="D142" s="5">
        <f t="shared" si="8"/>
        <v>6.9370833333333337</v>
      </c>
      <c r="E142" s="5">
        <f t="shared" si="8"/>
        <v>21.035000000000004</v>
      </c>
      <c r="F142" s="5">
        <f t="shared" si="8"/>
        <v>91.874166666666682</v>
      </c>
      <c r="G142" s="5">
        <f t="shared" si="8"/>
        <v>7.5279166666666688</v>
      </c>
      <c r="H142" s="5">
        <f t="shared" si="8"/>
        <v>23.584999999999997</v>
      </c>
      <c r="I142" s="5">
        <f t="shared" si="8"/>
        <v>98.30291666666669</v>
      </c>
      <c r="J142" s="5">
        <f t="shared" si="8"/>
        <v>7.0654166666666667</v>
      </c>
      <c r="K142" s="5">
        <f t="shared" si="8"/>
        <v>20.85083333333333</v>
      </c>
      <c r="L142" s="5">
        <f t="shared" si="8"/>
        <v>85.430833333333339</v>
      </c>
      <c r="M142" s="5">
        <f t="shared" si="8"/>
        <v>7.2145833333333327</v>
      </c>
    </row>
    <row r="143" spans="1:13" x14ac:dyDescent="0.3">
      <c r="A143" s="5" t="s">
        <v>35</v>
      </c>
      <c r="B143" s="5">
        <f>AVERAGE(B142,E142,H142,K142)</f>
        <v>21.851249999999997</v>
      </c>
      <c r="C143" s="5">
        <f t="shared" ref="C143" si="9">AVERAGE(C142,F142,I142,L142)</f>
        <v>90.562395833333341</v>
      </c>
      <c r="D143" s="5">
        <f t="shared" ref="D143" si="10">AVERAGE(D142,G142,J142,M142)</f>
        <v>7.1862500000000011</v>
      </c>
      <c r="E143" s="5"/>
      <c r="F143" s="5"/>
      <c r="G143" s="5"/>
      <c r="H143" s="5"/>
      <c r="I143" s="5"/>
      <c r="J143" s="5"/>
      <c r="K143" s="5"/>
      <c r="L143" s="5"/>
      <c r="M143" s="5"/>
    </row>
    <row r="145" spans="1:13" x14ac:dyDescent="0.3">
      <c r="A145" t="s">
        <v>28</v>
      </c>
      <c r="B145" s="3">
        <v>22.71</v>
      </c>
      <c r="C145" s="3">
        <v>64.459999999999994</v>
      </c>
      <c r="D145" s="3">
        <v>5.57</v>
      </c>
      <c r="E145" s="3">
        <v>21.9</v>
      </c>
      <c r="F145" s="3">
        <v>56.96</v>
      </c>
      <c r="G145" s="3">
        <v>5.82</v>
      </c>
      <c r="H145" s="3">
        <v>26.18</v>
      </c>
      <c r="I145" s="3">
        <v>65.16</v>
      </c>
      <c r="J145" s="3">
        <v>5.69</v>
      </c>
      <c r="K145" s="3">
        <v>23.09</v>
      </c>
      <c r="L145" s="3">
        <v>57.56</v>
      </c>
      <c r="M145" s="3">
        <v>6.34</v>
      </c>
    </row>
    <row r="146" spans="1:13" x14ac:dyDescent="0.3">
      <c r="B146" s="4">
        <v>45.15</v>
      </c>
      <c r="C146" s="4">
        <v>76.84</v>
      </c>
      <c r="D146" s="4">
        <v>3.7</v>
      </c>
      <c r="E146" s="4">
        <v>44.81</v>
      </c>
      <c r="F146" s="4">
        <v>79.430000000000007</v>
      </c>
      <c r="G146" s="4">
        <v>4.09</v>
      </c>
      <c r="H146" s="4">
        <v>37.630000000000003</v>
      </c>
      <c r="I146" s="4">
        <v>84.57</v>
      </c>
      <c r="J146" s="4">
        <v>4.21</v>
      </c>
      <c r="K146" s="4">
        <v>36.75</v>
      </c>
      <c r="L146" s="4">
        <v>72.349999999999994</v>
      </c>
      <c r="M146" s="4">
        <v>5.09</v>
      </c>
    </row>
    <row r="147" spans="1:13" x14ac:dyDescent="0.3">
      <c r="B147" s="3">
        <v>21.84</v>
      </c>
      <c r="C147" s="3">
        <v>64.459999999999994</v>
      </c>
      <c r="D147" s="3">
        <v>6.11</v>
      </c>
      <c r="E147" s="3">
        <v>21.83</v>
      </c>
      <c r="F147" s="3">
        <v>71.97</v>
      </c>
      <c r="G147" s="3">
        <v>5.71</v>
      </c>
      <c r="H147" s="3">
        <v>23.97</v>
      </c>
      <c r="I147" s="3">
        <v>56.96</v>
      </c>
      <c r="J147" s="3">
        <v>5.51</v>
      </c>
      <c r="K147" s="3">
        <v>22.96</v>
      </c>
      <c r="L147" s="3">
        <v>71.959999999999994</v>
      </c>
      <c r="M147" s="3">
        <v>5.68</v>
      </c>
    </row>
    <row r="148" spans="1:13" x14ac:dyDescent="0.3">
      <c r="B148" s="4">
        <v>41.57</v>
      </c>
      <c r="C148" s="4">
        <v>94.61</v>
      </c>
      <c r="D148" s="4">
        <v>3.7</v>
      </c>
      <c r="E148" s="4">
        <v>41.27</v>
      </c>
      <c r="F148" s="4">
        <v>94.72</v>
      </c>
      <c r="G148" s="4">
        <v>4.1100000000000003</v>
      </c>
      <c r="H148" s="4">
        <v>47.99</v>
      </c>
      <c r="I148" s="4">
        <v>102.28</v>
      </c>
      <c r="J148" s="4">
        <v>3.97</v>
      </c>
      <c r="K148" s="4">
        <v>23.85</v>
      </c>
      <c r="L148" s="4">
        <v>72.180000000000007</v>
      </c>
      <c r="M148" s="4">
        <v>5.46</v>
      </c>
    </row>
    <row r="149" spans="1:13" x14ac:dyDescent="0.3">
      <c r="B149" s="3">
        <v>19.02</v>
      </c>
      <c r="C149" s="3">
        <v>72.599999999999994</v>
      </c>
      <c r="D149" s="3">
        <v>7.03</v>
      </c>
      <c r="E149" s="3">
        <v>15.93</v>
      </c>
      <c r="F149" s="3">
        <v>57.19</v>
      </c>
      <c r="G149" s="3">
        <v>7.56</v>
      </c>
      <c r="H149" s="3">
        <v>15.29</v>
      </c>
      <c r="I149" s="3">
        <v>55.89</v>
      </c>
      <c r="J149" s="3">
        <v>7.96</v>
      </c>
      <c r="K149" s="3">
        <v>22.38</v>
      </c>
      <c r="L149" s="3">
        <v>86.16</v>
      </c>
      <c r="M149" s="3">
        <v>6.4</v>
      </c>
    </row>
    <row r="150" spans="1:13" x14ac:dyDescent="0.3">
      <c r="B150" s="4">
        <v>27.55</v>
      </c>
      <c r="C150" s="4">
        <v>65.83</v>
      </c>
      <c r="D150" s="4">
        <v>4.71</v>
      </c>
      <c r="E150" s="4">
        <v>29.33</v>
      </c>
      <c r="F150" s="4">
        <v>72.17</v>
      </c>
      <c r="G150" s="4">
        <v>4.66</v>
      </c>
      <c r="H150" s="4">
        <v>35.18</v>
      </c>
      <c r="I150" s="4">
        <v>94.87</v>
      </c>
      <c r="J150" s="4">
        <v>4.46</v>
      </c>
      <c r="K150" s="4">
        <v>41.06</v>
      </c>
      <c r="L150" s="4">
        <v>72.19</v>
      </c>
      <c r="M150" s="4">
        <v>3.91</v>
      </c>
    </row>
    <row r="151" spans="1:13" x14ac:dyDescent="0.3">
      <c r="B151" s="3">
        <v>25.2</v>
      </c>
      <c r="C151" s="3">
        <v>57.16</v>
      </c>
      <c r="D151" s="3">
        <v>5.47</v>
      </c>
      <c r="E151" s="3">
        <v>25.67</v>
      </c>
      <c r="F151" s="3">
        <v>64.61</v>
      </c>
      <c r="G151" s="3">
        <v>5.09</v>
      </c>
      <c r="H151" s="3">
        <v>20.18</v>
      </c>
      <c r="I151" s="3">
        <v>49.84</v>
      </c>
      <c r="J151" s="3">
        <v>6.34</v>
      </c>
      <c r="K151" s="3">
        <v>25.83</v>
      </c>
      <c r="L151" s="3">
        <v>87.62</v>
      </c>
      <c r="M151" s="3">
        <v>5.57</v>
      </c>
    </row>
    <row r="152" spans="1:13" x14ac:dyDescent="0.3">
      <c r="B152" s="4">
        <v>51.28</v>
      </c>
      <c r="C152" s="4">
        <v>87.26</v>
      </c>
      <c r="D152" s="4">
        <v>3.63</v>
      </c>
      <c r="E152" s="4">
        <v>40.56</v>
      </c>
      <c r="F152" s="4">
        <v>72.459999999999994</v>
      </c>
      <c r="G152" s="4">
        <v>4.2300000000000004</v>
      </c>
      <c r="H152" s="4">
        <v>40.340000000000003</v>
      </c>
      <c r="I152" s="4">
        <v>72.16</v>
      </c>
      <c r="J152" s="4">
        <v>3.84</v>
      </c>
      <c r="K152" s="4">
        <v>47.46</v>
      </c>
      <c r="L152" s="4">
        <v>109.61</v>
      </c>
      <c r="M152" s="4">
        <v>3.19</v>
      </c>
    </row>
    <row r="153" spans="1:13" x14ac:dyDescent="0.3">
      <c r="B153" s="3">
        <v>29.51</v>
      </c>
      <c r="C153" s="3">
        <v>66.31</v>
      </c>
      <c r="D153" s="3">
        <v>5.05</v>
      </c>
      <c r="E153" s="3">
        <v>24.2</v>
      </c>
      <c r="F153" s="3">
        <v>71.959999999999994</v>
      </c>
      <c r="G153" s="3">
        <v>5.97</v>
      </c>
      <c r="H153" s="3">
        <v>22.29</v>
      </c>
      <c r="I153" s="3">
        <v>71.959999999999994</v>
      </c>
      <c r="J153" s="3">
        <v>6.09</v>
      </c>
      <c r="K153" s="3">
        <v>23.64</v>
      </c>
      <c r="L153" s="3">
        <v>64.459999999999994</v>
      </c>
      <c r="M153" s="3">
        <v>5.71</v>
      </c>
    </row>
    <row r="154" spans="1:13" x14ac:dyDescent="0.3">
      <c r="B154" s="4">
        <v>41.07</v>
      </c>
      <c r="C154" s="4">
        <v>107.81</v>
      </c>
      <c r="D154" s="4">
        <v>4.0199999999999996</v>
      </c>
      <c r="E154" s="4">
        <v>45.25</v>
      </c>
      <c r="F154" s="4">
        <v>115.58</v>
      </c>
      <c r="G154" s="4">
        <v>3.88</v>
      </c>
      <c r="H154" s="4">
        <v>37.53</v>
      </c>
      <c r="I154" s="4">
        <v>72.36</v>
      </c>
      <c r="J154" s="4">
        <v>4.5</v>
      </c>
      <c r="K154" s="4">
        <v>46.36</v>
      </c>
      <c r="L154" s="4">
        <v>106.07</v>
      </c>
      <c r="M154" s="4">
        <v>4.03</v>
      </c>
    </row>
    <row r="155" spans="1:13" x14ac:dyDescent="0.3">
      <c r="B155" s="3">
        <v>19.23</v>
      </c>
      <c r="C155" s="3">
        <v>42.24</v>
      </c>
      <c r="D155" s="3">
        <v>6.77</v>
      </c>
      <c r="E155" s="3">
        <v>22.03</v>
      </c>
      <c r="F155" s="3">
        <v>42.17</v>
      </c>
      <c r="G155" s="3">
        <v>6.83</v>
      </c>
      <c r="H155" s="3">
        <v>30.38</v>
      </c>
      <c r="I155" s="3">
        <v>64.66</v>
      </c>
      <c r="J155" s="3">
        <v>5.46</v>
      </c>
      <c r="K155" s="3">
        <v>18.829999999999998</v>
      </c>
      <c r="L155" s="3">
        <v>49.68</v>
      </c>
      <c r="M155" s="3">
        <v>7.36</v>
      </c>
    </row>
    <row r="156" spans="1:13" x14ac:dyDescent="0.3">
      <c r="B156" s="4">
        <v>43.74</v>
      </c>
      <c r="C156" s="4">
        <v>101.96</v>
      </c>
      <c r="D156" s="4">
        <v>4.0199999999999996</v>
      </c>
      <c r="E156" s="4">
        <v>40.270000000000003</v>
      </c>
      <c r="F156" s="4">
        <v>75.180000000000007</v>
      </c>
      <c r="G156" s="4">
        <v>4.1500000000000004</v>
      </c>
      <c r="H156" s="4">
        <v>41.91</v>
      </c>
      <c r="I156" s="4">
        <v>72.239999999999995</v>
      </c>
      <c r="J156" s="4">
        <v>4.17</v>
      </c>
      <c r="K156" s="4">
        <v>41.89</v>
      </c>
      <c r="L156" s="4">
        <v>80.16</v>
      </c>
      <c r="M156" s="4">
        <v>4.17</v>
      </c>
    </row>
    <row r="157" spans="1:13" x14ac:dyDescent="0.3">
      <c r="B157" s="3">
        <v>7.34</v>
      </c>
      <c r="C157" s="3">
        <v>36.33</v>
      </c>
      <c r="D157" s="3">
        <v>9.74</v>
      </c>
      <c r="E157" s="3">
        <v>5.35</v>
      </c>
      <c r="F157" s="3">
        <v>28.48</v>
      </c>
      <c r="G157" s="3">
        <v>10.49</v>
      </c>
      <c r="H157" s="3">
        <v>6.9</v>
      </c>
      <c r="I157" s="3">
        <v>28.95</v>
      </c>
      <c r="J157" s="3">
        <v>9.76</v>
      </c>
      <c r="K157" s="3">
        <v>5.7</v>
      </c>
      <c r="L157" s="3">
        <v>28.35</v>
      </c>
      <c r="M157" s="3">
        <v>10.31</v>
      </c>
    </row>
    <row r="158" spans="1:13" x14ac:dyDescent="0.3">
      <c r="B158" s="4">
        <v>22.48</v>
      </c>
      <c r="C158" s="4">
        <v>78.37</v>
      </c>
      <c r="D158" s="4">
        <v>5.69</v>
      </c>
      <c r="E158" s="4">
        <v>25.14</v>
      </c>
      <c r="F158" s="4">
        <v>72.25</v>
      </c>
      <c r="G158" s="4">
        <v>5.66</v>
      </c>
      <c r="H158" s="4">
        <v>18.93</v>
      </c>
      <c r="I158" s="4">
        <v>85.69</v>
      </c>
      <c r="J158" s="4">
        <v>6.06</v>
      </c>
      <c r="K158" s="4">
        <v>22.15</v>
      </c>
      <c r="L158" s="4">
        <v>57.27</v>
      </c>
      <c r="M158" s="4">
        <v>6.36</v>
      </c>
    </row>
    <row r="159" spans="1:13" x14ac:dyDescent="0.3">
      <c r="B159" s="3">
        <v>7.11</v>
      </c>
      <c r="C159" s="3">
        <v>25.81</v>
      </c>
      <c r="D159" s="3">
        <v>10.15</v>
      </c>
      <c r="E159" s="3">
        <v>6.85</v>
      </c>
      <c r="F159" s="3">
        <v>33.340000000000003</v>
      </c>
      <c r="G159" s="3">
        <v>10.55</v>
      </c>
      <c r="H159" s="3">
        <v>9.14</v>
      </c>
      <c r="I159" s="3">
        <v>12.28</v>
      </c>
      <c r="J159" s="3">
        <v>9.89</v>
      </c>
      <c r="K159" s="3">
        <v>6.03</v>
      </c>
      <c r="L159" s="3">
        <v>25.78</v>
      </c>
      <c r="M159" s="3">
        <v>10.9</v>
      </c>
    </row>
    <row r="160" spans="1:13" x14ac:dyDescent="0.3">
      <c r="B160" s="4">
        <v>20.32</v>
      </c>
      <c r="C160" s="4">
        <v>94.71</v>
      </c>
      <c r="D160" s="4">
        <v>6.29</v>
      </c>
      <c r="E160" s="4">
        <v>22.5</v>
      </c>
      <c r="F160" s="4">
        <v>94.79</v>
      </c>
      <c r="G160" s="4">
        <v>6.34</v>
      </c>
      <c r="H160" s="4">
        <v>25.25</v>
      </c>
      <c r="I160" s="4">
        <v>109.81</v>
      </c>
      <c r="J160" s="4">
        <v>5.82</v>
      </c>
      <c r="K160" s="4">
        <v>16.87</v>
      </c>
      <c r="L160" s="4">
        <v>64.91</v>
      </c>
      <c r="M160" s="4">
        <v>7.11</v>
      </c>
    </row>
    <row r="161" spans="1:13" x14ac:dyDescent="0.3">
      <c r="B161" s="3">
        <v>7.02</v>
      </c>
      <c r="C161" s="3">
        <v>27.26</v>
      </c>
      <c r="D161" s="3">
        <v>10.14</v>
      </c>
      <c r="E161" s="3">
        <v>7.41</v>
      </c>
      <c r="F161" s="3">
        <v>36.020000000000003</v>
      </c>
      <c r="G161" s="3">
        <v>9.9600000000000009</v>
      </c>
      <c r="H161" s="3">
        <v>9.5299999999999994</v>
      </c>
      <c r="I161" s="3">
        <v>42.55</v>
      </c>
      <c r="J161" s="3">
        <v>9.17</v>
      </c>
      <c r="K161" s="3">
        <v>9.86</v>
      </c>
      <c r="L161" s="3">
        <v>27.27</v>
      </c>
      <c r="M161" s="3">
        <v>9.17</v>
      </c>
    </row>
    <row r="162" spans="1:13" x14ac:dyDescent="0.3">
      <c r="B162" s="4">
        <v>14.78</v>
      </c>
      <c r="C162" s="4">
        <v>64.88</v>
      </c>
      <c r="D162" s="4">
        <v>7.15</v>
      </c>
      <c r="E162" s="4">
        <v>15.23</v>
      </c>
      <c r="F162" s="4">
        <v>58.64</v>
      </c>
      <c r="G162" s="4">
        <v>7.44</v>
      </c>
      <c r="H162" s="4">
        <v>17.38</v>
      </c>
      <c r="I162" s="4">
        <v>64.790000000000006</v>
      </c>
      <c r="J162" s="4">
        <v>6.56</v>
      </c>
      <c r="K162" s="4">
        <v>18.37</v>
      </c>
      <c r="L162" s="4">
        <v>64.73</v>
      </c>
      <c r="M162" s="4">
        <v>6.57</v>
      </c>
    </row>
    <row r="163" spans="1:13" x14ac:dyDescent="0.3">
      <c r="B163" s="3">
        <v>10.199999999999999</v>
      </c>
      <c r="C163" s="3">
        <v>70.3</v>
      </c>
      <c r="D163" s="3">
        <v>8.67</v>
      </c>
      <c r="E163" s="3">
        <v>9.9700000000000006</v>
      </c>
      <c r="F163" s="3">
        <v>35.43</v>
      </c>
      <c r="G163" s="3">
        <v>9.0500000000000007</v>
      </c>
      <c r="H163" s="3">
        <v>7.75</v>
      </c>
      <c r="I163" s="3">
        <v>49.82</v>
      </c>
      <c r="J163" s="3">
        <v>9.8800000000000008</v>
      </c>
      <c r="K163" s="3">
        <v>12.55</v>
      </c>
      <c r="L163" s="3">
        <v>99.22</v>
      </c>
      <c r="M163" s="3">
        <v>8.17</v>
      </c>
    </row>
    <row r="164" spans="1:13" x14ac:dyDescent="0.3">
      <c r="B164" s="4">
        <v>22</v>
      </c>
      <c r="C164" s="4">
        <v>91.32</v>
      </c>
      <c r="D164" s="4">
        <v>6.08</v>
      </c>
      <c r="E164" s="4">
        <v>17.059999999999999</v>
      </c>
      <c r="F164" s="4">
        <v>63.42</v>
      </c>
      <c r="G164" s="4">
        <v>6.71</v>
      </c>
      <c r="H164" s="4">
        <v>18</v>
      </c>
      <c r="I164" s="4">
        <v>64.760000000000005</v>
      </c>
      <c r="J164" s="4">
        <v>6.89</v>
      </c>
      <c r="K164" s="4">
        <v>18.37</v>
      </c>
      <c r="L164" s="4">
        <v>106.68</v>
      </c>
      <c r="M164" s="4">
        <v>6.14</v>
      </c>
    </row>
    <row r="165" spans="1:13" x14ac:dyDescent="0.3">
      <c r="B165" s="3">
        <v>10.26</v>
      </c>
      <c r="C165" s="3">
        <v>48.22</v>
      </c>
      <c r="D165" s="3">
        <v>9.1999999999999993</v>
      </c>
      <c r="E165" s="3">
        <v>12.45</v>
      </c>
      <c r="F165" s="3">
        <v>55.87</v>
      </c>
      <c r="G165" s="3">
        <v>8.43</v>
      </c>
      <c r="H165" s="3">
        <v>15.87</v>
      </c>
      <c r="I165" s="3">
        <v>63.23</v>
      </c>
      <c r="J165" s="3">
        <v>7.47</v>
      </c>
      <c r="K165" s="3">
        <v>15.17</v>
      </c>
      <c r="L165" s="3">
        <v>48.33</v>
      </c>
      <c r="M165" s="3">
        <v>7.25</v>
      </c>
    </row>
    <row r="166" spans="1:13" x14ac:dyDescent="0.3">
      <c r="B166" s="4">
        <v>19.29</v>
      </c>
      <c r="C166" s="4">
        <v>102.21</v>
      </c>
      <c r="D166" s="4">
        <v>6.03</v>
      </c>
      <c r="E166" s="4">
        <v>20.93</v>
      </c>
      <c r="F166" s="4">
        <v>87.3</v>
      </c>
      <c r="G166" s="4">
        <v>6.52</v>
      </c>
      <c r="H166" s="4">
        <v>18.59</v>
      </c>
      <c r="I166" s="4">
        <v>72.209999999999994</v>
      </c>
      <c r="J166" s="4">
        <v>6.59</v>
      </c>
      <c r="K166" s="4">
        <v>23.53</v>
      </c>
      <c r="L166" s="4">
        <v>87.41</v>
      </c>
      <c r="M166" s="4">
        <v>6.11</v>
      </c>
    </row>
    <row r="167" spans="1:13" x14ac:dyDescent="0.3">
      <c r="B167" s="3">
        <v>11.54</v>
      </c>
      <c r="C167" s="3">
        <v>42.32</v>
      </c>
      <c r="D167" s="3">
        <v>8.16</v>
      </c>
      <c r="E167" s="3">
        <v>13.54</v>
      </c>
      <c r="F167" s="3">
        <v>49.71</v>
      </c>
      <c r="G167" s="3">
        <v>8.27</v>
      </c>
      <c r="H167" s="3">
        <v>13.33</v>
      </c>
      <c r="I167" s="3">
        <v>57.63</v>
      </c>
      <c r="J167" s="3">
        <v>8.19</v>
      </c>
      <c r="K167" s="3">
        <v>12.92</v>
      </c>
      <c r="L167" s="3">
        <v>42.29</v>
      </c>
      <c r="M167" s="3">
        <v>8.16</v>
      </c>
    </row>
    <row r="168" spans="1:13" x14ac:dyDescent="0.3">
      <c r="B168" s="4">
        <v>16.690000000000001</v>
      </c>
      <c r="C168" s="4">
        <v>85.81</v>
      </c>
      <c r="D168" s="4">
        <v>7.08</v>
      </c>
      <c r="E168" s="4">
        <v>16.3</v>
      </c>
      <c r="F168" s="4">
        <v>78.22</v>
      </c>
      <c r="G168" s="4">
        <v>6.65</v>
      </c>
      <c r="H168" s="4">
        <v>16.87</v>
      </c>
      <c r="I168" s="4">
        <v>57.26</v>
      </c>
      <c r="J168" s="4">
        <v>6.69</v>
      </c>
      <c r="K168" s="4">
        <v>17.14</v>
      </c>
      <c r="L168" s="4">
        <v>71.040000000000006</v>
      </c>
      <c r="M168" s="4">
        <v>6.96</v>
      </c>
    </row>
    <row r="170" spans="1:13" x14ac:dyDescent="0.3">
      <c r="A170" s="5" t="s">
        <v>42</v>
      </c>
      <c r="B170" s="5">
        <f>AVERAGE(B145:B168)</f>
        <v>23.204166666666666</v>
      </c>
      <c r="C170" s="5">
        <f t="shared" ref="C170:M170" si="11">AVERAGE(C145:C168)</f>
        <v>69.545000000000002</v>
      </c>
      <c r="D170" s="5">
        <f t="shared" si="11"/>
        <v>6.4233333333333329</v>
      </c>
      <c r="E170" s="5">
        <f t="shared" si="11"/>
        <v>22.740833333333331</v>
      </c>
      <c r="F170" s="5">
        <f t="shared" si="11"/>
        <v>65.327916666666681</v>
      </c>
      <c r="G170" s="5">
        <f t="shared" si="11"/>
        <v>6.590416666666667</v>
      </c>
      <c r="H170" s="5">
        <f t="shared" si="11"/>
        <v>23.18375</v>
      </c>
      <c r="I170" s="5">
        <f t="shared" si="11"/>
        <v>65.497083333333336</v>
      </c>
      <c r="J170" s="5">
        <f t="shared" si="11"/>
        <v>6.465416666666667</v>
      </c>
      <c r="K170" s="5">
        <f t="shared" si="11"/>
        <v>23.031666666666666</v>
      </c>
      <c r="L170" s="5">
        <f t="shared" si="11"/>
        <v>68.88666666666667</v>
      </c>
      <c r="M170" s="5">
        <f t="shared" si="11"/>
        <v>6.5050000000000017</v>
      </c>
    </row>
    <row r="171" spans="1:13" x14ac:dyDescent="0.3">
      <c r="A171" s="5" t="s">
        <v>35</v>
      </c>
      <c r="B171" s="5">
        <f>AVERAGE(B170,E170,H170,K170)</f>
        <v>23.040104166666666</v>
      </c>
      <c r="C171" s="5">
        <f t="shared" ref="C171" si="12">AVERAGE(C170,F170,I170,L170)</f>
        <v>67.314166666666679</v>
      </c>
      <c r="D171" s="5">
        <f t="shared" ref="D171" si="13">AVERAGE(D170,G170,J170,M170)</f>
        <v>6.4960416666666676</v>
      </c>
      <c r="E171" s="5"/>
      <c r="F171" s="5"/>
      <c r="G171" s="5"/>
      <c r="H171" s="5"/>
      <c r="I171" s="5"/>
      <c r="J171" s="5"/>
      <c r="K171" s="5"/>
      <c r="L171" s="5"/>
      <c r="M171" s="5"/>
    </row>
    <row r="173" spans="1:13" x14ac:dyDescent="0.3">
      <c r="B173" s="38" t="s">
        <v>4</v>
      </c>
      <c r="C173" s="38"/>
      <c r="D173" s="38"/>
      <c r="E173" s="38"/>
    </row>
    <row r="175" spans="1:13" x14ac:dyDescent="0.3">
      <c r="B175" s="39" t="s">
        <v>17</v>
      </c>
      <c r="C175" s="39"/>
      <c r="D175" s="39"/>
      <c r="E175" s="40" t="s">
        <v>18</v>
      </c>
      <c r="F175" s="40"/>
      <c r="G175" s="40"/>
      <c r="H175" s="41" t="s">
        <v>19</v>
      </c>
      <c r="I175" s="41"/>
      <c r="J175" s="41"/>
      <c r="K175" s="42" t="s">
        <v>20</v>
      </c>
      <c r="L175" s="42"/>
      <c r="M175" s="42"/>
    </row>
    <row r="176" spans="1:13" x14ac:dyDescent="0.3">
      <c r="B176" s="1" t="s">
        <v>21</v>
      </c>
      <c r="C176" s="1" t="s">
        <v>22</v>
      </c>
      <c r="D176" s="1" t="s">
        <v>23</v>
      </c>
      <c r="E176" s="1" t="s">
        <v>21</v>
      </c>
      <c r="F176" s="1" t="s">
        <v>22</v>
      </c>
      <c r="G176" s="1" t="s">
        <v>23</v>
      </c>
      <c r="H176" s="1" t="s">
        <v>21</v>
      </c>
      <c r="I176" s="1" t="s">
        <v>22</v>
      </c>
      <c r="J176" s="1" t="s">
        <v>23</v>
      </c>
      <c r="K176" s="1" t="s">
        <v>21</v>
      </c>
      <c r="L176" s="1" t="s">
        <v>22</v>
      </c>
      <c r="M176" s="1" t="s">
        <v>23</v>
      </c>
    </row>
    <row r="177" spans="2:13" x14ac:dyDescent="0.3">
      <c r="B177" s="3">
        <v>30.38</v>
      </c>
      <c r="C177" s="3">
        <v>95</v>
      </c>
      <c r="D177" s="3">
        <v>4.0999999999999996</v>
      </c>
      <c r="E177" s="3">
        <v>23.38</v>
      </c>
      <c r="F177" s="3">
        <v>72.09</v>
      </c>
      <c r="G177" s="3">
        <v>4.34</v>
      </c>
      <c r="H177" s="3">
        <v>26.31</v>
      </c>
      <c r="I177" s="3">
        <v>87.15</v>
      </c>
      <c r="J177" s="3">
        <v>4.7</v>
      </c>
      <c r="K177" s="3">
        <v>31.19</v>
      </c>
      <c r="L177" s="3">
        <v>110.03</v>
      </c>
      <c r="M177" s="3">
        <v>4.53</v>
      </c>
    </row>
    <row r="178" spans="2:13" x14ac:dyDescent="0.3">
      <c r="B178" s="4">
        <v>23.49</v>
      </c>
      <c r="C178" s="4">
        <v>108.08</v>
      </c>
      <c r="D178" s="4">
        <v>4.7</v>
      </c>
      <c r="E178" s="4">
        <v>38.17</v>
      </c>
      <c r="F178" s="4">
        <v>122.91</v>
      </c>
      <c r="G178" s="4">
        <v>3.53</v>
      </c>
      <c r="H178" s="4">
        <v>26.42</v>
      </c>
      <c r="I178" s="4">
        <v>92.78</v>
      </c>
      <c r="J178" s="4">
        <v>4.46</v>
      </c>
      <c r="K178" s="4">
        <v>28.59</v>
      </c>
      <c r="L178" s="4">
        <v>100.52</v>
      </c>
      <c r="M178" s="4">
        <v>4.45</v>
      </c>
    </row>
    <row r="179" spans="2:13" x14ac:dyDescent="0.3">
      <c r="B179" s="3">
        <v>39.08</v>
      </c>
      <c r="C179" s="3">
        <v>124.62</v>
      </c>
      <c r="D179" s="3">
        <v>3.27</v>
      </c>
      <c r="E179" s="3">
        <v>43.06</v>
      </c>
      <c r="F179" s="3">
        <v>160.38</v>
      </c>
      <c r="G179" s="3">
        <v>2.96</v>
      </c>
      <c r="H179" s="3">
        <v>40.56</v>
      </c>
      <c r="I179" s="3">
        <v>154.18</v>
      </c>
      <c r="J179" s="3">
        <v>3.1</v>
      </c>
      <c r="K179" s="3">
        <v>47.53</v>
      </c>
      <c r="L179" s="3">
        <v>175.58</v>
      </c>
      <c r="M179" s="3">
        <v>2.99</v>
      </c>
    </row>
    <row r="180" spans="2:13" x14ac:dyDescent="0.3">
      <c r="B180" s="4">
        <v>23.17</v>
      </c>
      <c r="C180" s="4">
        <v>143.22</v>
      </c>
      <c r="D180" s="4">
        <v>3.37</v>
      </c>
      <c r="E180" s="4">
        <v>24</v>
      </c>
      <c r="F180" s="4">
        <v>120.51</v>
      </c>
      <c r="G180" s="4">
        <v>4.21</v>
      </c>
      <c r="H180" s="4">
        <v>26.2</v>
      </c>
      <c r="I180" s="4">
        <v>137.16999999999999</v>
      </c>
      <c r="J180" s="4">
        <v>3.68</v>
      </c>
      <c r="K180" s="4">
        <v>25.67</v>
      </c>
      <c r="L180" s="4">
        <v>140.21</v>
      </c>
      <c r="M180" s="4">
        <v>3.79</v>
      </c>
    </row>
    <row r="181" spans="2:13" x14ac:dyDescent="0.3">
      <c r="B181" s="3">
        <v>24.42</v>
      </c>
      <c r="C181" s="3">
        <v>70.09</v>
      </c>
      <c r="D181" s="3">
        <v>5.37</v>
      </c>
      <c r="E181" s="3">
        <v>20.99</v>
      </c>
      <c r="F181" s="3">
        <v>55.13</v>
      </c>
      <c r="G181" s="3">
        <v>6.17</v>
      </c>
      <c r="H181" s="3">
        <v>22.48</v>
      </c>
      <c r="I181" s="3">
        <v>64.27</v>
      </c>
      <c r="J181" s="3">
        <v>5.82</v>
      </c>
      <c r="K181" s="3">
        <v>17.75</v>
      </c>
      <c r="L181" s="3">
        <v>70.11</v>
      </c>
      <c r="M181" s="3">
        <v>6.27</v>
      </c>
    </row>
    <row r="182" spans="2:13" x14ac:dyDescent="0.3">
      <c r="B182" s="4">
        <v>24.68</v>
      </c>
      <c r="C182" s="4">
        <v>64.3</v>
      </c>
      <c r="D182" s="4">
        <v>4.7300000000000004</v>
      </c>
      <c r="E182" s="4">
        <v>23.02</v>
      </c>
      <c r="F182" s="4">
        <v>47.44</v>
      </c>
      <c r="G182" s="4">
        <v>5.21</v>
      </c>
      <c r="H182" s="4">
        <v>26.62</v>
      </c>
      <c r="I182" s="4">
        <v>92.62</v>
      </c>
      <c r="J182" s="4">
        <v>4.13</v>
      </c>
      <c r="K182" s="4">
        <v>26.8</v>
      </c>
      <c r="L182" s="4">
        <v>69.94</v>
      </c>
      <c r="M182" s="4">
        <v>4.5999999999999996</v>
      </c>
    </row>
    <row r="183" spans="2:13" x14ac:dyDescent="0.3">
      <c r="B183" s="3">
        <v>48.13</v>
      </c>
      <c r="C183" s="3">
        <v>205.26</v>
      </c>
      <c r="D183" s="3">
        <v>3.21</v>
      </c>
      <c r="E183" s="3">
        <v>47.5</v>
      </c>
      <c r="F183" s="3">
        <v>218.77</v>
      </c>
      <c r="G183" s="3">
        <v>2.93</v>
      </c>
      <c r="H183" s="3">
        <v>44.17</v>
      </c>
      <c r="I183" s="3">
        <v>211.65</v>
      </c>
      <c r="J183" s="3">
        <v>2.96</v>
      </c>
      <c r="K183" s="3">
        <v>44.4</v>
      </c>
      <c r="L183" s="3">
        <v>196.29</v>
      </c>
      <c r="M183" s="3">
        <v>3.13</v>
      </c>
    </row>
    <row r="184" spans="2:13" x14ac:dyDescent="0.3">
      <c r="B184" s="4">
        <v>53.7</v>
      </c>
      <c r="C184" s="4">
        <v>132.01</v>
      </c>
      <c r="D184" s="4">
        <v>2.62</v>
      </c>
      <c r="E184" s="4">
        <v>58.89</v>
      </c>
      <c r="F184" s="4">
        <v>99.9</v>
      </c>
      <c r="G184" s="4">
        <v>2.16</v>
      </c>
      <c r="H184" s="4">
        <v>51.57</v>
      </c>
      <c r="I184" s="4">
        <v>175.51</v>
      </c>
      <c r="J184" s="4">
        <v>2.5499999999999998</v>
      </c>
      <c r="K184" s="4">
        <v>51.99</v>
      </c>
      <c r="L184" s="4">
        <v>162.13</v>
      </c>
      <c r="M184" s="4">
        <v>2.8</v>
      </c>
    </row>
    <row r="185" spans="2:13" x14ac:dyDescent="0.3">
      <c r="B185" s="3">
        <v>58.6</v>
      </c>
      <c r="C185" s="3">
        <v>198.01</v>
      </c>
      <c r="D185" s="3">
        <v>2.44</v>
      </c>
      <c r="E185" s="3">
        <v>56.23</v>
      </c>
      <c r="F185" s="3">
        <v>177.01</v>
      </c>
      <c r="G185" s="3">
        <v>2.66</v>
      </c>
      <c r="H185" s="3">
        <v>69.27</v>
      </c>
      <c r="I185" s="3">
        <v>167.7</v>
      </c>
      <c r="J185" s="3">
        <v>2.35</v>
      </c>
      <c r="K185" s="3">
        <v>50.3</v>
      </c>
      <c r="L185" s="3">
        <v>152.93</v>
      </c>
      <c r="M185" s="3">
        <v>2.87</v>
      </c>
    </row>
    <row r="186" spans="2:13" x14ac:dyDescent="0.3">
      <c r="B186" s="4">
        <v>35.630000000000003</v>
      </c>
      <c r="C186" s="4">
        <v>94.82</v>
      </c>
      <c r="D186" s="4">
        <v>3.22</v>
      </c>
      <c r="E186" s="4">
        <v>35.31</v>
      </c>
      <c r="F186" s="4">
        <v>95</v>
      </c>
      <c r="G186" s="4">
        <v>3.24</v>
      </c>
      <c r="H186" s="4">
        <v>28.02</v>
      </c>
      <c r="I186" s="4">
        <v>85.84</v>
      </c>
      <c r="J186" s="4">
        <v>3.8</v>
      </c>
      <c r="K186" s="4">
        <v>30.6</v>
      </c>
      <c r="L186" s="4">
        <v>85.53</v>
      </c>
      <c r="M186" s="4">
        <v>3.53</v>
      </c>
    </row>
    <row r="187" spans="2:13" x14ac:dyDescent="0.3">
      <c r="B187" s="3">
        <v>28.49</v>
      </c>
      <c r="C187" s="3">
        <v>94.57</v>
      </c>
      <c r="D187" s="3">
        <v>4.21</v>
      </c>
      <c r="E187" s="3">
        <v>38.479999999999997</v>
      </c>
      <c r="F187" s="3">
        <v>109.09</v>
      </c>
      <c r="G187" s="3">
        <v>3.51</v>
      </c>
      <c r="H187" s="3">
        <v>35.32</v>
      </c>
      <c r="I187" s="3">
        <v>124.68</v>
      </c>
      <c r="J187" s="3">
        <v>3.75</v>
      </c>
      <c r="K187" s="3">
        <v>36.619999999999997</v>
      </c>
      <c r="L187" s="3">
        <v>124.65</v>
      </c>
      <c r="M187" s="3">
        <v>3.52</v>
      </c>
    </row>
    <row r="188" spans="2:13" x14ac:dyDescent="0.3">
      <c r="B188" s="4">
        <v>21.94</v>
      </c>
      <c r="C188" s="4">
        <v>122.6</v>
      </c>
      <c r="D188" s="4">
        <v>5.0199999999999996</v>
      </c>
      <c r="E188" s="4">
        <v>13.73</v>
      </c>
      <c r="F188" s="4">
        <v>77.89</v>
      </c>
      <c r="G188" s="4">
        <v>6.35</v>
      </c>
      <c r="H188" s="4">
        <v>13.11</v>
      </c>
      <c r="I188" s="4">
        <v>100.3</v>
      </c>
      <c r="J188" s="4">
        <v>6.8</v>
      </c>
      <c r="K188" s="4">
        <v>12.75</v>
      </c>
      <c r="L188" s="4">
        <v>78.94</v>
      </c>
      <c r="M188" s="4">
        <v>6.6</v>
      </c>
    </row>
    <row r="189" spans="2:13" x14ac:dyDescent="0.3">
      <c r="B189" s="3">
        <v>27.65</v>
      </c>
      <c r="C189" s="3">
        <v>94.48</v>
      </c>
      <c r="D189" s="3">
        <v>4</v>
      </c>
      <c r="E189" s="3">
        <v>25.02</v>
      </c>
      <c r="F189" s="3">
        <v>79.45</v>
      </c>
      <c r="G189" s="3">
        <v>3.83</v>
      </c>
      <c r="H189" s="3">
        <v>27.99</v>
      </c>
      <c r="I189" s="3">
        <v>87.24</v>
      </c>
      <c r="J189" s="3">
        <v>4.18</v>
      </c>
      <c r="K189" s="3">
        <v>29.95</v>
      </c>
      <c r="L189" s="3">
        <v>102.04</v>
      </c>
      <c r="M189" s="3">
        <v>3.89</v>
      </c>
    </row>
    <row r="190" spans="2:13" x14ac:dyDescent="0.3">
      <c r="B190" s="4">
        <v>22.9</v>
      </c>
      <c r="C190" s="4">
        <v>101.66</v>
      </c>
      <c r="D190" s="4">
        <v>4.21</v>
      </c>
      <c r="E190" s="4">
        <v>37.229999999999997</v>
      </c>
      <c r="F190" s="4">
        <v>131.72999999999999</v>
      </c>
      <c r="G190" s="4">
        <v>3.11</v>
      </c>
      <c r="H190" s="4">
        <v>28.9</v>
      </c>
      <c r="I190" s="4">
        <v>102.05</v>
      </c>
      <c r="J190" s="4">
        <v>3.92</v>
      </c>
      <c r="K190" s="4">
        <v>23.79</v>
      </c>
      <c r="L190" s="4">
        <v>79.28</v>
      </c>
      <c r="M190" s="4">
        <v>4.55</v>
      </c>
    </row>
    <row r="191" spans="2:13" x14ac:dyDescent="0.3">
      <c r="B191" s="3">
        <v>38.340000000000003</v>
      </c>
      <c r="C191" s="3">
        <v>132.06</v>
      </c>
      <c r="D191" s="3">
        <v>3.11</v>
      </c>
      <c r="E191" s="3">
        <v>41.24</v>
      </c>
      <c r="F191" s="3">
        <v>147.1</v>
      </c>
      <c r="G191" s="3">
        <v>2.88</v>
      </c>
      <c r="H191" s="3">
        <v>35.32</v>
      </c>
      <c r="I191" s="3">
        <v>124.51</v>
      </c>
      <c r="J191" s="3">
        <v>3.25</v>
      </c>
      <c r="K191" s="3">
        <v>40.93</v>
      </c>
      <c r="L191" s="3">
        <v>131.9</v>
      </c>
      <c r="M191" s="3">
        <v>2.97</v>
      </c>
    </row>
    <row r="192" spans="2:13" x14ac:dyDescent="0.3">
      <c r="B192" s="4">
        <v>22.5</v>
      </c>
      <c r="C192" s="4">
        <v>146.81</v>
      </c>
      <c r="D192" s="4">
        <v>3.57</v>
      </c>
      <c r="E192" s="4">
        <v>24.28</v>
      </c>
      <c r="F192" s="4">
        <v>134.51</v>
      </c>
      <c r="G192" s="4">
        <v>3.8</v>
      </c>
      <c r="H192" s="4">
        <v>24.24</v>
      </c>
      <c r="I192" s="4">
        <v>124.27</v>
      </c>
      <c r="J192" s="4">
        <v>2.89</v>
      </c>
      <c r="K192" s="4">
        <v>22</v>
      </c>
      <c r="L192" s="4">
        <v>131.96</v>
      </c>
      <c r="M192" s="4">
        <v>3.8</v>
      </c>
    </row>
    <row r="193" spans="2:13" x14ac:dyDescent="0.3">
      <c r="B193" s="3">
        <v>19.73</v>
      </c>
      <c r="C193" s="3">
        <v>62.78</v>
      </c>
      <c r="D193" s="3">
        <v>5.28</v>
      </c>
      <c r="E193" s="3">
        <v>19.28</v>
      </c>
      <c r="F193" s="3">
        <v>34.29</v>
      </c>
      <c r="G193" s="3">
        <v>5.68</v>
      </c>
      <c r="H193" s="3">
        <v>22.9</v>
      </c>
      <c r="I193" s="3">
        <v>49.39</v>
      </c>
      <c r="J193" s="3">
        <v>5.42</v>
      </c>
      <c r="K193" s="3">
        <v>16.87</v>
      </c>
      <c r="L193" s="3">
        <v>49.1</v>
      </c>
      <c r="M193" s="3">
        <v>5.17</v>
      </c>
    </row>
    <row r="194" spans="2:13" x14ac:dyDescent="0.3">
      <c r="B194" s="4">
        <v>25.98</v>
      </c>
      <c r="C194" s="4">
        <v>56.73</v>
      </c>
      <c r="D194" s="4">
        <v>4.09</v>
      </c>
      <c r="E194" s="4">
        <v>20.55</v>
      </c>
      <c r="F194" s="4">
        <v>41.69</v>
      </c>
      <c r="G194" s="4">
        <v>4.67</v>
      </c>
      <c r="H194" s="4">
        <v>22.99</v>
      </c>
      <c r="I194" s="4">
        <v>64.16</v>
      </c>
      <c r="J194" s="4">
        <v>3.84</v>
      </c>
      <c r="K194" s="4">
        <v>30.5</v>
      </c>
      <c r="L194" s="4">
        <v>71.61</v>
      </c>
      <c r="M194" s="4">
        <v>4.04</v>
      </c>
    </row>
    <row r="195" spans="2:13" x14ac:dyDescent="0.3">
      <c r="B195" s="3">
        <v>45.44</v>
      </c>
      <c r="C195" s="3">
        <v>169.28</v>
      </c>
      <c r="D195" s="3">
        <v>3.15</v>
      </c>
      <c r="E195" s="3">
        <v>45.05</v>
      </c>
      <c r="F195" s="3">
        <v>184.34</v>
      </c>
      <c r="G195" s="3">
        <v>2.8</v>
      </c>
      <c r="H195" s="3">
        <v>40.06</v>
      </c>
      <c r="I195" s="3">
        <v>184.15</v>
      </c>
      <c r="J195" s="3">
        <v>2.92</v>
      </c>
      <c r="K195" s="3">
        <v>43.72</v>
      </c>
      <c r="L195" s="3">
        <v>183.85</v>
      </c>
      <c r="M195" s="3">
        <v>2.82</v>
      </c>
    </row>
    <row r="196" spans="2:13" x14ac:dyDescent="0.3">
      <c r="B196" s="4">
        <v>60.81</v>
      </c>
      <c r="C196" s="4">
        <v>131.79</v>
      </c>
      <c r="D196" s="4">
        <v>2.2200000000000002</v>
      </c>
      <c r="E196" s="4">
        <v>61.05</v>
      </c>
      <c r="F196" s="4">
        <v>94.2</v>
      </c>
      <c r="G196" s="4">
        <v>2.09</v>
      </c>
      <c r="H196" s="4">
        <v>49.9</v>
      </c>
      <c r="I196" s="4">
        <v>154.80000000000001</v>
      </c>
      <c r="J196" s="4">
        <v>2.37</v>
      </c>
      <c r="K196" s="4">
        <v>51.6</v>
      </c>
      <c r="L196" s="4">
        <v>131.82</v>
      </c>
      <c r="M196" s="4">
        <v>2.5099999999999998</v>
      </c>
    </row>
    <row r="197" spans="2:13" x14ac:dyDescent="0.3">
      <c r="B197" s="3">
        <v>52.8</v>
      </c>
      <c r="C197" s="3">
        <v>176.77</v>
      </c>
      <c r="D197" s="3">
        <v>2.57</v>
      </c>
      <c r="E197" s="3">
        <v>48.51</v>
      </c>
      <c r="F197" s="3">
        <v>154.30000000000001</v>
      </c>
      <c r="G197" s="3">
        <v>2.76</v>
      </c>
      <c r="H197" s="3">
        <v>53.18</v>
      </c>
      <c r="I197" s="3">
        <v>154.59</v>
      </c>
      <c r="J197" s="3">
        <v>2.5499999999999998</v>
      </c>
      <c r="K197" s="3">
        <v>49.49</v>
      </c>
      <c r="L197" s="3">
        <v>126.03</v>
      </c>
      <c r="M197" s="3">
        <v>2.67</v>
      </c>
    </row>
    <row r="198" spans="2:13" x14ac:dyDescent="0.3">
      <c r="B198" s="4">
        <v>37.799999999999997</v>
      </c>
      <c r="C198" s="4">
        <v>94.23</v>
      </c>
      <c r="D198" s="4">
        <v>2.78</v>
      </c>
      <c r="E198" s="4">
        <v>31.6</v>
      </c>
      <c r="F198" s="4">
        <v>85.83</v>
      </c>
      <c r="G198" s="4">
        <v>2.91</v>
      </c>
      <c r="H198" s="4">
        <v>23.67</v>
      </c>
      <c r="I198" s="4">
        <v>79.19</v>
      </c>
      <c r="J198" s="4">
        <v>3.81</v>
      </c>
      <c r="K198" s="4">
        <v>30.46</v>
      </c>
      <c r="L198" s="4">
        <v>79.319999999999993</v>
      </c>
      <c r="M198" s="4">
        <v>3.44</v>
      </c>
    </row>
    <row r="199" spans="2:13" x14ac:dyDescent="0.3">
      <c r="B199" s="3">
        <v>29.1</v>
      </c>
      <c r="C199" s="3">
        <v>86.69</v>
      </c>
      <c r="D199" s="3">
        <v>3.82</v>
      </c>
      <c r="E199" s="3">
        <v>32.06</v>
      </c>
      <c r="F199" s="3">
        <v>101.64</v>
      </c>
      <c r="G199" s="3">
        <v>3.64</v>
      </c>
      <c r="H199" s="3">
        <v>35.03</v>
      </c>
      <c r="I199" s="3">
        <v>116.46</v>
      </c>
      <c r="J199" s="3">
        <v>3.47</v>
      </c>
      <c r="K199" s="3">
        <v>36.24</v>
      </c>
      <c r="L199" s="3">
        <v>117.16</v>
      </c>
      <c r="M199" s="3">
        <v>3.32</v>
      </c>
    </row>
    <row r="200" spans="2:13" x14ac:dyDescent="0.3">
      <c r="B200" s="4">
        <v>23.67</v>
      </c>
      <c r="C200" s="4">
        <v>108.93</v>
      </c>
      <c r="D200" s="4">
        <v>4.4000000000000004</v>
      </c>
      <c r="E200" s="4">
        <v>10.35</v>
      </c>
      <c r="F200" s="4">
        <v>79.459999999999994</v>
      </c>
      <c r="G200" s="4">
        <v>7</v>
      </c>
      <c r="H200" s="4">
        <v>12.97</v>
      </c>
      <c r="I200" s="4">
        <v>79.45</v>
      </c>
      <c r="J200" s="4">
        <v>5.98</v>
      </c>
      <c r="K200" s="4">
        <v>14.15</v>
      </c>
      <c r="L200" s="4">
        <v>78.95</v>
      </c>
      <c r="M200" s="4">
        <v>5.51</v>
      </c>
    </row>
    <row r="201" spans="2:13" x14ac:dyDescent="0.3">
      <c r="B201" s="3">
        <v>28.66</v>
      </c>
      <c r="C201" s="3">
        <v>87.24</v>
      </c>
      <c r="D201" s="3">
        <v>4.46</v>
      </c>
      <c r="E201" s="3">
        <v>29.37</v>
      </c>
      <c r="F201" s="3">
        <v>87.37</v>
      </c>
      <c r="G201" s="3">
        <v>4.46</v>
      </c>
      <c r="H201" s="3">
        <v>27.95</v>
      </c>
      <c r="I201" s="3">
        <v>87.29</v>
      </c>
      <c r="J201" s="3">
        <v>4.4400000000000004</v>
      </c>
      <c r="K201" s="3">
        <v>29.61</v>
      </c>
      <c r="L201" s="3">
        <v>95.01</v>
      </c>
      <c r="M201" s="3">
        <v>4.41</v>
      </c>
    </row>
    <row r="202" spans="2:13" x14ac:dyDescent="0.3">
      <c r="B202" s="4">
        <v>30.21</v>
      </c>
      <c r="C202" s="4">
        <v>94.87</v>
      </c>
      <c r="D202" s="4">
        <v>4.3499999999999996</v>
      </c>
      <c r="E202" s="4">
        <v>47.91</v>
      </c>
      <c r="F202" s="4">
        <v>117.14</v>
      </c>
      <c r="G202" s="4">
        <v>3.32</v>
      </c>
      <c r="H202" s="4">
        <v>32.81</v>
      </c>
      <c r="I202" s="4">
        <v>94.6</v>
      </c>
      <c r="J202" s="4">
        <v>4.0199999999999996</v>
      </c>
      <c r="K202" s="4">
        <v>28.05</v>
      </c>
      <c r="L202" s="4">
        <v>66.13</v>
      </c>
      <c r="M202" s="4">
        <v>4.78</v>
      </c>
    </row>
    <row r="203" spans="2:13" x14ac:dyDescent="0.3">
      <c r="B203" s="3">
        <v>44.85</v>
      </c>
      <c r="C203" s="3">
        <v>126.59</v>
      </c>
      <c r="D203" s="3">
        <v>2.93</v>
      </c>
      <c r="E203" s="3">
        <v>50.69</v>
      </c>
      <c r="F203" s="3">
        <v>126.23</v>
      </c>
      <c r="G203" s="3">
        <v>2.83</v>
      </c>
      <c r="H203" s="3">
        <v>47.48</v>
      </c>
      <c r="I203" s="3">
        <v>109.49</v>
      </c>
      <c r="J203" s="3">
        <v>3.09</v>
      </c>
      <c r="K203" s="3">
        <v>50.33</v>
      </c>
      <c r="L203" s="3">
        <v>133.78</v>
      </c>
      <c r="M203" s="3">
        <v>2.81</v>
      </c>
    </row>
    <row r="204" spans="2:13" x14ac:dyDescent="0.3">
      <c r="B204" s="4">
        <v>26.35</v>
      </c>
      <c r="C204" s="4">
        <v>102.03</v>
      </c>
      <c r="D204" s="4">
        <v>3.99</v>
      </c>
      <c r="E204" s="4">
        <v>30.78</v>
      </c>
      <c r="F204" s="4">
        <v>117.14</v>
      </c>
      <c r="G204" s="4">
        <v>3.56</v>
      </c>
      <c r="H204" s="4">
        <v>26.39</v>
      </c>
      <c r="I204" s="4">
        <v>94.67</v>
      </c>
      <c r="J204" s="4">
        <v>4.05</v>
      </c>
      <c r="K204" s="4">
        <v>26.7</v>
      </c>
      <c r="L204" s="4">
        <v>124.54</v>
      </c>
      <c r="M204" s="4">
        <v>3.79</v>
      </c>
    </row>
    <row r="205" spans="2:13" x14ac:dyDescent="0.3">
      <c r="B205" s="3">
        <v>22.36</v>
      </c>
      <c r="C205" s="3">
        <v>49.43</v>
      </c>
      <c r="D205" s="3">
        <v>5.5</v>
      </c>
      <c r="E205" s="3">
        <v>21.31</v>
      </c>
      <c r="F205" s="3">
        <v>41.89</v>
      </c>
      <c r="G205" s="3">
        <v>5.77</v>
      </c>
      <c r="H205" s="3">
        <v>25.24</v>
      </c>
      <c r="I205" s="3">
        <v>57.03</v>
      </c>
      <c r="J205" s="3">
        <v>5.44</v>
      </c>
      <c r="K205" s="3">
        <v>20.79</v>
      </c>
      <c r="L205" s="3">
        <v>49.4</v>
      </c>
      <c r="M205" s="3">
        <v>5.53</v>
      </c>
    </row>
    <row r="206" spans="2:13" x14ac:dyDescent="0.3">
      <c r="B206" s="4">
        <v>28.46</v>
      </c>
      <c r="C206" s="4">
        <v>64.42</v>
      </c>
      <c r="D206" s="4">
        <v>4.33</v>
      </c>
      <c r="E206" s="4">
        <v>18.559999999999999</v>
      </c>
      <c r="F206" s="4">
        <v>34.49</v>
      </c>
      <c r="G206" s="4">
        <v>5.65</v>
      </c>
      <c r="H206" s="4">
        <v>25.99</v>
      </c>
      <c r="I206" s="4">
        <v>71.959999999999994</v>
      </c>
      <c r="J206" s="4">
        <v>4.3</v>
      </c>
      <c r="K206" s="4">
        <v>31.55</v>
      </c>
      <c r="L206" s="4">
        <v>64.38</v>
      </c>
      <c r="M206" s="4">
        <v>3.97</v>
      </c>
    </row>
    <row r="207" spans="2:13" x14ac:dyDescent="0.3">
      <c r="B207" s="3">
        <v>51.04</v>
      </c>
      <c r="C207" s="3">
        <v>169.61</v>
      </c>
      <c r="D207" s="3">
        <v>3.04</v>
      </c>
      <c r="E207" s="3">
        <v>54.68</v>
      </c>
      <c r="F207" s="3">
        <v>176.99</v>
      </c>
      <c r="G207" s="3">
        <v>2.75</v>
      </c>
      <c r="H207" s="3">
        <v>48.15</v>
      </c>
      <c r="I207" s="3">
        <v>176.98</v>
      </c>
      <c r="J207" s="3">
        <v>2.99</v>
      </c>
      <c r="K207" s="3">
        <v>56.31</v>
      </c>
      <c r="L207" s="3">
        <v>176.92</v>
      </c>
      <c r="M207" s="3">
        <v>2.85</v>
      </c>
    </row>
    <row r="208" spans="2:13" x14ac:dyDescent="0.3">
      <c r="B208" s="4">
        <v>69.540000000000006</v>
      </c>
      <c r="C208" s="4">
        <v>116.97</v>
      </c>
      <c r="D208" s="4">
        <v>2.2000000000000002</v>
      </c>
      <c r="E208" s="4">
        <v>72.14</v>
      </c>
      <c r="F208" s="4">
        <v>94.37</v>
      </c>
      <c r="G208" s="4">
        <v>2.06</v>
      </c>
      <c r="H208" s="4">
        <v>55.31</v>
      </c>
      <c r="I208" s="4">
        <v>139.58000000000001</v>
      </c>
      <c r="J208" s="4">
        <v>2.58</v>
      </c>
      <c r="K208" s="4">
        <v>63.16</v>
      </c>
      <c r="L208" s="4">
        <v>131.53</v>
      </c>
      <c r="M208" s="4">
        <v>2.4700000000000002</v>
      </c>
    </row>
    <row r="209" spans="1:13" x14ac:dyDescent="0.3">
      <c r="B209" s="3">
        <v>61.33</v>
      </c>
      <c r="C209" s="3">
        <v>154.54</v>
      </c>
      <c r="D209" s="3">
        <v>2.65</v>
      </c>
      <c r="E209" s="3">
        <v>55.4</v>
      </c>
      <c r="F209" s="3">
        <v>141.08000000000001</v>
      </c>
      <c r="G209" s="3">
        <v>2.62</v>
      </c>
      <c r="H209" s="3">
        <v>60.05</v>
      </c>
      <c r="I209" s="3">
        <v>146.91</v>
      </c>
      <c r="J209" s="3">
        <v>2.78</v>
      </c>
      <c r="K209" s="3">
        <v>57.99</v>
      </c>
      <c r="L209" s="3">
        <v>132</v>
      </c>
      <c r="M209" s="3">
        <v>2.77</v>
      </c>
    </row>
    <row r="210" spans="1:13" x14ac:dyDescent="0.3">
      <c r="B210" s="4">
        <v>39.68</v>
      </c>
      <c r="C210" s="4">
        <v>94.5</v>
      </c>
      <c r="D210" s="4">
        <v>2.9</v>
      </c>
      <c r="E210" s="4">
        <v>36.97</v>
      </c>
      <c r="F210" s="4">
        <v>87.03</v>
      </c>
      <c r="G210" s="4">
        <v>2.97</v>
      </c>
      <c r="H210" s="4">
        <v>29.05</v>
      </c>
      <c r="I210" s="4">
        <v>71.89</v>
      </c>
      <c r="J210" s="4">
        <v>3.79</v>
      </c>
      <c r="K210" s="4">
        <v>35.450000000000003</v>
      </c>
      <c r="L210" s="4">
        <v>79.53</v>
      </c>
      <c r="M210" s="4">
        <v>3.19</v>
      </c>
    </row>
    <row r="211" spans="1:13" x14ac:dyDescent="0.3">
      <c r="B211" s="3">
        <v>35.14</v>
      </c>
      <c r="C211" s="3">
        <v>94.45</v>
      </c>
      <c r="D211" s="3">
        <v>3.64</v>
      </c>
      <c r="E211" s="3">
        <v>35.33</v>
      </c>
      <c r="F211" s="3">
        <v>94.4</v>
      </c>
      <c r="G211" s="3">
        <v>3.62</v>
      </c>
      <c r="H211" s="3">
        <v>39.49</v>
      </c>
      <c r="I211" s="3">
        <v>109.51</v>
      </c>
      <c r="J211" s="3">
        <v>3.34</v>
      </c>
      <c r="K211" s="3">
        <v>43.71</v>
      </c>
      <c r="L211" s="3">
        <v>109.52</v>
      </c>
      <c r="M211" s="3">
        <v>3.04</v>
      </c>
    </row>
    <row r="212" spans="1:13" x14ac:dyDescent="0.3">
      <c r="B212" s="4">
        <v>27.85</v>
      </c>
      <c r="C212" s="4">
        <v>88.3</v>
      </c>
      <c r="D212" s="4">
        <v>4.37</v>
      </c>
      <c r="E212" s="4">
        <v>17.39</v>
      </c>
      <c r="F212" s="4">
        <v>71.98</v>
      </c>
      <c r="G212" s="4">
        <v>5.31</v>
      </c>
      <c r="H212" s="4">
        <v>14.12</v>
      </c>
      <c r="I212" s="4">
        <v>64.5</v>
      </c>
      <c r="J212" s="4">
        <v>6.16</v>
      </c>
      <c r="K212" s="4">
        <v>15.83</v>
      </c>
      <c r="L212" s="4">
        <v>86.72</v>
      </c>
      <c r="M212" s="4">
        <v>5.93</v>
      </c>
    </row>
    <row r="214" spans="1:13" x14ac:dyDescent="0.3">
      <c r="A214" s="5" t="s">
        <v>42</v>
      </c>
      <c r="B214" s="5">
        <f>AVERAGE(B177:B212)</f>
        <v>35.663888888888884</v>
      </c>
      <c r="C214" s="5">
        <f t="shared" ref="C214:M214" si="14">AVERAGE(C177:C212)</f>
        <v>112.71499999999997</v>
      </c>
      <c r="D214" s="5">
        <f t="shared" si="14"/>
        <v>3.7172222222222229</v>
      </c>
      <c r="E214" s="5">
        <f t="shared" si="14"/>
        <v>35.819722222222225</v>
      </c>
      <c r="F214" s="5">
        <f t="shared" si="14"/>
        <v>105.96583333333331</v>
      </c>
      <c r="G214" s="5">
        <f t="shared" si="14"/>
        <v>3.815555555555556</v>
      </c>
      <c r="H214" s="5">
        <f t="shared" si="14"/>
        <v>33.867499999999986</v>
      </c>
      <c r="I214" s="5">
        <f t="shared" si="14"/>
        <v>112.18111111111111</v>
      </c>
      <c r="J214" s="5">
        <f t="shared" si="14"/>
        <v>3.8799999999999994</v>
      </c>
      <c r="K214" s="5">
        <f t="shared" si="14"/>
        <v>34.815833333333345</v>
      </c>
      <c r="L214" s="5">
        <f t="shared" si="14"/>
        <v>111.09277777777781</v>
      </c>
      <c r="M214" s="5">
        <f t="shared" si="14"/>
        <v>3.8697222222222223</v>
      </c>
    </row>
    <row r="215" spans="1:13" x14ac:dyDescent="0.3">
      <c r="A215" s="5" t="s">
        <v>35</v>
      </c>
      <c r="B215" s="5">
        <f>AVERAGE(B214,E214,H214,K214)</f>
        <v>35.041736111111106</v>
      </c>
      <c r="C215" s="5">
        <f t="shared" ref="C215" si="15">AVERAGE(C214,F214,I214,L214)</f>
        <v>110.48868055555555</v>
      </c>
      <c r="D215" s="5">
        <f t="shared" ref="D215" si="16">AVERAGE(D214,G214,J214,M214)</f>
        <v>3.8206250000000002</v>
      </c>
      <c r="E215" s="5"/>
      <c r="F215" s="5"/>
      <c r="G215" s="5"/>
      <c r="H215" s="5"/>
      <c r="I215" s="5"/>
      <c r="J215" s="5"/>
      <c r="K215" s="5"/>
      <c r="L215" s="5"/>
      <c r="M215" s="5"/>
    </row>
    <row r="217" spans="1:13" x14ac:dyDescent="0.3">
      <c r="B217" s="38" t="s">
        <v>6</v>
      </c>
      <c r="C217" s="38"/>
      <c r="D217" s="38"/>
      <c r="E217" s="38"/>
    </row>
    <row r="219" spans="1:13" x14ac:dyDescent="0.3">
      <c r="B219" s="39" t="s">
        <v>17</v>
      </c>
      <c r="C219" s="39"/>
      <c r="D219" s="39"/>
      <c r="E219" s="40" t="s">
        <v>18</v>
      </c>
      <c r="F219" s="40"/>
      <c r="G219" s="40"/>
      <c r="H219" s="41" t="s">
        <v>19</v>
      </c>
      <c r="I219" s="41"/>
      <c r="J219" s="41"/>
      <c r="K219" s="42" t="s">
        <v>20</v>
      </c>
      <c r="L219" s="42"/>
      <c r="M219" s="42"/>
    </row>
    <row r="220" spans="1:13" x14ac:dyDescent="0.3">
      <c r="B220" s="1" t="s">
        <v>21</v>
      </c>
      <c r="C220" s="1" t="s">
        <v>22</v>
      </c>
      <c r="D220" s="1" t="s">
        <v>23</v>
      </c>
      <c r="E220" s="1" t="s">
        <v>21</v>
      </c>
      <c r="F220" s="1" t="s">
        <v>22</v>
      </c>
      <c r="G220" s="1" t="s">
        <v>23</v>
      </c>
      <c r="H220" s="1" t="s">
        <v>21</v>
      </c>
      <c r="I220" s="1" t="s">
        <v>22</v>
      </c>
      <c r="J220" s="1" t="s">
        <v>23</v>
      </c>
      <c r="K220" s="1" t="s">
        <v>21</v>
      </c>
      <c r="L220" s="1" t="s">
        <v>22</v>
      </c>
      <c r="M220" s="1" t="s">
        <v>23</v>
      </c>
    </row>
    <row r="221" spans="1:13" x14ac:dyDescent="0.3">
      <c r="B221" s="3">
        <v>46.17</v>
      </c>
      <c r="C221" s="3">
        <v>86.64</v>
      </c>
      <c r="D221" s="3">
        <v>2.0299999999999998</v>
      </c>
      <c r="E221" s="3">
        <v>43.59</v>
      </c>
      <c r="F221" s="3">
        <v>71.7</v>
      </c>
      <c r="G221" s="3">
        <v>2.04</v>
      </c>
      <c r="H221" s="3">
        <v>48.59</v>
      </c>
      <c r="I221" s="3">
        <v>86.6</v>
      </c>
      <c r="J221" s="3">
        <v>3.09</v>
      </c>
      <c r="K221" s="3">
        <v>44.98</v>
      </c>
      <c r="L221" s="3">
        <v>71.59</v>
      </c>
      <c r="M221" s="3">
        <v>2.0499999999999998</v>
      </c>
    </row>
    <row r="222" spans="1:13" x14ac:dyDescent="0.3">
      <c r="B222" s="4">
        <v>40.43</v>
      </c>
      <c r="C222" s="4">
        <v>49.26</v>
      </c>
      <c r="D222" s="4">
        <v>2.37</v>
      </c>
      <c r="E222" s="4">
        <v>39.17</v>
      </c>
      <c r="F222" s="4">
        <v>56.86</v>
      </c>
      <c r="G222" s="4">
        <v>2.38</v>
      </c>
      <c r="H222" s="4">
        <v>44.34</v>
      </c>
      <c r="I222" s="4">
        <v>71.66</v>
      </c>
      <c r="J222" s="4">
        <v>2.25</v>
      </c>
      <c r="K222" s="4">
        <v>44.09</v>
      </c>
      <c r="L222" s="4">
        <v>64.13</v>
      </c>
      <c r="M222" s="4">
        <v>2.34</v>
      </c>
    </row>
    <row r="223" spans="1:13" x14ac:dyDescent="0.3">
      <c r="B223" s="3">
        <v>37.380000000000003</v>
      </c>
      <c r="C223" s="3">
        <v>71.84</v>
      </c>
      <c r="D223" s="3">
        <v>2.36</v>
      </c>
      <c r="E223" s="3">
        <v>33.68</v>
      </c>
      <c r="F223" s="3">
        <v>56.78</v>
      </c>
      <c r="G223" s="3">
        <v>2.5299999999999998</v>
      </c>
      <c r="H223" s="3">
        <v>37.43</v>
      </c>
      <c r="I223" s="3">
        <v>87</v>
      </c>
      <c r="J223" s="3">
        <v>2.48</v>
      </c>
      <c r="K223" s="3">
        <v>37.69</v>
      </c>
      <c r="L223" s="3">
        <v>79.25</v>
      </c>
      <c r="M223" s="3">
        <v>2.5299999999999998</v>
      </c>
    </row>
    <row r="224" spans="1:13" x14ac:dyDescent="0.3">
      <c r="B224" s="4">
        <v>53.76</v>
      </c>
      <c r="C224" s="4">
        <v>86.78</v>
      </c>
      <c r="D224" s="4">
        <v>4.16</v>
      </c>
      <c r="E224" s="4">
        <v>53.18</v>
      </c>
      <c r="F224" s="4">
        <v>124.12</v>
      </c>
      <c r="G224" s="4">
        <v>4.16</v>
      </c>
      <c r="H224" s="4">
        <v>52.94</v>
      </c>
      <c r="I224" s="4">
        <v>79.489999999999995</v>
      </c>
      <c r="J224" s="4">
        <v>4.16</v>
      </c>
      <c r="K224" s="4">
        <v>35.26</v>
      </c>
      <c r="L224" s="4">
        <v>70.58</v>
      </c>
      <c r="M224" s="4">
        <v>2.33</v>
      </c>
    </row>
    <row r="225" spans="2:13" x14ac:dyDescent="0.3">
      <c r="B225" s="3">
        <v>30.9</v>
      </c>
      <c r="C225" s="3">
        <v>80.97</v>
      </c>
      <c r="D225" s="3">
        <v>3.09</v>
      </c>
      <c r="E225" s="3">
        <v>44.02</v>
      </c>
      <c r="F225" s="3">
        <v>94.13</v>
      </c>
      <c r="G225" s="3">
        <v>3.09</v>
      </c>
      <c r="H225" s="3">
        <v>42.79</v>
      </c>
      <c r="I225" s="3">
        <v>86.71</v>
      </c>
      <c r="J225" s="3">
        <v>3.09</v>
      </c>
      <c r="K225" s="3">
        <v>43.54</v>
      </c>
      <c r="L225" s="3">
        <v>64.14</v>
      </c>
      <c r="M225" s="3">
        <v>2.06</v>
      </c>
    </row>
    <row r="226" spans="2:13" x14ac:dyDescent="0.3">
      <c r="B226" s="4">
        <v>69.13</v>
      </c>
      <c r="C226" s="4">
        <v>79.489999999999995</v>
      </c>
      <c r="D226" s="4">
        <v>4.16</v>
      </c>
      <c r="E226" s="4">
        <v>70.87</v>
      </c>
      <c r="F226" s="4">
        <v>79.489999999999995</v>
      </c>
      <c r="G226" s="4">
        <v>4.16</v>
      </c>
      <c r="H226" s="4">
        <v>62.01</v>
      </c>
      <c r="I226" s="4">
        <v>79.489999999999995</v>
      </c>
      <c r="J226" s="4">
        <v>4.16</v>
      </c>
      <c r="K226" s="4">
        <v>84.32</v>
      </c>
      <c r="L226" s="4">
        <v>79.489999999999995</v>
      </c>
      <c r="M226" s="4">
        <v>4.16</v>
      </c>
    </row>
    <row r="227" spans="2:13" x14ac:dyDescent="0.3">
      <c r="B227" s="3">
        <v>30.9</v>
      </c>
      <c r="C227" s="3">
        <v>80.97</v>
      </c>
      <c r="D227" s="3">
        <v>1.17</v>
      </c>
      <c r="E227" s="3">
        <v>70.39</v>
      </c>
      <c r="F227" s="3">
        <v>80.97</v>
      </c>
      <c r="G227" s="3">
        <v>3.09</v>
      </c>
      <c r="H227" s="3">
        <v>30.9</v>
      </c>
      <c r="I227" s="3">
        <v>80.97</v>
      </c>
      <c r="J227" s="3">
        <v>3.09</v>
      </c>
      <c r="K227" s="3">
        <v>30.91</v>
      </c>
      <c r="L227" s="3">
        <v>80.97</v>
      </c>
      <c r="M227" s="3">
        <v>3.09</v>
      </c>
    </row>
    <row r="228" spans="2:13" x14ac:dyDescent="0.3">
      <c r="B228" s="4">
        <v>46.82</v>
      </c>
      <c r="C228" s="4">
        <v>79.489999999999995</v>
      </c>
      <c r="D228" s="4">
        <v>4.16</v>
      </c>
      <c r="E228" s="4">
        <v>47.66</v>
      </c>
      <c r="F228" s="4">
        <v>71.72</v>
      </c>
      <c r="G228" s="4">
        <v>4.16</v>
      </c>
      <c r="H228" s="4">
        <v>48.41</v>
      </c>
      <c r="I228" s="4">
        <v>71.77</v>
      </c>
      <c r="J228" s="4">
        <v>4.16</v>
      </c>
      <c r="K228" s="4">
        <v>47.45</v>
      </c>
      <c r="L228" s="4">
        <v>79.489999999999995</v>
      </c>
      <c r="M228" s="4">
        <v>4.16</v>
      </c>
    </row>
    <row r="229" spans="2:13" x14ac:dyDescent="0.3">
      <c r="B229" s="3">
        <v>30.9</v>
      </c>
      <c r="C229" s="3">
        <v>87.62</v>
      </c>
      <c r="D229" s="3">
        <v>1.32</v>
      </c>
      <c r="E229" s="3">
        <v>44.8</v>
      </c>
      <c r="F229" s="3">
        <v>80.97</v>
      </c>
      <c r="G229" s="3">
        <v>3.09</v>
      </c>
      <c r="H229" s="3">
        <v>30.9</v>
      </c>
      <c r="I229" s="3">
        <v>150</v>
      </c>
      <c r="J229" s="3">
        <v>3.09</v>
      </c>
      <c r="K229" s="3">
        <v>51.67</v>
      </c>
      <c r="L229" s="3">
        <v>80.97</v>
      </c>
      <c r="M229" s="3">
        <v>3.09</v>
      </c>
    </row>
    <row r="230" spans="2:13" x14ac:dyDescent="0.3">
      <c r="B230" s="4">
        <v>86.8</v>
      </c>
      <c r="C230" s="4">
        <v>86.78</v>
      </c>
      <c r="D230" s="4">
        <v>4.16</v>
      </c>
      <c r="E230" s="4">
        <v>58.37</v>
      </c>
      <c r="F230" s="4">
        <v>86.78</v>
      </c>
      <c r="G230" s="4">
        <v>4.16</v>
      </c>
      <c r="H230" s="4">
        <v>84.21</v>
      </c>
      <c r="I230" s="4">
        <v>79.489999999999995</v>
      </c>
      <c r="J230" s="4">
        <v>4.16</v>
      </c>
      <c r="K230" s="4">
        <v>59.14</v>
      </c>
      <c r="L230" s="4">
        <v>86.62</v>
      </c>
      <c r="M230" s="4">
        <v>4.16</v>
      </c>
    </row>
    <row r="231" spans="2:13" x14ac:dyDescent="0.3">
      <c r="B231" s="3">
        <v>30.9</v>
      </c>
      <c r="C231" s="3">
        <v>87.62</v>
      </c>
      <c r="D231" s="3">
        <v>1.87</v>
      </c>
      <c r="E231" s="3">
        <v>51.16</v>
      </c>
      <c r="F231" s="3">
        <v>109.57</v>
      </c>
      <c r="G231" s="3">
        <v>3.09</v>
      </c>
      <c r="H231" s="3">
        <v>44.49</v>
      </c>
      <c r="I231" s="3">
        <v>86.86</v>
      </c>
      <c r="J231" s="3">
        <v>3.09</v>
      </c>
      <c r="K231" s="3">
        <v>50.95</v>
      </c>
      <c r="L231" s="3">
        <v>72.81</v>
      </c>
      <c r="M231" s="3">
        <v>3.09</v>
      </c>
    </row>
    <row r="232" spans="2:13" x14ac:dyDescent="0.3">
      <c r="B232" s="4">
        <v>65.569999999999993</v>
      </c>
      <c r="C232" s="4">
        <v>86.78</v>
      </c>
      <c r="D232" s="4">
        <v>4.16</v>
      </c>
      <c r="E232" s="4">
        <v>65</v>
      </c>
      <c r="F232" s="4">
        <v>109.38</v>
      </c>
      <c r="G232" s="4">
        <v>4.16</v>
      </c>
      <c r="H232" s="4">
        <v>47.1</v>
      </c>
      <c r="I232" s="4">
        <v>92.91</v>
      </c>
      <c r="J232" s="4">
        <v>4.16</v>
      </c>
      <c r="K232" s="4">
        <v>49.69</v>
      </c>
      <c r="L232" s="4">
        <v>79.489999999999995</v>
      </c>
      <c r="M232" s="4">
        <v>4.16</v>
      </c>
    </row>
    <row r="233" spans="2:13" x14ac:dyDescent="0.3">
      <c r="B233" s="3">
        <v>35.29</v>
      </c>
      <c r="C233" s="3">
        <v>87.62</v>
      </c>
      <c r="D233" s="3">
        <v>2.68</v>
      </c>
      <c r="E233" s="3">
        <v>31.72</v>
      </c>
      <c r="F233" s="3">
        <v>80.97</v>
      </c>
      <c r="G233" s="3">
        <v>2.96</v>
      </c>
      <c r="H233" s="3">
        <v>33.729999999999997</v>
      </c>
      <c r="I233" s="3">
        <v>94.38</v>
      </c>
      <c r="J233" s="3">
        <v>2.79</v>
      </c>
      <c r="K233" s="3">
        <v>32.78</v>
      </c>
      <c r="L233" s="3">
        <v>86.75</v>
      </c>
      <c r="M233" s="3">
        <v>3.09</v>
      </c>
    </row>
    <row r="234" spans="2:13" x14ac:dyDescent="0.3">
      <c r="B234" s="4">
        <v>21.54</v>
      </c>
      <c r="C234" s="4">
        <v>56.75</v>
      </c>
      <c r="D234" s="4">
        <v>4.16</v>
      </c>
      <c r="E234" s="4">
        <v>19.86</v>
      </c>
      <c r="F234" s="4">
        <v>49.4</v>
      </c>
      <c r="G234" s="4">
        <v>4.33</v>
      </c>
      <c r="H234" s="4">
        <v>25.29</v>
      </c>
      <c r="I234" s="4">
        <v>66.180000000000007</v>
      </c>
      <c r="J234" s="4">
        <v>3.64</v>
      </c>
      <c r="K234" s="4">
        <v>25.3</v>
      </c>
      <c r="L234" s="4">
        <v>64.2</v>
      </c>
      <c r="M234" s="4">
        <v>3.62</v>
      </c>
    </row>
    <row r="235" spans="2:13" x14ac:dyDescent="0.3">
      <c r="B235" s="3">
        <v>29.95</v>
      </c>
      <c r="C235" s="3">
        <v>86.73</v>
      </c>
      <c r="D235" s="3">
        <v>3.09</v>
      </c>
      <c r="E235" s="3">
        <v>23.55</v>
      </c>
      <c r="F235" s="3">
        <v>64.319999999999993</v>
      </c>
      <c r="G235" s="3">
        <v>3.63</v>
      </c>
      <c r="H235" s="3">
        <v>32.950000000000003</v>
      </c>
      <c r="I235" s="3">
        <v>80.97</v>
      </c>
      <c r="J235" s="3">
        <v>2.98</v>
      </c>
      <c r="K235" s="3">
        <v>33.11</v>
      </c>
      <c r="L235" s="3">
        <v>94.37</v>
      </c>
      <c r="M235" s="3">
        <v>3.09</v>
      </c>
    </row>
    <row r="236" spans="2:13" x14ac:dyDescent="0.3">
      <c r="B236" s="4">
        <v>35.770000000000003</v>
      </c>
      <c r="C236" s="4">
        <v>79.489999999999995</v>
      </c>
      <c r="D236" s="4">
        <v>2.69</v>
      </c>
      <c r="E236" s="4">
        <v>31.9</v>
      </c>
      <c r="F236" s="4">
        <v>79.489999999999995</v>
      </c>
      <c r="G236" s="4">
        <v>3.04</v>
      </c>
      <c r="H236" s="4">
        <v>36.9</v>
      </c>
      <c r="I236" s="4">
        <v>86.8</v>
      </c>
      <c r="J236" s="4">
        <v>2.74</v>
      </c>
      <c r="K236" s="4">
        <v>27.45</v>
      </c>
      <c r="L236" s="4">
        <v>79.22</v>
      </c>
      <c r="M236" s="4">
        <v>3.12</v>
      </c>
    </row>
    <row r="237" spans="2:13" x14ac:dyDescent="0.3">
      <c r="B237" s="3">
        <v>45.13</v>
      </c>
      <c r="C237" s="3">
        <v>80.97</v>
      </c>
      <c r="D237" s="3">
        <v>2.2999999999999998</v>
      </c>
      <c r="E237" s="3">
        <v>26.77</v>
      </c>
      <c r="F237" s="3">
        <v>80.97</v>
      </c>
      <c r="G237" s="3">
        <v>3.56</v>
      </c>
      <c r="H237" s="3">
        <v>29.95</v>
      </c>
      <c r="I237" s="3">
        <v>94.75</v>
      </c>
      <c r="J237" s="3">
        <v>3.35</v>
      </c>
      <c r="K237" s="3">
        <v>26.23</v>
      </c>
      <c r="L237" s="3">
        <v>85.54</v>
      </c>
      <c r="M237" s="3">
        <v>3.72</v>
      </c>
    </row>
    <row r="238" spans="2:13" x14ac:dyDescent="0.3">
      <c r="B238" s="4">
        <v>36.130000000000003</v>
      </c>
      <c r="C238" s="4">
        <v>86.78</v>
      </c>
      <c r="D238" s="4">
        <v>2.7</v>
      </c>
      <c r="E238" s="4">
        <v>31.62</v>
      </c>
      <c r="F238" s="4">
        <v>143.75</v>
      </c>
      <c r="G238" s="4">
        <v>2.84</v>
      </c>
      <c r="H238" s="4">
        <v>34.15</v>
      </c>
      <c r="I238" s="4">
        <v>79.489999999999995</v>
      </c>
      <c r="J238" s="4">
        <v>4.16</v>
      </c>
      <c r="K238" s="4">
        <v>40.08</v>
      </c>
      <c r="L238" s="4">
        <v>79.489999999999995</v>
      </c>
      <c r="M238" s="4">
        <v>4.16</v>
      </c>
    </row>
    <row r="239" spans="2:13" x14ac:dyDescent="0.3">
      <c r="B239" s="3">
        <v>30.9</v>
      </c>
      <c r="C239" s="3">
        <v>87.62</v>
      </c>
      <c r="D239" s="3">
        <v>2.2799999999999998</v>
      </c>
      <c r="E239" s="3">
        <v>39.18</v>
      </c>
      <c r="F239" s="3">
        <v>116.9</v>
      </c>
      <c r="G239" s="3">
        <v>2.48</v>
      </c>
      <c r="H239" s="3">
        <v>43.67</v>
      </c>
      <c r="I239" s="3">
        <v>80.97</v>
      </c>
      <c r="J239" s="3">
        <v>3.09</v>
      </c>
      <c r="K239" s="3">
        <v>47.19</v>
      </c>
      <c r="L239" s="3">
        <v>80.97</v>
      </c>
      <c r="M239" s="3">
        <v>2.14</v>
      </c>
    </row>
    <row r="240" spans="2:13" x14ac:dyDescent="0.3">
      <c r="B240" s="4">
        <v>36.53</v>
      </c>
      <c r="C240" s="4">
        <v>86.72</v>
      </c>
      <c r="D240" s="4">
        <v>2.79</v>
      </c>
      <c r="E240" s="4">
        <v>34.17</v>
      </c>
      <c r="F240" s="4">
        <v>79.23</v>
      </c>
      <c r="G240" s="4">
        <v>3.12</v>
      </c>
      <c r="H240" s="4">
        <v>35.56</v>
      </c>
      <c r="I240" s="4">
        <v>81.099999999999994</v>
      </c>
      <c r="J240" s="4">
        <v>2.93</v>
      </c>
      <c r="K240" s="4">
        <v>35.5</v>
      </c>
      <c r="L240" s="4">
        <v>94.23</v>
      </c>
      <c r="M240" s="4">
        <v>4.16</v>
      </c>
    </row>
    <row r="241" spans="1:13" x14ac:dyDescent="0.3">
      <c r="B241" s="3">
        <v>29.01</v>
      </c>
      <c r="C241" s="3">
        <v>80.97</v>
      </c>
      <c r="D241" s="3">
        <v>2.93</v>
      </c>
      <c r="E241" s="3">
        <v>27.45</v>
      </c>
      <c r="F241" s="3">
        <v>94.17</v>
      </c>
      <c r="G241" s="3">
        <v>3.32</v>
      </c>
      <c r="H241" s="3">
        <v>34.619999999999997</v>
      </c>
      <c r="I241" s="3">
        <v>80.97</v>
      </c>
      <c r="J241" s="3">
        <v>2.72</v>
      </c>
      <c r="K241" s="3">
        <v>30.91</v>
      </c>
      <c r="L241" s="3">
        <v>101.73</v>
      </c>
      <c r="M241" s="3">
        <v>3.08</v>
      </c>
    </row>
    <row r="242" spans="1:13" x14ac:dyDescent="0.3">
      <c r="B242" s="4">
        <v>39.450000000000003</v>
      </c>
      <c r="C242" s="4">
        <v>79.489999999999995</v>
      </c>
      <c r="D242" s="4">
        <v>2.39</v>
      </c>
      <c r="E242" s="4">
        <v>31.38</v>
      </c>
      <c r="F242" s="4">
        <v>79.489999999999995</v>
      </c>
      <c r="G242" s="4">
        <v>2.87</v>
      </c>
      <c r="H242" s="4">
        <v>38.380000000000003</v>
      </c>
      <c r="I242" s="4">
        <v>79.489999999999995</v>
      </c>
      <c r="J242" s="4">
        <v>2.4</v>
      </c>
      <c r="K242" s="4">
        <v>30.51</v>
      </c>
      <c r="L242" s="4">
        <v>88.73</v>
      </c>
      <c r="M242" s="4">
        <v>2.98</v>
      </c>
    </row>
    <row r="243" spans="1:13" x14ac:dyDescent="0.3">
      <c r="B243" s="3">
        <v>30.57</v>
      </c>
      <c r="C243" s="3">
        <v>80.97</v>
      </c>
      <c r="D243" s="3">
        <v>2.58</v>
      </c>
      <c r="E243" s="3">
        <v>28.27</v>
      </c>
      <c r="F243" s="3">
        <v>94.61</v>
      </c>
      <c r="G243" s="3">
        <v>2.98</v>
      </c>
      <c r="H243" s="3">
        <v>30.49</v>
      </c>
      <c r="I243" s="3">
        <v>80.97</v>
      </c>
      <c r="J243" s="3">
        <v>2.58</v>
      </c>
      <c r="K243" s="3">
        <v>33.51</v>
      </c>
      <c r="L243" s="3">
        <v>80.97</v>
      </c>
      <c r="M243" s="3">
        <v>2.5099999999999998</v>
      </c>
    </row>
    <row r="244" spans="1:13" x14ac:dyDescent="0.3">
      <c r="B244" s="4">
        <v>34.71</v>
      </c>
      <c r="C244" s="4">
        <v>86.78</v>
      </c>
      <c r="D244" s="4">
        <v>2.63</v>
      </c>
      <c r="E244" s="4">
        <v>33.35</v>
      </c>
      <c r="F244" s="4">
        <v>102.08</v>
      </c>
      <c r="G244" s="4">
        <v>2.77</v>
      </c>
      <c r="H244" s="4">
        <v>28.29</v>
      </c>
      <c r="I244" s="4">
        <v>86.86</v>
      </c>
      <c r="J244" s="4">
        <v>3.29</v>
      </c>
      <c r="K244" s="4">
        <v>33.11</v>
      </c>
      <c r="L244" s="4">
        <v>79.489999999999995</v>
      </c>
      <c r="M244" s="4">
        <v>2.9</v>
      </c>
    </row>
    <row r="246" spans="1:13" x14ac:dyDescent="0.3">
      <c r="A246" s="5" t="s">
        <v>42</v>
      </c>
      <c r="B246" s="5">
        <f>AVERAGE(B221:B244)</f>
        <v>40.609999999999992</v>
      </c>
      <c r="C246" s="5">
        <f t="shared" ref="C246:M246" si="17">AVERAGE(C221:C244)</f>
        <v>81.047083333333347</v>
      </c>
      <c r="D246" s="5">
        <f t="shared" si="17"/>
        <v>2.842916666666667</v>
      </c>
      <c r="E246" s="5">
        <f t="shared" si="17"/>
        <v>40.879583333333329</v>
      </c>
      <c r="F246" s="5">
        <f t="shared" si="17"/>
        <v>86.99375000000002</v>
      </c>
      <c r="G246" s="5">
        <f t="shared" si="17"/>
        <v>3.2504166666666663</v>
      </c>
      <c r="H246" s="5">
        <f t="shared" si="17"/>
        <v>40.753749999999997</v>
      </c>
      <c r="I246" s="5">
        <f t="shared" si="17"/>
        <v>85.24499999999999</v>
      </c>
      <c r="J246" s="5">
        <f t="shared" si="17"/>
        <v>3.2354166666666675</v>
      </c>
      <c r="K246" s="5">
        <f t="shared" si="17"/>
        <v>40.640416666666674</v>
      </c>
      <c r="L246" s="5">
        <f t="shared" si="17"/>
        <v>80.217500000000001</v>
      </c>
      <c r="M246" s="5">
        <f t="shared" si="17"/>
        <v>3.1579166666666669</v>
      </c>
    </row>
    <row r="247" spans="1:13" x14ac:dyDescent="0.3">
      <c r="A247" s="5" t="s">
        <v>35</v>
      </c>
      <c r="B247" s="5">
        <f>AVERAGE(B246,E246,H246,K246)</f>
        <v>40.720937499999998</v>
      </c>
      <c r="C247" s="5">
        <f t="shared" ref="C247" si="18">AVERAGE(C246,F246,I246,L246)</f>
        <v>83.375833333333333</v>
      </c>
      <c r="D247" s="5">
        <f t="shared" ref="D247" si="19">AVERAGE(D246,G246,J246,M246)</f>
        <v>3.121666666666667</v>
      </c>
      <c r="E247" s="5"/>
      <c r="F247" s="5"/>
      <c r="G247" s="5"/>
      <c r="H247" s="5"/>
      <c r="I247" s="5"/>
      <c r="J247" s="5"/>
      <c r="K247" s="5"/>
      <c r="L247" s="5"/>
      <c r="M247" s="5"/>
    </row>
    <row r="249" spans="1:13" x14ac:dyDescent="0.3">
      <c r="B249" s="38" t="s">
        <v>8</v>
      </c>
      <c r="C249" s="38"/>
      <c r="D249" s="38"/>
      <c r="E249" s="38"/>
    </row>
    <row r="251" spans="1:13" x14ac:dyDescent="0.3">
      <c r="B251" s="39" t="s">
        <v>17</v>
      </c>
      <c r="C251" s="39"/>
      <c r="D251" s="39"/>
      <c r="E251" s="40" t="s">
        <v>18</v>
      </c>
      <c r="F251" s="40"/>
      <c r="G251" s="40"/>
      <c r="H251" s="41" t="s">
        <v>19</v>
      </c>
      <c r="I251" s="41"/>
      <c r="J251" s="41"/>
      <c r="K251" s="42" t="s">
        <v>20</v>
      </c>
      <c r="L251" s="42"/>
      <c r="M251" s="42"/>
    </row>
    <row r="252" spans="1:13" x14ac:dyDescent="0.3">
      <c r="B252" s="1" t="s">
        <v>21</v>
      </c>
      <c r="C252" s="1" t="s">
        <v>22</v>
      </c>
      <c r="D252" s="1" t="s">
        <v>23</v>
      </c>
      <c r="E252" s="1" t="s">
        <v>21</v>
      </c>
      <c r="F252" s="1" t="s">
        <v>22</v>
      </c>
      <c r="G252" s="1" t="s">
        <v>23</v>
      </c>
      <c r="H252" s="1" t="s">
        <v>21</v>
      </c>
      <c r="I252" s="1" t="s">
        <v>22</v>
      </c>
      <c r="J252" s="1" t="s">
        <v>23</v>
      </c>
      <c r="K252" s="1" t="s">
        <v>21</v>
      </c>
      <c r="L252" s="1" t="s">
        <v>22</v>
      </c>
      <c r="M252" s="1" t="s">
        <v>23</v>
      </c>
    </row>
    <row r="253" spans="1:13" x14ac:dyDescent="0.3">
      <c r="A253" t="s">
        <v>27</v>
      </c>
      <c r="B253" s="3">
        <v>22.51</v>
      </c>
      <c r="C253" s="3">
        <v>72.45</v>
      </c>
      <c r="D253" s="3">
        <v>4.6100000000000003</v>
      </c>
      <c r="E253" s="3">
        <v>21.12</v>
      </c>
      <c r="F253" s="3">
        <v>64.89</v>
      </c>
      <c r="G253" s="3">
        <v>5.15</v>
      </c>
      <c r="H253" s="3">
        <v>23.59</v>
      </c>
      <c r="I253" s="3">
        <v>77.36</v>
      </c>
      <c r="J253" s="3">
        <v>4.3</v>
      </c>
      <c r="K253" s="3">
        <v>20.5</v>
      </c>
      <c r="L253" s="3">
        <v>79.900000000000006</v>
      </c>
      <c r="M253" s="3">
        <v>5.0199999999999996</v>
      </c>
    </row>
    <row r="254" spans="1:13" x14ac:dyDescent="0.3">
      <c r="B254" s="4">
        <v>10.039999999999999</v>
      </c>
      <c r="C254" s="4">
        <v>49.91</v>
      </c>
      <c r="D254" s="4">
        <v>8.44</v>
      </c>
      <c r="E254" s="4">
        <v>11.86</v>
      </c>
      <c r="F254" s="4">
        <v>72.53</v>
      </c>
      <c r="G254" s="4">
        <v>7.47</v>
      </c>
      <c r="H254" s="4">
        <v>11.05</v>
      </c>
      <c r="I254" s="4">
        <v>66.12</v>
      </c>
      <c r="J254" s="4">
        <v>7.44</v>
      </c>
      <c r="K254" s="4">
        <v>10.35</v>
      </c>
      <c r="L254" s="4">
        <v>57.52</v>
      </c>
      <c r="M254" s="4">
        <v>8.09</v>
      </c>
    </row>
    <row r="255" spans="1:13" x14ac:dyDescent="0.3">
      <c r="B255" s="3">
        <v>18.78</v>
      </c>
      <c r="C255" s="3">
        <v>87.37</v>
      </c>
      <c r="D255" s="3">
        <v>4.75</v>
      </c>
      <c r="E255" s="3">
        <v>18.41</v>
      </c>
      <c r="F255" s="3">
        <v>72.540000000000006</v>
      </c>
      <c r="G255" s="3">
        <v>5.86</v>
      </c>
      <c r="H255" s="3">
        <v>18.45</v>
      </c>
      <c r="I255" s="3">
        <v>65.03</v>
      </c>
      <c r="J255" s="3">
        <v>5.57</v>
      </c>
      <c r="K255" s="3">
        <v>18.86</v>
      </c>
      <c r="L255" s="3">
        <v>64.64</v>
      </c>
      <c r="M255" s="3">
        <v>5.49</v>
      </c>
    </row>
    <row r="256" spans="1:13" x14ac:dyDescent="0.3">
      <c r="B256" s="4">
        <v>10.54</v>
      </c>
      <c r="C256" s="4">
        <v>64.88</v>
      </c>
      <c r="D256" s="4">
        <v>8.31</v>
      </c>
      <c r="E256" s="4">
        <v>12.55</v>
      </c>
      <c r="F256" s="4">
        <v>64.930000000000007</v>
      </c>
      <c r="G256" s="4">
        <v>7.15</v>
      </c>
      <c r="H256" s="4">
        <v>11</v>
      </c>
      <c r="I256" s="4">
        <v>64.83</v>
      </c>
      <c r="J256" s="4">
        <v>8.14</v>
      </c>
      <c r="K256" s="4">
        <v>11.6</v>
      </c>
      <c r="L256" s="4">
        <v>64.98</v>
      </c>
      <c r="M256" s="4">
        <v>8.0399999999999991</v>
      </c>
    </row>
    <row r="257" spans="2:13" x14ac:dyDescent="0.3">
      <c r="B257" s="3">
        <v>15.72</v>
      </c>
      <c r="C257" s="3">
        <v>72.53</v>
      </c>
      <c r="D257" s="3">
        <v>6.25</v>
      </c>
      <c r="E257" s="3">
        <v>15.42</v>
      </c>
      <c r="F257" s="3">
        <v>72.47</v>
      </c>
      <c r="G257" s="3">
        <v>5.91</v>
      </c>
      <c r="H257" s="3">
        <v>15.74</v>
      </c>
      <c r="I257" s="3">
        <v>72.45</v>
      </c>
      <c r="J257" s="3">
        <v>5.14</v>
      </c>
      <c r="K257" s="3">
        <v>14.87</v>
      </c>
      <c r="L257" s="3">
        <v>62.41</v>
      </c>
      <c r="M257" s="3">
        <v>5.05</v>
      </c>
    </row>
    <row r="258" spans="2:13" x14ac:dyDescent="0.3">
      <c r="B258" s="4">
        <v>16.43</v>
      </c>
      <c r="C258" s="4">
        <v>66.06</v>
      </c>
      <c r="D258" s="4">
        <v>6.13</v>
      </c>
      <c r="E258" s="4">
        <v>14.56</v>
      </c>
      <c r="F258" s="4">
        <v>66.08</v>
      </c>
      <c r="G258" s="4">
        <v>7.02</v>
      </c>
      <c r="H258" s="4">
        <v>14.92</v>
      </c>
      <c r="I258" s="4">
        <v>65.45</v>
      </c>
      <c r="J258" s="4">
        <v>6.94</v>
      </c>
      <c r="K258" s="4">
        <v>14.39</v>
      </c>
      <c r="L258" s="4">
        <v>68.739999999999995</v>
      </c>
      <c r="M258" s="4">
        <v>7.11</v>
      </c>
    </row>
    <row r="259" spans="2:13" x14ac:dyDescent="0.3">
      <c r="B259" s="3">
        <v>15.5</v>
      </c>
      <c r="C259" s="3">
        <v>66.09</v>
      </c>
      <c r="D259" s="3">
        <v>6.73</v>
      </c>
      <c r="E259" s="3">
        <v>14.93</v>
      </c>
      <c r="F259" s="3">
        <v>57.44</v>
      </c>
      <c r="G259" s="3">
        <v>6.63</v>
      </c>
      <c r="H259" s="3">
        <v>14.15</v>
      </c>
      <c r="I259" s="3">
        <v>67.86</v>
      </c>
      <c r="J259" s="3">
        <v>6.36</v>
      </c>
      <c r="K259" s="3">
        <v>14.85</v>
      </c>
      <c r="L259" s="3">
        <v>65.84</v>
      </c>
      <c r="M259" s="3">
        <v>5.71</v>
      </c>
    </row>
    <row r="260" spans="2:13" x14ac:dyDescent="0.3">
      <c r="B260" s="4">
        <v>17.420000000000002</v>
      </c>
      <c r="C260" s="4">
        <v>66.040000000000006</v>
      </c>
      <c r="D260" s="4">
        <v>5.98</v>
      </c>
      <c r="E260" s="4">
        <v>16.72</v>
      </c>
      <c r="F260" s="4">
        <v>65.14</v>
      </c>
      <c r="G260" s="4">
        <v>5.98</v>
      </c>
      <c r="H260" s="4">
        <v>16.84</v>
      </c>
      <c r="I260" s="4">
        <v>69.739999999999995</v>
      </c>
      <c r="J260" s="4">
        <v>5.74</v>
      </c>
      <c r="K260" s="4">
        <v>15.38</v>
      </c>
      <c r="L260" s="4">
        <v>72.400000000000006</v>
      </c>
      <c r="M260" s="4">
        <v>6.81</v>
      </c>
    </row>
    <row r="261" spans="2:13" x14ac:dyDescent="0.3">
      <c r="B261" s="3">
        <v>17.8</v>
      </c>
      <c r="C261" s="3">
        <v>58.43</v>
      </c>
      <c r="D261" s="3">
        <v>5.55</v>
      </c>
      <c r="E261" s="3">
        <v>16.97</v>
      </c>
      <c r="F261" s="3">
        <v>64.959999999999994</v>
      </c>
      <c r="G261" s="3">
        <v>5.22</v>
      </c>
      <c r="H261" s="3">
        <v>16.670000000000002</v>
      </c>
      <c r="I261" s="3">
        <v>68.349999999999994</v>
      </c>
      <c r="J261" s="3">
        <v>5.47</v>
      </c>
      <c r="K261" s="3">
        <v>16.77</v>
      </c>
      <c r="L261" s="3">
        <v>72.41</v>
      </c>
      <c r="M261" s="3">
        <v>5.7</v>
      </c>
    </row>
    <row r="262" spans="2:13" x14ac:dyDescent="0.3">
      <c r="B262" s="4">
        <v>16.88</v>
      </c>
      <c r="C262" s="4">
        <v>66.17</v>
      </c>
      <c r="D262" s="4">
        <v>6.25</v>
      </c>
      <c r="E262" s="4">
        <v>15.56</v>
      </c>
      <c r="F262" s="4">
        <v>65.45</v>
      </c>
      <c r="G262" s="4">
        <v>5.84</v>
      </c>
      <c r="H262" s="4">
        <v>15.45</v>
      </c>
      <c r="I262" s="4">
        <v>66.31</v>
      </c>
      <c r="J262" s="4">
        <v>5.46</v>
      </c>
      <c r="K262" s="4">
        <v>14.41</v>
      </c>
      <c r="L262" s="4">
        <v>57.44</v>
      </c>
      <c r="M262" s="4">
        <v>7.25</v>
      </c>
    </row>
    <row r="263" spans="2:13" x14ac:dyDescent="0.3">
      <c r="B263" s="3">
        <v>17.46</v>
      </c>
      <c r="C263" s="3">
        <v>79.989999999999995</v>
      </c>
      <c r="D263" s="3">
        <v>5.26</v>
      </c>
      <c r="E263" s="3">
        <v>16.07</v>
      </c>
      <c r="F263" s="3">
        <v>72.430000000000007</v>
      </c>
      <c r="G263" s="3">
        <v>5.23</v>
      </c>
      <c r="H263" s="3">
        <v>14.56</v>
      </c>
      <c r="I263" s="3">
        <v>66.010000000000005</v>
      </c>
      <c r="J263" s="3">
        <v>5.59</v>
      </c>
      <c r="K263" s="3">
        <v>14.35</v>
      </c>
      <c r="L263" s="3">
        <v>64.12</v>
      </c>
      <c r="M263" s="3">
        <v>6.29</v>
      </c>
    </row>
    <row r="264" spans="2:13" x14ac:dyDescent="0.3">
      <c r="B264" s="4">
        <v>16.739999999999998</v>
      </c>
      <c r="C264" s="4">
        <v>72.39</v>
      </c>
      <c r="D264" s="4">
        <v>6.11</v>
      </c>
      <c r="E264" s="4">
        <v>16.440000000000001</v>
      </c>
      <c r="F264" s="4">
        <v>70.650000000000006</v>
      </c>
      <c r="G264" s="4">
        <v>6.01</v>
      </c>
      <c r="H264" s="4">
        <v>15.68</v>
      </c>
      <c r="I264" s="4">
        <v>68.540000000000006</v>
      </c>
      <c r="J264" s="4">
        <v>6.45</v>
      </c>
      <c r="K264" s="4">
        <v>16.12</v>
      </c>
      <c r="L264" s="4">
        <v>67.34</v>
      </c>
      <c r="M264" s="4">
        <v>6.39</v>
      </c>
    </row>
    <row r="265" spans="2:13" x14ac:dyDescent="0.3">
      <c r="B265" s="3">
        <v>15.49</v>
      </c>
      <c r="C265" s="3">
        <v>66.06</v>
      </c>
      <c r="D265" s="3">
        <v>5.35</v>
      </c>
      <c r="E265" s="3">
        <v>14.88</v>
      </c>
      <c r="F265" s="3">
        <v>57.31</v>
      </c>
      <c r="G265" s="3">
        <v>5.86</v>
      </c>
      <c r="H265" s="3">
        <v>15.47</v>
      </c>
      <c r="I265" s="3">
        <v>63.58</v>
      </c>
      <c r="J265" s="3">
        <v>4.4400000000000004</v>
      </c>
      <c r="K265" s="3">
        <v>15.7</v>
      </c>
      <c r="L265" s="3">
        <v>72.260000000000005</v>
      </c>
      <c r="M265" s="3">
        <v>5.17</v>
      </c>
    </row>
    <row r="266" spans="2:13" x14ac:dyDescent="0.3">
      <c r="B266" s="4">
        <v>6.81</v>
      </c>
      <c r="C266" s="4">
        <v>58.65</v>
      </c>
      <c r="D266" s="4">
        <v>10.18</v>
      </c>
      <c r="E266" s="4">
        <v>7.78</v>
      </c>
      <c r="F266" s="4">
        <v>64.81</v>
      </c>
      <c r="G266" s="4">
        <v>9.6</v>
      </c>
      <c r="H266" s="4">
        <v>7.5</v>
      </c>
      <c r="I266" s="4">
        <v>57.37</v>
      </c>
      <c r="J266" s="4">
        <v>9.4499999999999993</v>
      </c>
      <c r="K266" s="4">
        <v>5.93</v>
      </c>
      <c r="L266" s="4">
        <v>49.79</v>
      </c>
      <c r="M266" s="4">
        <v>10.38</v>
      </c>
    </row>
    <row r="267" spans="2:13" x14ac:dyDescent="0.3">
      <c r="B267" s="3">
        <v>15.77</v>
      </c>
      <c r="C267" s="3">
        <v>79.98</v>
      </c>
      <c r="D267" s="3">
        <v>5.71</v>
      </c>
      <c r="E267" s="3">
        <v>13.53</v>
      </c>
      <c r="F267" s="3">
        <v>57.24</v>
      </c>
      <c r="G267" s="3">
        <v>6.39</v>
      </c>
      <c r="H267" s="3">
        <v>13.56</v>
      </c>
      <c r="I267" s="3">
        <v>64.849999999999994</v>
      </c>
      <c r="J267" s="3">
        <v>6.66</v>
      </c>
      <c r="K267" s="3">
        <v>13.28</v>
      </c>
      <c r="L267" s="3">
        <v>57.34</v>
      </c>
      <c r="M267" s="3">
        <v>5.97</v>
      </c>
    </row>
    <row r="268" spans="2:13" x14ac:dyDescent="0.3">
      <c r="B268" s="4">
        <v>7.71</v>
      </c>
      <c r="C268" s="4">
        <v>57.55</v>
      </c>
      <c r="D268" s="4">
        <v>8.66</v>
      </c>
      <c r="E268" s="4">
        <v>8.1199999999999992</v>
      </c>
      <c r="F268" s="4">
        <v>57.39</v>
      </c>
      <c r="G268" s="4">
        <v>8.4499999999999993</v>
      </c>
      <c r="H268" s="4">
        <v>7.93</v>
      </c>
      <c r="I268" s="4">
        <v>57.49</v>
      </c>
      <c r="J268" s="4">
        <v>9.31</v>
      </c>
      <c r="K268" s="4">
        <v>8.6199999999999992</v>
      </c>
      <c r="L268" s="4">
        <v>51.16</v>
      </c>
      <c r="M268" s="4">
        <v>8.85</v>
      </c>
    </row>
    <row r="269" spans="2:13" x14ac:dyDescent="0.3">
      <c r="B269" s="3">
        <v>11.67</v>
      </c>
      <c r="C269" s="3">
        <v>49.75</v>
      </c>
      <c r="D269" s="3">
        <v>6.97</v>
      </c>
      <c r="E269" s="3">
        <v>11.12</v>
      </c>
      <c r="F269" s="3">
        <v>57.48</v>
      </c>
      <c r="G269" s="3">
        <v>6.24</v>
      </c>
      <c r="H269" s="3">
        <v>12.7</v>
      </c>
      <c r="I269" s="3">
        <v>65.930000000000007</v>
      </c>
      <c r="J269" s="3">
        <v>6.55</v>
      </c>
      <c r="K269" s="3">
        <v>12.45</v>
      </c>
      <c r="L269" s="3">
        <v>64.72</v>
      </c>
      <c r="M269" s="3">
        <v>5.67</v>
      </c>
    </row>
    <row r="270" spans="2:13" x14ac:dyDescent="0.3">
      <c r="B270" s="4">
        <v>10.95</v>
      </c>
      <c r="C270" s="4">
        <v>64.819999999999993</v>
      </c>
      <c r="D270" s="4">
        <v>7.32</v>
      </c>
      <c r="E270" s="4">
        <v>11.06</v>
      </c>
      <c r="F270" s="4">
        <v>67.87</v>
      </c>
      <c r="G270" s="4">
        <v>7.62</v>
      </c>
      <c r="H270" s="4">
        <v>10.87</v>
      </c>
      <c r="I270" s="4">
        <v>64.81</v>
      </c>
      <c r="J270" s="4">
        <v>7.65</v>
      </c>
      <c r="K270" s="4">
        <v>10.220000000000001</v>
      </c>
      <c r="L270" s="4">
        <v>64.8</v>
      </c>
      <c r="M270" s="4">
        <v>8.93</v>
      </c>
    </row>
    <row r="271" spans="2:13" x14ac:dyDescent="0.3">
      <c r="B271" s="3">
        <v>12.21</v>
      </c>
      <c r="C271" s="3">
        <v>57.29</v>
      </c>
      <c r="D271" s="3">
        <v>7.07</v>
      </c>
      <c r="E271" s="3">
        <v>11.41</v>
      </c>
      <c r="F271" s="3">
        <v>49.89</v>
      </c>
      <c r="G271" s="3">
        <v>7.11</v>
      </c>
      <c r="H271" s="3">
        <v>11.76</v>
      </c>
      <c r="I271" s="3">
        <v>64.91</v>
      </c>
      <c r="J271" s="3">
        <v>7.38</v>
      </c>
      <c r="K271" s="3">
        <v>10.61</v>
      </c>
      <c r="L271" s="3">
        <v>64.72</v>
      </c>
      <c r="M271" s="3">
        <v>6.61</v>
      </c>
    </row>
    <row r="272" spans="2:13" x14ac:dyDescent="0.3">
      <c r="B272" s="4">
        <v>14.16</v>
      </c>
      <c r="C272" s="4">
        <v>73.569999999999993</v>
      </c>
      <c r="D272" s="4">
        <v>6.96</v>
      </c>
      <c r="E272" s="4">
        <v>13.16</v>
      </c>
      <c r="F272" s="4">
        <v>79.88</v>
      </c>
      <c r="G272" s="4">
        <v>6.73</v>
      </c>
      <c r="H272" s="4">
        <v>12.87</v>
      </c>
      <c r="I272" s="4">
        <v>68.94</v>
      </c>
      <c r="J272" s="4">
        <v>6.33</v>
      </c>
      <c r="K272" s="4">
        <v>12.16</v>
      </c>
      <c r="L272" s="4">
        <v>64.87</v>
      </c>
      <c r="M272" s="4">
        <v>7.57</v>
      </c>
    </row>
    <row r="273" spans="1:13" x14ac:dyDescent="0.3">
      <c r="B273" s="3">
        <v>12.38</v>
      </c>
      <c r="C273" s="3">
        <v>57.27</v>
      </c>
      <c r="D273" s="3">
        <v>6.95</v>
      </c>
      <c r="E273" s="3">
        <v>13.48</v>
      </c>
      <c r="F273" s="3">
        <v>57.3</v>
      </c>
      <c r="G273" s="3">
        <v>6.18</v>
      </c>
      <c r="H273" s="3">
        <v>12.64</v>
      </c>
      <c r="I273" s="3">
        <v>64.790000000000006</v>
      </c>
      <c r="J273" s="3">
        <v>6.06</v>
      </c>
      <c r="K273" s="3">
        <v>11.44</v>
      </c>
      <c r="L273" s="3">
        <v>57.31</v>
      </c>
      <c r="M273" s="3">
        <v>6.26</v>
      </c>
    </row>
    <row r="274" spans="1:13" x14ac:dyDescent="0.3">
      <c r="B274" s="4">
        <v>10.99</v>
      </c>
      <c r="C274" s="4">
        <v>66.09</v>
      </c>
      <c r="D274" s="4">
        <v>7.49</v>
      </c>
      <c r="E274" s="4">
        <v>10.42</v>
      </c>
      <c r="F274" s="4">
        <v>65.959999999999994</v>
      </c>
      <c r="G274" s="4">
        <v>5.91</v>
      </c>
      <c r="H274" s="4">
        <v>10.85</v>
      </c>
      <c r="I274" s="4">
        <v>67.95</v>
      </c>
      <c r="J274" s="4">
        <v>5.9</v>
      </c>
      <c r="K274" s="4">
        <v>10.38</v>
      </c>
      <c r="L274" s="4">
        <v>57.43</v>
      </c>
      <c r="M274" s="4">
        <v>8.6300000000000008</v>
      </c>
    </row>
    <row r="275" spans="1:13" x14ac:dyDescent="0.3">
      <c r="B275" s="3">
        <v>13.33</v>
      </c>
      <c r="C275" s="3">
        <v>64.790000000000006</v>
      </c>
      <c r="D275" s="3">
        <v>6.56</v>
      </c>
      <c r="E275" s="3">
        <v>12.21</v>
      </c>
      <c r="F275" s="3">
        <v>65</v>
      </c>
      <c r="G275" s="3">
        <v>6.28</v>
      </c>
      <c r="H275" s="3">
        <v>12.05</v>
      </c>
      <c r="I275" s="3">
        <v>57.26</v>
      </c>
      <c r="J275" s="3">
        <v>7.35</v>
      </c>
      <c r="K275" s="3">
        <v>13.32</v>
      </c>
      <c r="L275" s="3">
        <v>72.27</v>
      </c>
      <c r="M275" s="3">
        <v>6.64</v>
      </c>
    </row>
    <row r="276" spans="1:13" x14ac:dyDescent="0.3">
      <c r="B276" s="4">
        <v>10.5</v>
      </c>
      <c r="C276" s="4">
        <v>64.81</v>
      </c>
      <c r="D276" s="4">
        <v>7.54</v>
      </c>
      <c r="E276" s="4">
        <v>12.95</v>
      </c>
      <c r="F276" s="4">
        <v>66.02</v>
      </c>
      <c r="G276" s="4">
        <v>7.1</v>
      </c>
      <c r="H276" s="4">
        <v>12.72</v>
      </c>
      <c r="I276" s="4">
        <v>64.8</v>
      </c>
      <c r="J276" s="4">
        <v>6.8</v>
      </c>
      <c r="K276" s="4">
        <v>13.61</v>
      </c>
      <c r="L276" s="4">
        <v>72.48</v>
      </c>
      <c r="M276" s="4">
        <v>6.88</v>
      </c>
    </row>
    <row r="278" spans="1:13" x14ac:dyDescent="0.3">
      <c r="A278" s="5" t="s">
        <v>42</v>
      </c>
      <c r="B278" s="5">
        <f>AVERAGE(B253:B276)</f>
        <v>14.074583333333335</v>
      </c>
      <c r="C278" s="5">
        <f t="shared" ref="C278:M278" si="20">AVERAGE(C253:C276)</f>
        <v>65.955833333333302</v>
      </c>
      <c r="D278" s="5">
        <f t="shared" si="20"/>
        <v>6.7137500000000001</v>
      </c>
      <c r="E278" s="5">
        <f t="shared" si="20"/>
        <v>13.780416666666667</v>
      </c>
      <c r="F278" s="5">
        <f t="shared" si="20"/>
        <v>64.819166666666675</v>
      </c>
      <c r="G278" s="5">
        <f t="shared" si="20"/>
        <v>6.5391666666666666</v>
      </c>
      <c r="H278" s="5">
        <f t="shared" si="20"/>
        <v>13.709166666666668</v>
      </c>
      <c r="I278" s="5">
        <f t="shared" si="20"/>
        <v>65.863749999999996</v>
      </c>
      <c r="J278" s="5">
        <f t="shared" si="20"/>
        <v>6.5200000000000005</v>
      </c>
      <c r="K278" s="5">
        <f t="shared" si="20"/>
        <v>13.340416666666668</v>
      </c>
      <c r="L278" s="5">
        <f t="shared" si="20"/>
        <v>64.453749999999999</v>
      </c>
      <c r="M278" s="5">
        <f t="shared" si="20"/>
        <v>6.8545833333333333</v>
      </c>
    </row>
    <row r="279" spans="1:13" x14ac:dyDescent="0.3">
      <c r="A279" s="5" t="s">
        <v>35</v>
      </c>
      <c r="B279" s="5">
        <f>AVERAGE(B278,E278,H278,K278)</f>
        <v>13.726145833333335</v>
      </c>
      <c r="C279" s="5">
        <f t="shared" ref="C279" si="21">AVERAGE(C278,F278,I278,L278)</f>
        <v>65.273124999999993</v>
      </c>
      <c r="D279" s="5">
        <f t="shared" ref="D279" si="22">AVERAGE(D278,G278,J278,M278)</f>
        <v>6.6568750000000003</v>
      </c>
      <c r="E279" s="5"/>
      <c r="F279" s="5"/>
      <c r="G279" s="5"/>
      <c r="H279" s="5"/>
      <c r="I279" s="5"/>
      <c r="J279" s="5"/>
      <c r="K279" s="5"/>
      <c r="L279" s="5"/>
      <c r="M279" s="5"/>
    </row>
    <row r="281" spans="1:13" x14ac:dyDescent="0.3">
      <c r="A281" t="s">
        <v>28</v>
      </c>
      <c r="B281" s="3">
        <v>22.1</v>
      </c>
      <c r="C281" s="3">
        <v>49.81</v>
      </c>
      <c r="D281" s="3">
        <v>3.53</v>
      </c>
      <c r="E281" s="3">
        <v>18.89</v>
      </c>
      <c r="F281" s="3">
        <v>42.19</v>
      </c>
      <c r="G281" s="3">
        <v>4.2</v>
      </c>
      <c r="H281" s="3">
        <v>16.47</v>
      </c>
      <c r="I281" s="3">
        <v>35.81</v>
      </c>
      <c r="J281" s="3">
        <v>4.4800000000000004</v>
      </c>
      <c r="K281" s="3">
        <v>25.89</v>
      </c>
      <c r="L281" s="3">
        <v>49.79</v>
      </c>
      <c r="M281" s="3">
        <v>3.46</v>
      </c>
    </row>
    <row r="282" spans="1:13" x14ac:dyDescent="0.3">
      <c r="B282" s="4">
        <v>11.59</v>
      </c>
      <c r="C282" s="4">
        <v>42.22</v>
      </c>
      <c r="D282" s="4">
        <v>6.15</v>
      </c>
      <c r="E282" s="4">
        <v>12.86</v>
      </c>
      <c r="F282" s="4">
        <v>42.23</v>
      </c>
      <c r="G282" s="4">
        <v>5.2</v>
      </c>
      <c r="H282" s="4">
        <v>17.27</v>
      </c>
      <c r="I282" s="4">
        <v>42.27</v>
      </c>
      <c r="J282" s="4">
        <v>3.9</v>
      </c>
      <c r="K282" s="4">
        <v>15.56</v>
      </c>
      <c r="L282" s="4">
        <v>43.41</v>
      </c>
      <c r="M282" s="4">
        <v>5.36</v>
      </c>
    </row>
    <row r="283" spans="1:13" x14ac:dyDescent="0.3">
      <c r="B283" s="3">
        <v>20.72</v>
      </c>
      <c r="C283" s="3">
        <v>49.83</v>
      </c>
      <c r="D283" s="3">
        <v>3.83</v>
      </c>
      <c r="E283" s="3">
        <v>23.27</v>
      </c>
      <c r="F283" s="3">
        <v>49.8</v>
      </c>
      <c r="G283" s="3">
        <v>3.65</v>
      </c>
      <c r="H283" s="3">
        <v>20.190000000000001</v>
      </c>
      <c r="I283" s="3">
        <v>42.36</v>
      </c>
      <c r="J283" s="3">
        <v>4</v>
      </c>
      <c r="K283" s="3">
        <v>18.399999999999999</v>
      </c>
      <c r="L283" s="3">
        <v>42.34</v>
      </c>
      <c r="M283" s="3">
        <v>4.6500000000000004</v>
      </c>
    </row>
    <row r="284" spans="1:13" x14ac:dyDescent="0.3">
      <c r="B284" s="4">
        <v>16.23</v>
      </c>
      <c r="C284" s="4">
        <v>42.23</v>
      </c>
      <c r="D284" s="4">
        <v>4.7300000000000004</v>
      </c>
      <c r="E284" s="4">
        <v>12.57</v>
      </c>
      <c r="F284" s="4">
        <v>42.31</v>
      </c>
      <c r="G284" s="4">
        <v>5.85</v>
      </c>
      <c r="H284" s="4">
        <v>19.420000000000002</v>
      </c>
      <c r="I284" s="4">
        <v>49.65</v>
      </c>
      <c r="J284" s="4">
        <v>4.0199999999999996</v>
      </c>
      <c r="K284" s="4">
        <v>15.43</v>
      </c>
      <c r="L284" s="4">
        <v>42.17</v>
      </c>
      <c r="M284" s="4">
        <v>5.35</v>
      </c>
    </row>
    <row r="285" spans="1:13" x14ac:dyDescent="0.3">
      <c r="B285" s="3">
        <v>19.66</v>
      </c>
      <c r="C285" s="3">
        <v>64.900000000000006</v>
      </c>
      <c r="D285" s="3">
        <v>4.12</v>
      </c>
      <c r="E285" s="3">
        <v>20.04</v>
      </c>
      <c r="F285" s="3">
        <v>64.81</v>
      </c>
      <c r="G285" s="3">
        <v>3.78</v>
      </c>
      <c r="H285" s="3">
        <v>18.46</v>
      </c>
      <c r="I285" s="3">
        <v>49.65</v>
      </c>
      <c r="J285" s="3">
        <v>3.98</v>
      </c>
      <c r="K285" s="3">
        <v>17.23</v>
      </c>
      <c r="L285" s="3">
        <v>49.84</v>
      </c>
      <c r="M285" s="3">
        <v>4.8899999999999997</v>
      </c>
    </row>
    <row r="286" spans="1:13" x14ac:dyDescent="0.3">
      <c r="B286" s="4">
        <v>16.170000000000002</v>
      </c>
      <c r="C286" s="4">
        <v>64.91</v>
      </c>
      <c r="D286" s="4">
        <v>4.8</v>
      </c>
      <c r="E286" s="4">
        <v>14.15</v>
      </c>
      <c r="F286" s="4">
        <v>66.260000000000005</v>
      </c>
      <c r="G286" s="4">
        <v>4.79</v>
      </c>
      <c r="H286" s="4">
        <v>12.23</v>
      </c>
      <c r="I286" s="4">
        <v>42.29</v>
      </c>
      <c r="J286" s="4">
        <v>5.28</v>
      </c>
      <c r="K286" s="4">
        <v>15.61</v>
      </c>
      <c r="L286" s="4">
        <v>57.4</v>
      </c>
      <c r="M286" s="4">
        <v>5.13</v>
      </c>
    </row>
    <row r="287" spans="1:13" x14ac:dyDescent="0.3">
      <c r="B287" s="3">
        <v>17.98</v>
      </c>
      <c r="C287" s="3">
        <v>49.71</v>
      </c>
      <c r="D287" s="3">
        <v>3.49</v>
      </c>
      <c r="E287" s="3">
        <v>19.38</v>
      </c>
      <c r="F287" s="3">
        <v>64.790000000000006</v>
      </c>
      <c r="G287" s="3">
        <v>4.47</v>
      </c>
      <c r="H287" s="3">
        <v>21.28</v>
      </c>
      <c r="I287" s="3">
        <v>57.25</v>
      </c>
      <c r="J287" s="3">
        <v>4.01</v>
      </c>
      <c r="K287" s="3">
        <v>21.42</v>
      </c>
      <c r="L287" s="3">
        <v>72.22</v>
      </c>
      <c r="M287" s="3">
        <v>3.65</v>
      </c>
    </row>
    <row r="288" spans="1:13" x14ac:dyDescent="0.3">
      <c r="B288" s="4">
        <v>18.18</v>
      </c>
      <c r="C288" s="4">
        <v>70.83</v>
      </c>
      <c r="D288" s="4">
        <v>4.54</v>
      </c>
      <c r="E288" s="4">
        <v>15.73</v>
      </c>
      <c r="F288" s="4">
        <v>49.75</v>
      </c>
      <c r="G288" s="4">
        <v>4.99</v>
      </c>
      <c r="H288" s="4">
        <v>17.37</v>
      </c>
      <c r="I288" s="4">
        <v>57.55</v>
      </c>
      <c r="J288" s="4">
        <v>4.9000000000000004</v>
      </c>
      <c r="K288" s="4">
        <v>16.55</v>
      </c>
      <c r="L288" s="4">
        <v>49.83</v>
      </c>
      <c r="M288" s="4">
        <v>5.09</v>
      </c>
    </row>
    <row r="289" spans="2:13" x14ac:dyDescent="0.3">
      <c r="B289" s="3">
        <v>20.079999999999998</v>
      </c>
      <c r="C289" s="3">
        <v>42.29</v>
      </c>
      <c r="D289" s="3">
        <v>4.2300000000000004</v>
      </c>
      <c r="E289" s="3">
        <v>16.66</v>
      </c>
      <c r="F289" s="3">
        <v>49.96</v>
      </c>
      <c r="G289" s="3">
        <v>4.91</v>
      </c>
      <c r="H289" s="3">
        <v>17.09</v>
      </c>
      <c r="I289" s="3">
        <v>42.23</v>
      </c>
      <c r="J289" s="3">
        <v>4.72</v>
      </c>
      <c r="K289" s="3">
        <v>16.91</v>
      </c>
      <c r="L289" s="3">
        <v>42.29</v>
      </c>
      <c r="M289" s="3">
        <v>4.47</v>
      </c>
    </row>
    <row r="290" spans="2:13" x14ac:dyDescent="0.3">
      <c r="B290" s="4">
        <v>15.59</v>
      </c>
      <c r="C290" s="4">
        <v>174.72</v>
      </c>
      <c r="D290" s="4">
        <v>4.38</v>
      </c>
      <c r="E290" s="4">
        <v>14.1</v>
      </c>
      <c r="F290" s="4">
        <v>50.39</v>
      </c>
      <c r="G290" s="4">
        <v>5.39</v>
      </c>
      <c r="H290" s="4">
        <v>13.19</v>
      </c>
      <c r="I290" s="4">
        <v>43.81</v>
      </c>
      <c r="J290" s="4">
        <v>5.55</v>
      </c>
      <c r="K290" s="4">
        <v>16.149999999999999</v>
      </c>
      <c r="L290" s="4">
        <v>57.17</v>
      </c>
      <c r="M290" s="4">
        <v>5.07</v>
      </c>
    </row>
    <row r="291" spans="2:13" x14ac:dyDescent="0.3">
      <c r="B291" s="3">
        <v>16.25</v>
      </c>
      <c r="C291" s="3">
        <v>49.74</v>
      </c>
      <c r="D291" s="3">
        <v>4.7300000000000004</v>
      </c>
      <c r="E291" s="3">
        <v>16.29</v>
      </c>
      <c r="F291" s="3">
        <v>34.81</v>
      </c>
      <c r="G291" s="3">
        <v>3.72</v>
      </c>
      <c r="H291" s="3">
        <v>19</v>
      </c>
      <c r="I291" s="3">
        <v>43.53</v>
      </c>
      <c r="J291" s="3">
        <v>4.29</v>
      </c>
      <c r="K291" s="3">
        <v>17.690000000000001</v>
      </c>
      <c r="L291" s="3">
        <v>42.27</v>
      </c>
      <c r="M291" s="3">
        <v>4.29</v>
      </c>
    </row>
    <row r="292" spans="2:13" x14ac:dyDescent="0.3">
      <c r="B292" s="4">
        <v>17.28</v>
      </c>
      <c r="C292" s="4">
        <v>43.45</v>
      </c>
      <c r="D292" s="4">
        <v>4.68</v>
      </c>
      <c r="E292" s="4">
        <v>23.77</v>
      </c>
      <c r="F292" s="4">
        <v>57.32</v>
      </c>
      <c r="G292" s="4">
        <v>3.37</v>
      </c>
      <c r="H292" s="4">
        <v>21.88</v>
      </c>
      <c r="I292" s="4">
        <v>64.760000000000005</v>
      </c>
      <c r="J292" s="4">
        <v>3.96</v>
      </c>
      <c r="K292" s="4">
        <v>21.12</v>
      </c>
      <c r="L292" s="4">
        <v>72.349999999999994</v>
      </c>
      <c r="M292" s="4">
        <v>4.03</v>
      </c>
    </row>
    <row r="293" spans="2:13" x14ac:dyDescent="0.3">
      <c r="B293" s="3">
        <v>16.809999999999999</v>
      </c>
      <c r="C293" s="3">
        <v>57.32</v>
      </c>
      <c r="D293" s="3">
        <v>5.49</v>
      </c>
      <c r="E293" s="3">
        <v>14.23</v>
      </c>
      <c r="F293" s="3">
        <v>49.71</v>
      </c>
      <c r="G293" s="3">
        <v>6.09</v>
      </c>
      <c r="H293" s="3">
        <v>13.39</v>
      </c>
      <c r="I293" s="3">
        <v>49.85</v>
      </c>
      <c r="J293" s="3">
        <v>6.32</v>
      </c>
      <c r="K293" s="3">
        <v>16.64</v>
      </c>
      <c r="L293" s="3">
        <v>49.71</v>
      </c>
      <c r="M293" s="3">
        <v>5.66</v>
      </c>
    </row>
    <row r="294" spans="2:13" x14ac:dyDescent="0.3">
      <c r="B294" s="4">
        <v>8.9700000000000006</v>
      </c>
      <c r="C294" s="4">
        <v>43.55</v>
      </c>
      <c r="D294" s="4">
        <v>7.74</v>
      </c>
      <c r="E294" s="4">
        <v>8.57</v>
      </c>
      <c r="F294" s="4">
        <v>49.78</v>
      </c>
      <c r="G294" s="4">
        <v>7.86</v>
      </c>
      <c r="H294" s="4">
        <v>10.73</v>
      </c>
      <c r="I294" s="4">
        <v>57.23</v>
      </c>
      <c r="J294" s="4">
        <v>7.2</v>
      </c>
      <c r="K294" s="4">
        <v>10.81</v>
      </c>
      <c r="L294" s="4">
        <v>49.78</v>
      </c>
      <c r="M294" s="4">
        <v>6.98</v>
      </c>
    </row>
    <row r="295" spans="2:13" x14ac:dyDescent="0.3">
      <c r="B295" s="3">
        <v>14.58</v>
      </c>
      <c r="C295" s="3">
        <v>49.97</v>
      </c>
      <c r="D295" s="3">
        <v>6</v>
      </c>
      <c r="E295" s="3">
        <v>15.85</v>
      </c>
      <c r="F295" s="3">
        <v>57.28</v>
      </c>
      <c r="G295" s="3">
        <v>5.71</v>
      </c>
      <c r="H295" s="3">
        <v>13.52</v>
      </c>
      <c r="I295" s="3">
        <v>49.76</v>
      </c>
      <c r="J295" s="3">
        <v>6.34</v>
      </c>
      <c r="K295" s="3">
        <v>13.84</v>
      </c>
      <c r="L295" s="3">
        <v>57.28</v>
      </c>
      <c r="M295" s="3">
        <v>6.26</v>
      </c>
    </row>
    <row r="296" spans="2:13" x14ac:dyDescent="0.3">
      <c r="B296" s="4">
        <v>10.88</v>
      </c>
      <c r="C296" s="4">
        <v>51</v>
      </c>
      <c r="D296" s="4">
        <v>7.2</v>
      </c>
      <c r="E296" s="4">
        <v>10.42</v>
      </c>
      <c r="F296" s="4">
        <v>49.77</v>
      </c>
      <c r="G296" s="4">
        <v>7.26</v>
      </c>
      <c r="H296" s="4">
        <v>9.89</v>
      </c>
      <c r="I296" s="4">
        <v>57.24</v>
      </c>
      <c r="J296" s="4">
        <v>7.49</v>
      </c>
      <c r="K296" s="4">
        <v>9.56</v>
      </c>
      <c r="L296" s="4">
        <v>49.77</v>
      </c>
      <c r="M296" s="4">
        <v>7.54</v>
      </c>
    </row>
    <row r="297" spans="2:13" x14ac:dyDescent="0.3">
      <c r="B297" s="3">
        <v>14.06</v>
      </c>
      <c r="C297" s="3">
        <v>68.989999999999995</v>
      </c>
      <c r="D297" s="3">
        <v>6.1</v>
      </c>
      <c r="E297" s="3">
        <v>14.06</v>
      </c>
      <c r="F297" s="3">
        <v>63.17</v>
      </c>
      <c r="G297" s="3">
        <v>5.97</v>
      </c>
      <c r="H297" s="3">
        <v>15.1</v>
      </c>
      <c r="I297" s="3">
        <v>176.9</v>
      </c>
      <c r="J297" s="3">
        <v>5.75</v>
      </c>
      <c r="K297" s="3">
        <v>15</v>
      </c>
      <c r="L297" s="3">
        <v>63.17</v>
      </c>
      <c r="M297" s="3">
        <v>5.88</v>
      </c>
    </row>
    <row r="298" spans="2:13" x14ac:dyDescent="0.3">
      <c r="B298" s="4">
        <v>12.77</v>
      </c>
      <c r="C298" s="4">
        <v>70.41</v>
      </c>
      <c r="D298" s="4">
        <v>6.33</v>
      </c>
      <c r="E298" s="4">
        <v>10.28</v>
      </c>
      <c r="F298" s="4">
        <v>68.959999999999994</v>
      </c>
      <c r="G298" s="4">
        <v>7.15</v>
      </c>
      <c r="H298" s="4">
        <v>11.52</v>
      </c>
      <c r="I298" s="4">
        <v>49.75</v>
      </c>
      <c r="J298" s="4">
        <v>6.92</v>
      </c>
      <c r="K298" s="4">
        <v>12.1</v>
      </c>
      <c r="L298" s="4">
        <v>68.959999999999994</v>
      </c>
      <c r="M298" s="4">
        <v>6.65</v>
      </c>
    </row>
    <row r="299" spans="2:13" x14ac:dyDescent="0.3">
      <c r="B299" s="3">
        <v>12.7</v>
      </c>
      <c r="C299" s="3">
        <v>48.34</v>
      </c>
      <c r="D299" s="3">
        <v>6.5</v>
      </c>
      <c r="E299" s="3">
        <v>16.48</v>
      </c>
      <c r="F299" s="3">
        <v>63.19</v>
      </c>
      <c r="G299" s="3">
        <v>5.48</v>
      </c>
      <c r="H299" s="3">
        <v>14.72</v>
      </c>
      <c r="I299" s="3">
        <v>62.77</v>
      </c>
      <c r="J299" s="3">
        <v>6.01</v>
      </c>
      <c r="K299" s="3">
        <v>14.09</v>
      </c>
      <c r="L299" s="3">
        <v>63.19</v>
      </c>
      <c r="M299" s="3">
        <v>5.77</v>
      </c>
    </row>
    <row r="300" spans="2:13" x14ac:dyDescent="0.3">
      <c r="B300" s="4">
        <v>14.33</v>
      </c>
      <c r="C300" s="4">
        <v>50.14</v>
      </c>
      <c r="D300" s="4">
        <v>6.1</v>
      </c>
      <c r="E300" s="4">
        <v>9.8000000000000007</v>
      </c>
      <c r="F300" s="4">
        <v>51.23</v>
      </c>
      <c r="G300" s="4">
        <v>7.5</v>
      </c>
      <c r="H300" s="4">
        <v>14.07</v>
      </c>
      <c r="I300" s="4">
        <v>52.57</v>
      </c>
      <c r="J300" s="4">
        <v>6.19</v>
      </c>
      <c r="K300" s="4">
        <v>11.78</v>
      </c>
      <c r="L300" s="4">
        <v>54.62</v>
      </c>
      <c r="M300" s="4">
        <v>6.99</v>
      </c>
    </row>
    <row r="301" spans="2:13" x14ac:dyDescent="0.3">
      <c r="B301" s="3">
        <v>12.23</v>
      </c>
      <c r="C301" s="3">
        <v>49.72</v>
      </c>
      <c r="D301" s="3">
        <v>6.72</v>
      </c>
      <c r="E301" s="3">
        <v>14.13</v>
      </c>
      <c r="F301" s="3">
        <v>49.83</v>
      </c>
      <c r="G301" s="3">
        <v>5.66</v>
      </c>
      <c r="H301" s="3">
        <v>14.67</v>
      </c>
      <c r="I301" s="3">
        <v>57.26</v>
      </c>
      <c r="J301" s="3">
        <v>5.68</v>
      </c>
      <c r="K301" s="3">
        <v>15.38</v>
      </c>
      <c r="L301" s="3">
        <v>49.83</v>
      </c>
      <c r="M301" s="3">
        <v>5.72</v>
      </c>
    </row>
    <row r="302" spans="2:13" x14ac:dyDescent="0.3">
      <c r="B302" s="4">
        <v>15.94</v>
      </c>
      <c r="C302" s="4">
        <v>52.35</v>
      </c>
      <c r="D302" s="4">
        <v>5.57</v>
      </c>
      <c r="E302" s="4">
        <v>12.04</v>
      </c>
      <c r="F302" s="4">
        <v>52.41</v>
      </c>
      <c r="G302" s="4">
        <v>6.77</v>
      </c>
      <c r="H302" s="4">
        <v>12</v>
      </c>
      <c r="I302" s="4">
        <v>51.24</v>
      </c>
      <c r="J302" s="4">
        <v>6.81</v>
      </c>
      <c r="K302" s="4">
        <v>13.08</v>
      </c>
      <c r="L302" s="4">
        <v>51.06</v>
      </c>
      <c r="M302" s="4">
        <v>6.48</v>
      </c>
    </row>
    <row r="303" spans="2:13" x14ac:dyDescent="0.3">
      <c r="B303" s="3">
        <v>12.91</v>
      </c>
      <c r="C303" s="3">
        <v>55.73</v>
      </c>
      <c r="D303" s="3">
        <v>6.46</v>
      </c>
      <c r="E303" s="3">
        <v>12.74</v>
      </c>
      <c r="F303" s="3">
        <v>49.77</v>
      </c>
      <c r="G303" s="3">
        <v>6.55</v>
      </c>
      <c r="H303" s="3">
        <v>15.61</v>
      </c>
      <c r="I303" s="3">
        <v>57.28</v>
      </c>
      <c r="J303" s="3">
        <v>5.61</v>
      </c>
      <c r="K303" s="3">
        <v>10.27</v>
      </c>
      <c r="L303" s="3">
        <v>49.77</v>
      </c>
      <c r="M303" s="3">
        <v>7.31</v>
      </c>
    </row>
    <row r="304" spans="2:13" x14ac:dyDescent="0.3">
      <c r="B304" s="4">
        <v>12.13</v>
      </c>
      <c r="C304" s="4">
        <v>49.7</v>
      </c>
      <c r="D304" s="4">
        <v>6.67</v>
      </c>
      <c r="E304" s="4">
        <v>12.99</v>
      </c>
      <c r="F304" s="4">
        <v>63.27</v>
      </c>
      <c r="G304" s="4">
        <v>6.44</v>
      </c>
      <c r="H304" s="4">
        <v>12.44</v>
      </c>
      <c r="I304" s="4">
        <v>63.32</v>
      </c>
      <c r="J304" s="4">
        <v>6.47</v>
      </c>
      <c r="K304" s="4">
        <v>12.51</v>
      </c>
      <c r="L304" s="4">
        <v>63.27</v>
      </c>
      <c r="M304" s="4">
        <v>6.51</v>
      </c>
    </row>
    <row r="306" spans="1:13" x14ac:dyDescent="0.3">
      <c r="A306" s="5" t="s">
        <v>42</v>
      </c>
      <c r="B306" s="5">
        <f>AVERAGE(B281:B304)</f>
        <v>15.422499999999999</v>
      </c>
      <c r="C306" s="5">
        <f t="shared" ref="C306:M306" si="23">AVERAGE(C281:C304)</f>
        <v>57.994166666666672</v>
      </c>
      <c r="D306" s="5">
        <f t="shared" si="23"/>
        <v>5.4204166666666653</v>
      </c>
      <c r="E306" s="5">
        <f t="shared" si="23"/>
        <v>14.970833333333333</v>
      </c>
      <c r="F306" s="5">
        <f t="shared" si="23"/>
        <v>53.457916666666669</v>
      </c>
      <c r="G306" s="5">
        <f t="shared" si="23"/>
        <v>5.5316666666666663</v>
      </c>
      <c r="H306" s="5">
        <f t="shared" si="23"/>
        <v>15.479583333333336</v>
      </c>
      <c r="I306" s="5">
        <f t="shared" si="23"/>
        <v>56.513749999999995</v>
      </c>
      <c r="J306" s="5">
        <f t="shared" si="23"/>
        <v>5.411666666666668</v>
      </c>
      <c r="K306" s="5">
        <f t="shared" si="23"/>
        <v>15.542499999999997</v>
      </c>
      <c r="L306" s="5">
        <f t="shared" si="23"/>
        <v>53.812083333333327</v>
      </c>
      <c r="M306" s="5">
        <f t="shared" si="23"/>
        <v>5.5495833333333335</v>
      </c>
    </row>
    <row r="307" spans="1:13" x14ac:dyDescent="0.3">
      <c r="A307" s="5" t="s">
        <v>35</v>
      </c>
      <c r="B307" s="5">
        <f>AVERAGE(B306,E306,H306,K306)</f>
        <v>15.353854166666666</v>
      </c>
      <c r="C307" s="5">
        <f t="shared" ref="C307" si="24">AVERAGE(C306,F306,I306,L306)</f>
        <v>55.444479166666667</v>
      </c>
      <c r="D307" s="5">
        <f t="shared" ref="D307" si="25">AVERAGE(D306,G306,J306,M306)</f>
        <v>5.4783333333333335</v>
      </c>
      <c r="E307" s="5"/>
      <c r="F307" s="5"/>
      <c r="G307" s="5"/>
      <c r="H307" s="5"/>
      <c r="I307" s="5"/>
      <c r="J307" s="5"/>
      <c r="K307" s="5"/>
      <c r="L307" s="5"/>
      <c r="M307" s="5"/>
    </row>
  </sheetData>
  <mergeCells count="32">
    <mergeCell ref="K219:M219"/>
    <mergeCell ref="B249:E249"/>
    <mergeCell ref="B251:D251"/>
    <mergeCell ref="E251:G251"/>
    <mergeCell ref="H251:J251"/>
    <mergeCell ref="K251:M251"/>
    <mergeCell ref="K175:M175"/>
    <mergeCell ref="K11:M11"/>
    <mergeCell ref="B53:E53"/>
    <mergeCell ref="B55:D55"/>
    <mergeCell ref="E55:G55"/>
    <mergeCell ref="H55:J55"/>
    <mergeCell ref="K55:M55"/>
    <mergeCell ref="H11:J11"/>
    <mergeCell ref="B115:D115"/>
    <mergeCell ref="E115:G115"/>
    <mergeCell ref="H115:J115"/>
    <mergeCell ref="K115:M115"/>
    <mergeCell ref="B173:E173"/>
    <mergeCell ref="B2:D3"/>
    <mergeCell ref="G5:G8"/>
    <mergeCell ref="B9:E9"/>
    <mergeCell ref="B11:D11"/>
    <mergeCell ref="E11:G11"/>
    <mergeCell ref="B217:E217"/>
    <mergeCell ref="B219:D219"/>
    <mergeCell ref="E219:G219"/>
    <mergeCell ref="H219:J219"/>
    <mergeCell ref="B113:E113"/>
    <mergeCell ref="B175:D175"/>
    <mergeCell ref="E175:G175"/>
    <mergeCell ref="H175:J17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E2B1-3D50-4908-9E8D-DC7BECE1918B}">
  <dimension ref="A1:M279"/>
  <sheetViews>
    <sheetView workbookViewId="0">
      <selection activeCell="B2" sqref="B2:D3"/>
    </sheetView>
  </sheetViews>
  <sheetFormatPr baseColWidth="10" defaultRowHeight="14.4" x14ac:dyDescent="0.3"/>
  <cols>
    <col min="2" max="2" width="16.33203125" bestFit="1" customWidth="1"/>
    <col min="5" max="5" width="16.33203125" bestFit="1" customWidth="1"/>
    <col min="8" max="8" width="16.33203125" bestFit="1" customWidth="1"/>
    <col min="11" max="11" width="16.33203125" bestFit="1" customWidth="1"/>
  </cols>
  <sheetData>
    <row r="1" spans="2:13" ht="14.4" customHeight="1" x14ac:dyDescent="0.3"/>
    <row r="2" spans="2:13" x14ac:dyDescent="0.3">
      <c r="B2" s="37" t="s">
        <v>31</v>
      </c>
      <c r="C2" s="37"/>
      <c r="D2" s="37"/>
    </row>
    <row r="3" spans="2:13" x14ac:dyDescent="0.3">
      <c r="B3" s="37"/>
      <c r="C3" s="37"/>
      <c r="D3" s="37"/>
    </row>
    <row r="4" spans="2:13" x14ac:dyDescent="0.3">
      <c r="H4" s="6" t="s">
        <v>25</v>
      </c>
      <c r="I4" s="6" t="s">
        <v>26</v>
      </c>
      <c r="J4" s="6" t="s">
        <v>23</v>
      </c>
    </row>
    <row r="5" spans="2:13" x14ac:dyDescent="0.3">
      <c r="G5" s="43" t="s">
        <v>24</v>
      </c>
      <c r="H5" s="5">
        <v>1</v>
      </c>
      <c r="I5" s="3">
        <v>2321.35</v>
      </c>
      <c r="J5" s="3">
        <v>12.19</v>
      </c>
    </row>
    <row r="6" spans="2:13" x14ac:dyDescent="0.3">
      <c r="G6" s="43"/>
      <c r="H6" s="5">
        <v>2</v>
      </c>
      <c r="I6" s="5"/>
      <c r="J6" s="5"/>
    </row>
    <row r="7" spans="2:13" x14ac:dyDescent="0.3">
      <c r="G7" s="43"/>
      <c r="H7" s="5">
        <v>3</v>
      </c>
      <c r="I7" s="5"/>
      <c r="J7" s="5"/>
    </row>
    <row r="8" spans="2:13" x14ac:dyDescent="0.3">
      <c r="G8" s="43"/>
      <c r="H8" s="5">
        <v>4</v>
      </c>
      <c r="I8" s="5"/>
      <c r="J8" s="5"/>
    </row>
    <row r="9" spans="2:13" x14ac:dyDescent="0.3">
      <c r="B9" s="38" t="s">
        <v>1</v>
      </c>
      <c r="C9" s="38"/>
      <c r="D9" s="38"/>
      <c r="E9" s="38"/>
    </row>
    <row r="11" spans="2:13" x14ac:dyDescent="0.3">
      <c r="B11" s="39" t="s">
        <v>17</v>
      </c>
      <c r="C11" s="39"/>
      <c r="D11" s="39"/>
      <c r="E11" s="40" t="s">
        <v>18</v>
      </c>
      <c r="F11" s="40"/>
      <c r="G11" s="40"/>
      <c r="H11" s="41" t="s">
        <v>19</v>
      </c>
      <c r="I11" s="41"/>
      <c r="J11" s="41"/>
      <c r="K11" s="42" t="s">
        <v>20</v>
      </c>
      <c r="L11" s="42"/>
      <c r="M11" s="42"/>
    </row>
    <row r="12" spans="2:13" x14ac:dyDescent="0.3">
      <c r="B12" s="1" t="s">
        <v>21</v>
      </c>
      <c r="C12" s="1" t="s">
        <v>22</v>
      </c>
      <c r="D12" s="1" t="s">
        <v>23</v>
      </c>
      <c r="E12" s="1" t="s">
        <v>21</v>
      </c>
      <c r="F12" s="1" t="s">
        <v>22</v>
      </c>
      <c r="G12" s="1" t="s">
        <v>23</v>
      </c>
      <c r="H12" s="1" t="s">
        <v>21</v>
      </c>
      <c r="I12" s="1" t="s">
        <v>22</v>
      </c>
      <c r="J12" s="1" t="s">
        <v>23</v>
      </c>
      <c r="K12" s="1" t="s">
        <v>21</v>
      </c>
      <c r="L12" s="1" t="s">
        <v>22</v>
      </c>
      <c r="M12" s="1" t="s">
        <v>23</v>
      </c>
    </row>
    <row r="13" spans="2:13" x14ac:dyDescent="0.3">
      <c r="B13" s="3">
        <v>22.32</v>
      </c>
      <c r="C13" s="3">
        <v>102.44</v>
      </c>
      <c r="D13" s="3">
        <v>6.23</v>
      </c>
      <c r="E13" s="3">
        <v>25.35</v>
      </c>
      <c r="F13" s="3">
        <v>125.48</v>
      </c>
      <c r="G13" s="3">
        <v>5.56</v>
      </c>
      <c r="H13" s="3">
        <v>26.13</v>
      </c>
      <c r="I13" s="3">
        <v>94.95</v>
      </c>
      <c r="J13" s="3">
        <v>5.61</v>
      </c>
      <c r="K13" s="3">
        <v>26.24</v>
      </c>
      <c r="L13" s="3">
        <v>110.14</v>
      </c>
      <c r="M13" s="3">
        <v>5.53</v>
      </c>
    </row>
    <row r="14" spans="2:13" x14ac:dyDescent="0.3">
      <c r="B14" s="4">
        <v>15.54</v>
      </c>
      <c r="C14" s="4">
        <v>50.23</v>
      </c>
      <c r="D14" s="4">
        <v>7.9</v>
      </c>
      <c r="E14" s="4">
        <v>16.510000000000002</v>
      </c>
      <c r="F14" s="4">
        <v>65.34</v>
      </c>
      <c r="G14" s="4">
        <v>7.61</v>
      </c>
      <c r="H14" s="4">
        <v>16.59</v>
      </c>
      <c r="I14" s="4">
        <v>65.36</v>
      </c>
      <c r="J14" s="4">
        <v>7.76</v>
      </c>
      <c r="K14" s="4">
        <v>16.13</v>
      </c>
      <c r="L14" s="4">
        <v>57.36</v>
      </c>
      <c r="M14" s="4">
        <v>7.76</v>
      </c>
    </row>
    <row r="15" spans="2:13" x14ac:dyDescent="0.3">
      <c r="B15" s="3">
        <v>14.9</v>
      </c>
      <c r="C15" s="3">
        <v>102.43</v>
      </c>
      <c r="D15" s="3">
        <v>7.92</v>
      </c>
      <c r="E15" s="3">
        <v>15.37</v>
      </c>
      <c r="F15" s="3">
        <v>87.35</v>
      </c>
      <c r="G15" s="3">
        <v>7.81</v>
      </c>
      <c r="H15" s="3">
        <v>15.67</v>
      </c>
      <c r="I15" s="3">
        <v>87.5</v>
      </c>
      <c r="J15" s="3">
        <v>7.85</v>
      </c>
      <c r="K15" s="3">
        <v>15.28</v>
      </c>
      <c r="L15" s="3">
        <v>95.6</v>
      </c>
      <c r="M15" s="3">
        <v>8.06</v>
      </c>
    </row>
    <row r="16" spans="2:13" x14ac:dyDescent="0.3">
      <c r="B16" s="4">
        <v>14.58</v>
      </c>
      <c r="C16" s="4">
        <v>72.42</v>
      </c>
      <c r="D16" s="4">
        <v>7.11</v>
      </c>
      <c r="E16" s="4">
        <v>12.6</v>
      </c>
      <c r="F16" s="4">
        <v>57.92</v>
      </c>
      <c r="G16" s="4">
        <v>8.23</v>
      </c>
      <c r="H16" s="4">
        <v>18.64</v>
      </c>
      <c r="I16" s="4">
        <v>65.66</v>
      </c>
      <c r="J16" s="4">
        <v>6.5</v>
      </c>
      <c r="K16" s="4">
        <v>16</v>
      </c>
      <c r="L16" s="4">
        <v>65.08</v>
      </c>
      <c r="M16" s="4">
        <v>7.18</v>
      </c>
    </row>
    <row r="17" spans="2:13" x14ac:dyDescent="0.3">
      <c r="B17" s="3">
        <v>20.170000000000002</v>
      </c>
      <c r="C17" s="3">
        <v>163.52000000000001</v>
      </c>
      <c r="D17" s="3">
        <v>6.26</v>
      </c>
      <c r="E17" s="3">
        <v>20.13</v>
      </c>
      <c r="F17" s="3">
        <v>147.49</v>
      </c>
      <c r="G17" s="3">
        <v>6.45</v>
      </c>
      <c r="H17" s="3">
        <v>18.93</v>
      </c>
      <c r="I17" s="3">
        <v>132.33000000000001</v>
      </c>
      <c r="J17" s="3">
        <v>6.82</v>
      </c>
      <c r="K17" s="3">
        <v>17.82</v>
      </c>
      <c r="L17" s="3">
        <v>140.04</v>
      </c>
      <c r="M17" s="3">
        <v>6.65</v>
      </c>
    </row>
    <row r="18" spans="2:13" x14ac:dyDescent="0.3">
      <c r="B18" s="4">
        <v>16.149999999999999</v>
      </c>
      <c r="C18" s="4">
        <v>102.35</v>
      </c>
      <c r="D18" s="4">
        <v>7.89</v>
      </c>
      <c r="E18" s="4">
        <v>18.059999999999999</v>
      </c>
      <c r="F18" s="4">
        <v>110.31</v>
      </c>
      <c r="G18" s="4">
        <v>7.45</v>
      </c>
      <c r="H18" s="4">
        <v>16.78</v>
      </c>
      <c r="I18" s="4">
        <v>110.58</v>
      </c>
      <c r="J18" s="4">
        <v>7.75</v>
      </c>
      <c r="K18" s="4">
        <v>17.18</v>
      </c>
      <c r="L18" s="4">
        <v>125.25</v>
      </c>
      <c r="M18" s="4">
        <v>7.59</v>
      </c>
    </row>
    <row r="19" spans="2:13" x14ac:dyDescent="0.3">
      <c r="B19" s="3">
        <v>22.57</v>
      </c>
      <c r="C19" s="3">
        <v>156.47999999999999</v>
      </c>
      <c r="D19" s="3">
        <v>5.82</v>
      </c>
      <c r="E19" s="3">
        <v>17.829999999999998</v>
      </c>
      <c r="F19" s="3">
        <v>126.62</v>
      </c>
      <c r="G19" s="3">
        <v>6.53</v>
      </c>
      <c r="H19" s="3">
        <v>18.52</v>
      </c>
      <c r="I19" s="3">
        <v>163.21</v>
      </c>
      <c r="J19" s="3">
        <v>6.59</v>
      </c>
      <c r="K19" s="3">
        <v>19.079999999999998</v>
      </c>
      <c r="L19" s="3">
        <v>170.72</v>
      </c>
      <c r="M19" s="3">
        <v>6.7</v>
      </c>
    </row>
    <row r="20" spans="2:13" x14ac:dyDescent="0.3">
      <c r="B20" s="4">
        <v>10.24</v>
      </c>
      <c r="C20" s="4">
        <v>118.19</v>
      </c>
      <c r="D20" s="4">
        <v>8.84</v>
      </c>
      <c r="E20" s="4">
        <v>8.75</v>
      </c>
      <c r="F20" s="4">
        <v>102.97</v>
      </c>
      <c r="G20" s="4">
        <v>10.119999999999999</v>
      </c>
      <c r="H20" s="4">
        <v>8.1</v>
      </c>
      <c r="I20" s="4">
        <v>110.78</v>
      </c>
      <c r="J20" s="4">
        <v>10.07</v>
      </c>
      <c r="K20" s="4">
        <v>9.36</v>
      </c>
      <c r="L20" s="4">
        <v>95.59</v>
      </c>
      <c r="M20" s="4">
        <v>9.27</v>
      </c>
    </row>
    <row r="21" spans="2:13" x14ac:dyDescent="0.3">
      <c r="B21" s="3">
        <v>11.72</v>
      </c>
      <c r="C21" s="3">
        <v>133.26</v>
      </c>
      <c r="D21" s="3">
        <v>7.78</v>
      </c>
      <c r="E21" s="3">
        <v>8.1199999999999992</v>
      </c>
      <c r="F21" s="3">
        <v>102.46</v>
      </c>
      <c r="G21" s="3">
        <v>9.67</v>
      </c>
      <c r="H21" s="3">
        <v>13.2</v>
      </c>
      <c r="I21" s="3">
        <v>125.75</v>
      </c>
      <c r="J21" s="3">
        <v>6.99</v>
      </c>
      <c r="K21" s="3">
        <v>9.16</v>
      </c>
      <c r="L21" s="3">
        <v>110.65</v>
      </c>
      <c r="M21" s="3">
        <v>9.2100000000000009</v>
      </c>
    </row>
    <row r="22" spans="2:13" x14ac:dyDescent="0.3">
      <c r="B22" s="4">
        <v>18.5</v>
      </c>
      <c r="C22" s="4">
        <v>95.43</v>
      </c>
      <c r="D22" s="4">
        <v>6.96</v>
      </c>
      <c r="E22" s="4">
        <v>22.24</v>
      </c>
      <c r="F22" s="4">
        <v>95.43</v>
      </c>
      <c r="G22" s="4">
        <v>6.46</v>
      </c>
      <c r="H22" s="4">
        <v>21.9</v>
      </c>
      <c r="I22" s="4">
        <v>96.64</v>
      </c>
      <c r="J22" s="4">
        <v>6.1</v>
      </c>
      <c r="K22" s="4">
        <v>17.850000000000001</v>
      </c>
      <c r="L22" s="4">
        <v>81.28</v>
      </c>
      <c r="M22" s="4">
        <v>7.29</v>
      </c>
    </row>
    <row r="23" spans="2:13" x14ac:dyDescent="0.3">
      <c r="B23" s="3">
        <v>16.96</v>
      </c>
      <c r="C23" s="3">
        <v>111.25</v>
      </c>
      <c r="D23" s="3">
        <v>7.19</v>
      </c>
      <c r="E23" s="3">
        <v>14.57</v>
      </c>
      <c r="F23" s="3">
        <v>66.41</v>
      </c>
      <c r="G23" s="3">
        <v>8.17</v>
      </c>
      <c r="H23" s="3">
        <v>15.5</v>
      </c>
      <c r="I23" s="3">
        <v>58.7</v>
      </c>
      <c r="J23" s="3">
        <v>7.85</v>
      </c>
      <c r="K23" s="3">
        <v>18</v>
      </c>
      <c r="L23" s="3">
        <v>103.64</v>
      </c>
      <c r="M23" s="3">
        <v>6.87</v>
      </c>
    </row>
    <row r="24" spans="2:13" x14ac:dyDescent="0.3">
      <c r="B24" s="4">
        <v>8.4600000000000009</v>
      </c>
      <c r="C24" s="4">
        <v>72.53</v>
      </c>
      <c r="D24" s="4">
        <v>10.15</v>
      </c>
      <c r="E24" s="4">
        <v>7.32</v>
      </c>
      <c r="F24" s="4">
        <v>72.59</v>
      </c>
      <c r="G24" s="4">
        <v>10.75</v>
      </c>
      <c r="H24" s="4">
        <v>6.31</v>
      </c>
      <c r="I24" s="4">
        <v>94.99</v>
      </c>
      <c r="J24" s="4">
        <v>11.91</v>
      </c>
      <c r="K24" s="4">
        <v>8.75</v>
      </c>
      <c r="L24" s="4">
        <v>64.87</v>
      </c>
      <c r="M24" s="4">
        <v>9.9600000000000009</v>
      </c>
    </row>
    <row r="25" spans="2:13" x14ac:dyDescent="0.3">
      <c r="B25" s="3">
        <v>22.49</v>
      </c>
      <c r="C25" s="3">
        <v>95.06</v>
      </c>
      <c r="D25" s="3">
        <v>6.09</v>
      </c>
      <c r="E25" s="3">
        <v>24.51</v>
      </c>
      <c r="F25" s="3">
        <v>132.37</v>
      </c>
      <c r="G25" s="3">
        <v>5.68</v>
      </c>
      <c r="H25" s="3">
        <v>23.24</v>
      </c>
      <c r="I25" s="3">
        <v>102.31</v>
      </c>
      <c r="J25" s="3">
        <v>6.02</v>
      </c>
      <c r="K25" s="3">
        <v>21.97</v>
      </c>
      <c r="L25" s="3">
        <v>102.82</v>
      </c>
      <c r="M25" s="3">
        <v>6.09</v>
      </c>
    </row>
    <row r="26" spans="2:13" x14ac:dyDescent="0.3">
      <c r="B26" s="4">
        <v>16.54</v>
      </c>
      <c r="C26" s="4">
        <v>57.78</v>
      </c>
      <c r="D26" s="4">
        <v>7.55</v>
      </c>
      <c r="E26" s="4">
        <v>16.170000000000002</v>
      </c>
      <c r="F26" s="4">
        <v>64.81</v>
      </c>
      <c r="G26" s="4">
        <v>7.64</v>
      </c>
      <c r="H26" s="4">
        <v>14.54</v>
      </c>
      <c r="I26" s="4">
        <v>65.14</v>
      </c>
      <c r="J26" s="4">
        <v>8.1199999999999992</v>
      </c>
      <c r="K26" s="4">
        <v>12.91</v>
      </c>
      <c r="L26" s="4">
        <v>49.82</v>
      </c>
      <c r="M26" s="4">
        <v>8.81</v>
      </c>
    </row>
    <row r="27" spans="2:13" x14ac:dyDescent="0.3">
      <c r="B27" s="3">
        <v>15.89</v>
      </c>
      <c r="C27" s="3">
        <v>95.8</v>
      </c>
      <c r="D27" s="3">
        <v>7.31</v>
      </c>
      <c r="E27" s="3">
        <v>15.55</v>
      </c>
      <c r="F27" s="3">
        <v>80.319999999999993</v>
      </c>
      <c r="G27" s="3">
        <v>7.63</v>
      </c>
      <c r="H27" s="3">
        <v>15.34</v>
      </c>
      <c r="I27" s="3">
        <v>86.94</v>
      </c>
      <c r="J27" s="3">
        <v>7.67</v>
      </c>
      <c r="K27" s="3">
        <v>14.49</v>
      </c>
      <c r="L27" s="3">
        <v>87.3</v>
      </c>
      <c r="M27" s="3">
        <v>7.93</v>
      </c>
    </row>
    <row r="28" spans="2:13" x14ac:dyDescent="0.3">
      <c r="B28" s="4">
        <v>12.99</v>
      </c>
      <c r="C28" s="4">
        <v>64.790000000000006</v>
      </c>
      <c r="D28" s="4">
        <v>7.24</v>
      </c>
      <c r="E28" s="4">
        <v>13.07</v>
      </c>
      <c r="F28" s="4">
        <v>65.430000000000007</v>
      </c>
      <c r="G28" s="4">
        <v>7.81</v>
      </c>
      <c r="H28" s="4">
        <v>18.170000000000002</v>
      </c>
      <c r="I28" s="4">
        <v>58.5</v>
      </c>
      <c r="J28" s="4">
        <v>6.41</v>
      </c>
      <c r="K28" s="4">
        <v>15.41</v>
      </c>
      <c r="L28" s="4">
        <v>57.43</v>
      </c>
      <c r="M28" s="4">
        <v>6.97</v>
      </c>
    </row>
    <row r="29" spans="2:13" x14ac:dyDescent="0.3">
      <c r="B29" s="3">
        <v>18.71</v>
      </c>
      <c r="C29" s="3">
        <v>148.66999999999999</v>
      </c>
      <c r="D29" s="3">
        <v>6.47</v>
      </c>
      <c r="E29" s="3">
        <v>17.61</v>
      </c>
      <c r="F29" s="3">
        <v>118.61</v>
      </c>
      <c r="G29" s="3">
        <v>6.98</v>
      </c>
      <c r="H29" s="3">
        <v>19.329999999999998</v>
      </c>
      <c r="I29" s="3">
        <v>132.47999999999999</v>
      </c>
      <c r="J29" s="3">
        <v>6.57</v>
      </c>
      <c r="K29" s="3">
        <v>18.48</v>
      </c>
      <c r="L29" s="3">
        <v>140</v>
      </c>
      <c r="M29" s="3">
        <v>6.43</v>
      </c>
    </row>
    <row r="30" spans="2:13" x14ac:dyDescent="0.3">
      <c r="B30" s="4">
        <v>14.84</v>
      </c>
      <c r="C30" s="4">
        <v>102.63</v>
      </c>
      <c r="D30" s="4">
        <v>8.0299999999999994</v>
      </c>
      <c r="E30" s="4">
        <v>17.16</v>
      </c>
      <c r="F30" s="4">
        <v>109.97</v>
      </c>
      <c r="G30" s="4">
        <v>7.56</v>
      </c>
      <c r="H30" s="4">
        <v>17.190000000000001</v>
      </c>
      <c r="I30" s="4">
        <v>110.33</v>
      </c>
      <c r="J30" s="4">
        <v>7.39</v>
      </c>
      <c r="K30" s="4">
        <v>17.420000000000002</v>
      </c>
      <c r="L30" s="4">
        <v>117.95</v>
      </c>
      <c r="M30" s="4">
        <v>7.28</v>
      </c>
    </row>
    <row r="31" spans="2:13" x14ac:dyDescent="0.3">
      <c r="B31" s="3">
        <v>22.61</v>
      </c>
      <c r="C31" s="3">
        <v>156.15</v>
      </c>
      <c r="D31" s="3">
        <v>5.67</v>
      </c>
      <c r="E31" s="3">
        <v>16.32</v>
      </c>
      <c r="F31" s="3">
        <v>133.34</v>
      </c>
      <c r="G31" s="3">
        <v>6.94</v>
      </c>
      <c r="H31" s="3">
        <v>17.47</v>
      </c>
      <c r="I31" s="3">
        <v>140.6</v>
      </c>
      <c r="J31" s="3">
        <v>6.9</v>
      </c>
      <c r="K31" s="3">
        <v>18.16</v>
      </c>
      <c r="L31" s="3">
        <v>149.16999999999999</v>
      </c>
      <c r="M31" s="3">
        <v>6.68</v>
      </c>
    </row>
    <row r="32" spans="2:13" x14ac:dyDescent="0.3">
      <c r="B32" s="4">
        <v>8.09</v>
      </c>
      <c r="C32" s="4">
        <v>87.83</v>
      </c>
      <c r="D32" s="4">
        <v>9.61</v>
      </c>
      <c r="E32" s="4">
        <v>8.4499999999999993</v>
      </c>
      <c r="F32" s="4">
        <v>95.48</v>
      </c>
      <c r="G32" s="4">
        <v>9.9700000000000006</v>
      </c>
      <c r="H32" s="4">
        <v>7.51</v>
      </c>
      <c r="I32" s="4">
        <v>95.55</v>
      </c>
      <c r="J32" s="4">
        <v>9.94</v>
      </c>
      <c r="K32" s="4">
        <v>7.62</v>
      </c>
      <c r="L32" s="4">
        <v>95.46</v>
      </c>
      <c r="M32" s="4">
        <v>9.89</v>
      </c>
    </row>
    <row r="33" spans="2:13" x14ac:dyDescent="0.3">
      <c r="B33" s="3">
        <v>11.14</v>
      </c>
      <c r="C33" s="3">
        <v>103.66</v>
      </c>
      <c r="D33" s="3">
        <v>7.7</v>
      </c>
      <c r="E33" s="3">
        <v>7.85</v>
      </c>
      <c r="F33" s="3">
        <v>95.1</v>
      </c>
      <c r="G33" s="3">
        <v>9.57</v>
      </c>
      <c r="H33" s="3">
        <v>12.28</v>
      </c>
      <c r="I33" s="3">
        <v>110.27</v>
      </c>
      <c r="J33" s="3">
        <v>7.59</v>
      </c>
      <c r="K33" s="3">
        <v>9.83</v>
      </c>
      <c r="L33" s="3">
        <v>111.95</v>
      </c>
      <c r="M33" s="3">
        <v>8.19</v>
      </c>
    </row>
    <row r="34" spans="2:13" x14ac:dyDescent="0.3">
      <c r="B34" s="4">
        <v>18.05</v>
      </c>
      <c r="C34" s="4">
        <v>88.86</v>
      </c>
      <c r="D34" s="4">
        <v>7.14</v>
      </c>
      <c r="E34" s="4">
        <v>20.93</v>
      </c>
      <c r="F34" s="4">
        <v>80.14</v>
      </c>
      <c r="G34" s="4">
        <v>6.63</v>
      </c>
      <c r="H34" s="4">
        <v>18.47</v>
      </c>
      <c r="I34" s="4">
        <v>80.22</v>
      </c>
      <c r="J34" s="4">
        <v>6.82</v>
      </c>
      <c r="K34" s="4">
        <v>18.260000000000002</v>
      </c>
      <c r="L34" s="4">
        <v>88.56</v>
      </c>
      <c r="M34" s="4">
        <v>7</v>
      </c>
    </row>
    <row r="35" spans="2:13" x14ac:dyDescent="0.3">
      <c r="B35" s="3">
        <v>17.3</v>
      </c>
      <c r="C35" s="3">
        <v>110.13</v>
      </c>
      <c r="D35" s="3">
        <v>6.98</v>
      </c>
      <c r="E35" s="3">
        <v>13.41</v>
      </c>
      <c r="F35" s="3">
        <v>72.66</v>
      </c>
      <c r="G35" s="3">
        <v>8.3000000000000007</v>
      </c>
      <c r="H35" s="3">
        <v>14.63</v>
      </c>
      <c r="I35" s="3">
        <v>57.7</v>
      </c>
      <c r="J35" s="3">
        <v>7.86</v>
      </c>
      <c r="K35" s="3">
        <v>16.649999999999999</v>
      </c>
      <c r="L35" s="3">
        <v>94.91</v>
      </c>
      <c r="M35" s="3">
        <v>7.11</v>
      </c>
    </row>
    <row r="36" spans="2:13" x14ac:dyDescent="0.3">
      <c r="B36" s="4">
        <v>5.41</v>
      </c>
      <c r="C36" s="4">
        <v>57.4</v>
      </c>
      <c r="D36" s="4">
        <v>12.3</v>
      </c>
      <c r="E36" s="4">
        <v>6.32</v>
      </c>
      <c r="F36" s="4">
        <v>64.92</v>
      </c>
      <c r="G36" s="4">
        <v>11</v>
      </c>
      <c r="H36" s="4">
        <v>6.11</v>
      </c>
      <c r="I36" s="4">
        <v>87.47</v>
      </c>
      <c r="J36" s="4">
        <v>11.6</v>
      </c>
      <c r="K36" s="4">
        <v>8.1</v>
      </c>
      <c r="L36" s="4">
        <v>49.84</v>
      </c>
      <c r="M36" s="4">
        <v>10.19</v>
      </c>
    </row>
    <row r="37" spans="2:13" x14ac:dyDescent="0.3">
      <c r="B37" s="3">
        <v>18.36</v>
      </c>
      <c r="C37" s="3">
        <v>88.33</v>
      </c>
      <c r="D37" s="3">
        <v>6.72</v>
      </c>
      <c r="E37" s="3">
        <v>17.25</v>
      </c>
      <c r="F37" s="3">
        <v>81.489999999999995</v>
      </c>
      <c r="G37" s="3">
        <v>7.48</v>
      </c>
      <c r="H37" s="3">
        <v>15.29</v>
      </c>
      <c r="I37" s="3">
        <v>66.790000000000006</v>
      </c>
      <c r="J37" s="3">
        <v>7.67</v>
      </c>
      <c r="K37" s="3">
        <v>15.65</v>
      </c>
      <c r="L37" s="3">
        <v>90.43</v>
      </c>
      <c r="M37" s="3">
        <v>7.78</v>
      </c>
    </row>
    <row r="38" spans="2:13" x14ac:dyDescent="0.3">
      <c r="B38" s="4">
        <v>19.38</v>
      </c>
      <c r="C38" s="4">
        <v>92.13</v>
      </c>
      <c r="D38" s="4">
        <v>6.66</v>
      </c>
      <c r="E38" s="4">
        <v>16.07</v>
      </c>
      <c r="F38" s="4">
        <v>66.86</v>
      </c>
      <c r="G38" s="4">
        <v>7.69</v>
      </c>
      <c r="H38" s="4">
        <v>15.23</v>
      </c>
      <c r="I38" s="4">
        <v>79.19</v>
      </c>
      <c r="J38" s="4">
        <v>7.78</v>
      </c>
      <c r="K38" s="4">
        <v>15.19</v>
      </c>
      <c r="L38" s="4">
        <v>42.68</v>
      </c>
      <c r="M38" s="4">
        <v>8.15</v>
      </c>
    </row>
    <row r="39" spans="2:13" x14ac:dyDescent="0.3">
      <c r="B39" s="3">
        <v>9.35</v>
      </c>
      <c r="C39" s="3">
        <v>27.54</v>
      </c>
      <c r="D39" s="3">
        <v>10.33</v>
      </c>
      <c r="E39" s="3">
        <v>11.99</v>
      </c>
      <c r="F39" s="3">
        <v>35.200000000000003</v>
      </c>
      <c r="G39" s="3">
        <v>9.2100000000000009</v>
      </c>
      <c r="H39" s="3">
        <v>9.44</v>
      </c>
      <c r="I39" s="3">
        <v>27.72</v>
      </c>
      <c r="J39" s="3">
        <v>10.25</v>
      </c>
      <c r="K39" s="3">
        <v>11.27</v>
      </c>
      <c r="L39" s="3">
        <v>42.77</v>
      </c>
      <c r="M39" s="3">
        <v>9.58</v>
      </c>
    </row>
    <row r="40" spans="2:13" x14ac:dyDescent="0.3">
      <c r="B40" s="4">
        <v>16.989999999999998</v>
      </c>
      <c r="C40" s="4">
        <v>57.52</v>
      </c>
      <c r="D40" s="4">
        <v>6.6</v>
      </c>
      <c r="E40" s="4">
        <v>14.19</v>
      </c>
      <c r="F40" s="4">
        <v>80.03</v>
      </c>
      <c r="G40" s="4">
        <v>7.47</v>
      </c>
      <c r="H40" s="4">
        <v>11.62</v>
      </c>
      <c r="I40" s="4">
        <v>57.4</v>
      </c>
      <c r="J40" s="4">
        <v>8.0299999999999994</v>
      </c>
      <c r="K40" s="4">
        <v>16.239999999999998</v>
      </c>
      <c r="L40" s="4">
        <v>58.44</v>
      </c>
      <c r="M40" s="4">
        <v>6.9</v>
      </c>
    </row>
    <row r="41" spans="2:13" x14ac:dyDescent="0.3">
      <c r="B41" s="3">
        <v>19.170000000000002</v>
      </c>
      <c r="C41" s="3">
        <v>73.03</v>
      </c>
      <c r="D41" s="3">
        <v>6.39</v>
      </c>
      <c r="E41" s="3">
        <v>26.53</v>
      </c>
      <c r="F41" s="3">
        <v>118.31</v>
      </c>
      <c r="G41" s="3">
        <v>4.66</v>
      </c>
      <c r="H41" s="3">
        <v>21.64</v>
      </c>
      <c r="I41" s="3">
        <v>88.22</v>
      </c>
      <c r="J41" s="3">
        <v>5.63</v>
      </c>
      <c r="K41" s="3">
        <v>28.21</v>
      </c>
      <c r="L41" s="3">
        <v>120.24</v>
      </c>
      <c r="M41" s="3">
        <v>4.2300000000000004</v>
      </c>
    </row>
    <row r="42" spans="2:13" x14ac:dyDescent="0.3">
      <c r="B42" s="4">
        <v>21.67</v>
      </c>
      <c r="C42" s="4">
        <v>146.66</v>
      </c>
      <c r="D42" s="4">
        <v>6.2</v>
      </c>
      <c r="E42" s="4">
        <v>23.35</v>
      </c>
      <c r="F42" s="4">
        <v>148.85</v>
      </c>
      <c r="G42" s="4">
        <v>5.92</v>
      </c>
      <c r="H42" s="4">
        <v>21.72</v>
      </c>
      <c r="I42" s="4">
        <v>144.54</v>
      </c>
      <c r="J42" s="4">
        <v>6.14</v>
      </c>
      <c r="K42" s="4">
        <v>19.88</v>
      </c>
      <c r="L42" s="4">
        <v>147.86000000000001</v>
      </c>
      <c r="M42" s="4">
        <v>6.41</v>
      </c>
    </row>
    <row r="43" spans="2:13" x14ac:dyDescent="0.3">
      <c r="B43" s="3">
        <v>17.12</v>
      </c>
      <c r="C43" s="3">
        <v>73.17</v>
      </c>
      <c r="D43" s="3">
        <v>7.51</v>
      </c>
      <c r="E43" s="3">
        <v>15.83</v>
      </c>
      <c r="F43" s="3">
        <v>50.37</v>
      </c>
      <c r="G43" s="3">
        <v>7.62</v>
      </c>
      <c r="H43" s="3">
        <v>18.68</v>
      </c>
      <c r="I43" s="3">
        <v>72.95</v>
      </c>
      <c r="J43" s="3">
        <v>6.84</v>
      </c>
      <c r="K43" s="3">
        <v>21.6</v>
      </c>
      <c r="L43" s="3">
        <v>57.63</v>
      </c>
      <c r="M43" s="3">
        <v>6.19</v>
      </c>
    </row>
    <row r="44" spans="2:13" x14ac:dyDescent="0.3">
      <c r="B44" s="4">
        <v>25.17</v>
      </c>
      <c r="C44" s="4">
        <v>132.08000000000001</v>
      </c>
      <c r="D44" s="4">
        <v>5.19</v>
      </c>
      <c r="E44" s="4">
        <v>40.619999999999997</v>
      </c>
      <c r="F44" s="4">
        <v>184.1</v>
      </c>
      <c r="G44" s="4">
        <v>3.91</v>
      </c>
      <c r="H44" s="4">
        <v>26.96</v>
      </c>
      <c r="I44" s="4">
        <v>124.1</v>
      </c>
      <c r="J44" s="4">
        <v>4.95</v>
      </c>
      <c r="K44" s="4">
        <v>28.43</v>
      </c>
      <c r="L44" s="4">
        <v>139.03</v>
      </c>
      <c r="M44" s="4">
        <v>4.7</v>
      </c>
    </row>
    <row r="45" spans="2:13" x14ac:dyDescent="0.3">
      <c r="B45" s="3">
        <v>29.11</v>
      </c>
      <c r="C45" s="3">
        <v>130.94999999999999</v>
      </c>
      <c r="D45" s="3">
        <v>3.7</v>
      </c>
      <c r="E45" s="3">
        <v>8.3699999999999992</v>
      </c>
      <c r="F45" s="3">
        <v>93.25</v>
      </c>
      <c r="G45" s="3">
        <v>9.1300000000000008</v>
      </c>
      <c r="H45" s="3">
        <v>21.11</v>
      </c>
      <c r="I45" s="3">
        <v>139.27000000000001</v>
      </c>
      <c r="J45" s="3">
        <v>5.1100000000000003</v>
      </c>
      <c r="K45" s="3">
        <v>30.15</v>
      </c>
      <c r="L45" s="3">
        <v>146.72999999999999</v>
      </c>
      <c r="M45" s="3">
        <v>3.49</v>
      </c>
    </row>
    <row r="46" spans="2:13" x14ac:dyDescent="0.3">
      <c r="B46" s="4">
        <v>20.36</v>
      </c>
      <c r="C46" s="4">
        <v>134.09</v>
      </c>
      <c r="D46" s="4">
        <v>6.29</v>
      </c>
      <c r="E46" s="4">
        <v>14.8</v>
      </c>
      <c r="F46" s="4">
        <v>110.78</v>
      </c>
      <c r="G46" s="4">
        <v>8.16</v>
      </c>
      <c r="H46" s="4">
        <v>18.100000000000001</v>
      </c>
      <c r="I46" s="4">
        <v>109.01</v>
      </c>
      <c r="J46" s="4">
        <v>6.72</v>
      </c>
      <c r="K46" s="4">
        <v>13.7</v>
      </c>
      <c r="L46" s="4">
        <v>85.59</v>
      </c>
      <c r="M46" s="4">
        <v>8.23</v>
      </c>
    </row>
    <row r="47" spans="2:13" x14ac:dyDescent="0.3">
      <c r="B47" s="3">
        <v>38.92</v>
      </c>
      <c r="C47" s="3">
        <v>121.47</v>
      </c>
      <c r="D47" s="3">
        <v>3.78</v>
      </c>
      <c r="E47" s="3">
        <v>45.4</v>
      </c>
      <c r="F47" s="3">
        <v>156.65</v>
      </c>
      <c r="G47" s="3">
        <v>3.45</v>
      </c>
      <c r="H47" s="3">
        <v>33.520000000000003</v>
      </c>
      <c r="I47" s="3">
        <v>100.68</v>
      </c>
      <c r="J47" s="3">
        <v>4.41</v>
      </c>
      <c r="K47" s="3">
        <v>34.78</v>
      </c>
      <c r="L47" s="3">
        <v>112.29</v>
      </c>
      <c r="M47" s="3">
        <v>4.33</v>
      </c>
    </row>
    <row r="48" spans="2:13" x14ac:dyDescent="0.3">
      <c r="B48" s="4">
        <v>30.74</v>
      </c>
      <c r="C48" s="4">
        <v>118.08</v>
      </c>
      <c r="D48" s="4">
        <v>4.1399999999999997</v>
      </c>
      <c r="E48" s="4">
        <v>39.33</v>
      </c>
      <c r="F48" s="4">
        <v>109.59</v>
      </c>
      <c r="G48" s="4">
        <v>3.28</v>
      </c>
      <c r="H48" s="4">
        <v>34.11</v>
      </c>
      <c r="I48" s="4">
        <v>138.97999999999999</v>
      </c>
      <c r="J48" s="4">
        <v>3.68</v>
      </c>
      <c r="K48" s="4">
        <v>19.77</v>
      </c>
      <c r="L48" s="4">
        <v>110.25</v>
      </c>
      <c r="M48" s="4">
        <v>5.87</v>
      </c>
    </row>
    <row r="50" spans="1:13" x14ac:dyDescent="0.3">
      <c r="A50" s="5" t="s">
        <v>42</v>
      </c>
      <c r="B50" s="5">
        <f>AVERAGE(B13:B48)</f>
        <v>17.847500000000004</v>
      </c>
      <c r="C50" s="5">
        <f t="shared" ref="C50:M50" si="0">AVERAGE(C13:C48)</f>
        <v>101.23166666666665</v>
      </c>
      <c r="D50" s="5">
        <f t="shared" si="0"/>
        <v>7.1013888888888861</v>
      </c>
      <c r="E50" s="5">
        <f t="shared" si="0"/>
        <v>17.720277777777778</v>
      </c>
      <c r="F50" s="5">
        <f t="shared" si="0"/>
        <v>97.472222222222229</v>
      </c>
      <c r="G50" s="5">
        <f t="shared" si="0"/>
        <v>7.4583333333333321</v>
      </c>
      <c r="H50" s="5">
        <f t="shared" si="0"/>
        <v>17.44361111111111</v>
      </c>
      <c r="I50" s="5">
        <f t="shared" si="0"/>
        <v>96.744722222222194</v>
      </c>
      <c r="J50" s="5">
        <f t="shared" si="0"/>
        <v>7.2749999999999995</v>
      </c>
      <c r="K50" s="5">
        <f t="shared" si="0"/>
        <v>17.361666666666665</v>
      </c>
      <c r="L50" s="5">
        <f t="shared" si="0"/>
        <v>97.760277777777787</v>
      </c>
      <c r="M50" s="5">
        <f t="shared" si="0"/>
        <v>7.2361111111111125</v>
      </c>
    </row>
    <row r="51" spans="1:13" x14ac:dyDescent="0.3">
      <c r="A51" s="5" t="s">
        <v>35</v>
      </c>
      <c r="B51" s="5">
        <f>AVERAGE(B50,E50,H50,K50)</f>
        <v>17.593263888888888</v>
      </c>
      <c r="C51" s="5">
        <f t="shared" ref="C51:D51" si="1">AVERAGE(C50,F50,I50,L50)</f>
        <v>98.302222222222213</v>
      </c>
      <c r="D51" s="5">
        <f t="shared" si="1"/>
        <v>7.2677083333333332</v>
      </c>
      <c r="E51" s="5"/>
      <c r="F51" s="5"/>
      <c r="G51" s="5"/>
      <c r="H51" s="5"/>
      <c r="I51" s="5"/>
      <c r="J51" s="5"/>
      <c r="K51" s="5"/>
      <c r="L51" s="5"/>
      <c r="M51" s="5"/>
    </row>
    <row r="53" spans="1:13" x14ac:dyDescent="0.3">
      <c r="B53" s="38" t="s">
        <v>2</v>
      </c>
      <c r="C53" s="38"/>
      <c r="D53" s="38"/>
      <c r="E53" s="38"/>
    </row>
    <row r="55" spans="1:13" x14ac:dyDescent="0.3">
      <c r="B55" s="39" t="s">
        <v>17</v>
      </c>
      <c r="C55" s="39"/>
      <c r="D55" s="39"/>
      <c r="E55" s="40" t="s">
        <v>18</v>
      </c>
      <c r="F55" s="40"/>
      <c r="G55" s="40"/>
      <c r="H55" s="41" t="s">
        <v>19</v>
      </c>
      <c r="I55" s="41"/>
      <c r="J55" s="41"/>
      <c r="K55" s="42" t="s">
        <v>20</v>
      </c>
      <c r="L55" s="42"/>
      <c r="M55" s="42"/>
    </row>
    <row r="56" spans="1:13" x14ac:dyDescent="0.3">
      <c r="B56" s="1" t="s">
        <v>21</v>
      </c>
      <c r="C56" s="1" t="s">
        <v>22</v>
      </c>
      <c r="D56" s="1" t="s">
        <v>23</v>
      </c>
      <c r="E56" s="1" t="s">
        <v>21</v>
      </c>
      <c r="F56" s="1" t="s">
        <v>22</v>
      </c>
      <c r="G56" s="1" t="s">
        <v>23</v>
      </c>
      <c r="H56" s="1" t="s">
        <v>21</v>
      </c>
      <c r="I56" s="1" t="s">
        <v>22</v>
      </c>
      <c r="J56" s="1" t="s">
        <v>23</v>
      </c>
      <c r="K56" s="1" t="s">
        <v>21</v>
      </c>
      <c r="L56" s="1" t="s">
        <v>22</v>
      </c>
      <c r="M56" s="1" t="s">
        <v>23</v>
      </c>
    </row>
    <row r="57" spans="1:13" x14ac:dyDescent="0.3">
      <c r="A57" t="s">
        <v>27</v>
      </c>
      <c r="B57" s="3">
        <v>17.3</v>
      </c>
      <c r="C57" s="3">
        <v>72.52</v>
      </c>
      <c r="D57" s="3">
        <v>7.27</v>
      </c>
      <c r="E57" s="3">
        <v>18.260000000000002</v>
      </c>
      <c r="F57" s="3">
        <v>87.59</v>
      </c>
      <c r="G57" s="3">
        <v>7.47</v>
      </c>
      <c r="H57" s="3">
        <v>17.190000000000001</v>
      </c>
      <c r="I57" s="3">
        <v>80.09</v>
      </c>
      <c r="J57" s="3">
        <v>7.39</v>
      </c>
      <c r="K57" s="3">
        <v>16.489999999999998</v>
      </c>
      <c r="L57" s="3">
        <v>80.05</v>
      </c>
      <c r="M57" s="3">
        <v>7.45</v>
      </c>
    </row>
    <row r="58" spans="1:13" x14ac:dyDescent="0.3">
      <c r="B58" s="4">
        <v>21.7</v>
      </c>
      <c r="C58" s="4">
        <v>117.53</v>
      </c>
      <c r="D58" s="4">
        <v>6.94</v>
      </c>
      <c r="E58" s="4">
        <v>23.12</v>
      </c>
      <c r="F58" s="4">
        <v>103.98</v>
      </c>
      <c r="G58" s="4">
        <v>6.43</v>
      </c>
      <c r="H58" s="4">
        <v>16.73</v>
      </c>
      <c r="I58" s="4">
        <v>96.04</v>
      </c>
      <c r="J58" s="4">
        <v>8</v>
      </c>
      <c r="K58" s="4">
        <v>17.98</v>
      </c>
      <c r="L58" s="4">
        <v>88.48</v>
      </c>
      <c r="M58" s="4">
        <v>7.67</v>
      </c>
    </row>
    <row r="59" spans="1:13" x14ac:dyDescent="0.3">
      <c r="B59" s="3">
        <v>24.94</v>
      </c>
      <c r="C59" s="3">
        <v>119.33</v>
      </c>
      <c r="D59" s="3">
        <v>6.46</v>
      </c>
      <c r="E59" s="3">
        <v>21.89</v>
      </c>
      <c r="F59" s="3">
        <v>111.18</v>
      </c>
      <c r="G59" s="3">
        <v>6.65</v>
      </c>
      <c r="H59" s="3">
        <v>21.93</v>
      </c>
      <c r="I59" s="3">
        <v>110.12</v>
      </c>
      <c r="J59" s="3">
        <v>6.98</v>
      </c>
      <c r="K59" s="3">
        <v>22.9</v>
      </c>
      <c r="L59" s="3">
        <v>102.71</v>
      </c>
      <c r="M59" s="3">
        <v>6.92</v>
      </c>
    </row>
    <row r="60" spans="1:13" x14ac:dyDescent="0.3">
      <c r="B60" s="4">
        <v>25.9</v>
      </c>
      <c r="C60" s="4">
        <v>102.49</v>
      </c>
      <c r="D60" s="4">
        <v>5.98</v>
      </c>
      <c r="E60" s="4">
        <v>28.89</v>
      </c>
      <c r="F60" s="4">
        <v>102.49</v>
      </c>
      <c r="G60" s="4">
        <v>6.28</v>
      </c>
      <c r="H60" s="4">
        <v>29.45</v>
      </c>
      <c r="I60" s="4">
        <v>140</v>
      </c>
      <c r="J60" s="4">
        <v>5.85</v>
      </c>
      <c r="K60" s="4">
        <v>27.37</v>
      </c>
      <c r="L60" s="4">
        <v>102.49</v>
      </c>
      <c r="M60" s="4">
        <v>5.91</v>
      </c>
    </row>
    <row r="61" spans="1:13" x14ac:dyDescent="0.3">
      <c r="B61" s="3">
        <v>24.86</v>
      </c>
      <c r="C61" s="3">
        <v>117.49</v>
      </c>
      <c r="D61" s="3">
        <v>6.7</v>
      </c>
      <c r="E61" s="3">
        <v>21.11</v>
      </c>
      <c r="F61" s="3">
        <v>102.59</v>
      </c>
      <c r="G61" s="3">
        <v>7.37</v>
      </c>
      <c r="H61" s="3">
        <v>22.06</v>
      </c>
      <c r="I61" s="3">
        <v>102.57</v>
      </c>
      <c r="J61" s="3">
        <v>7.01</v>
      </c>
      <c r="K61" s="3">
        <v>23.49</v>
      </c>
      <c r="L61" s="3">
        <v>110.1</v>
      </c>
      <c r="M61" s="3">
        <v>6.7</v>
      </c>
    </row>
    <row r="62" spans="1:13" x14ac:dyDescent="0.3">
      <c r="B62" s="4">
        <v>27.08</v>
      </c>
      <c r="C62" s="4">
        <v>102.49</v>
      </c>
      <c r="D62" s="4">
        <v>6.55</v>
      </c>
      <c r="E62" s="4">
        <v>24.75</v>
      </c>
      <c r="F62" s="4">
        <v>96.06</v>
      </c>
      <c r="G62" s="4">
        <v>6.2</v>
      </c>
      <c r="H62" s="4">
        <v>28.07</v>
      </c>
      <c r="I62" s="4">
        <v>102.49</v>
      </c>
      <c r="J62" s="4">
        <v>6.03</v>
      </c>
      <c r="K62" s="4">
        <v>22.92</v>
      </c>
      <c r="L62" s="4">
        <v>95.04</v>
      </c>
      <c r="M62" s="4">
        <v>6.83</v>
      </c>
    </row>
    <row r="63" spans="1:13" x14ac:dyDescent="0.3">
      <c r="B63" s="3">
        <v>19.559999999999999</v>
      </c>
      <c r="C63" s="3">
        <v>88.8</v>
      </c>
      <c r="D63" s="3">
        <v>7.99</v>
      </c>
      <c r="E63" s="3">
        <v>23.03</v>
      </c>
      <c r="F63" s="3">
        <v>102.55</v>
      </c>
      <c r="G63" s="3">
        <v>7.29</v>
      </c>
      <c r="H63" s="3">
        <v>19.260000000000002</v>
      </c>
      <c r="I63" s="3">
        <v>88.94</v>
      </c>
      <c r="J63" s="3">
        <v>8.06</v>
      </c>
      <c r="K63" s="3">
        <v>25.26</v>
      </c>
      <c r="L63" s="3">
        <v>110.57</v>
      </c>
      <c r="M63" s="3">
        <v>6.86</v>
      </c>
    </row>
    <row r="64" spans="1:13" x14ac:dyDescent="0.3">
      <c r="B64" s="4">
        <v>29.19</v>
      </c>
      <c r="C64" s="4">
        <v>102.49</v>
      </c>
      <c r="D64" s="4">
        <v>5.92</v>
      </c>
      <c r="E64" s="4">
        <v>24.13</v>
      </c>
      <c r="F64" s="4">
        <v>118.69</v>
      </c>
      <c r="G64" s="4">
        <v>6.56</v>
      </c>
      <c r="H64" s="4">
        <v>24.31</v>
      </c>
      <c r="I64" s="4">
        <v>102.53</v>
      </c>
      <c r="J64" s="4">
        <v>6.01</v>
      </c>
      <c r="K64" s="4">
        <v>23.53</v>
      </c>
      <c r="L64" s="4">
        <v>102.68</v>
      </c>
      <c r="M64" s="4">
        <v>6.81</v>
      </c>
    </row>
    <row r="65" spans="2:13" x14ac:dyDescent="0.3">
      <c r="B65" s="3">
        <v>29.34</v>
      </c>
      <c r="C65" s="3">
        <v>109.97</v>
      </c>
      <c r="D65" s="3">
        <v>6.15</v>
      </c>
      <c r="E65" s="3">
        <v>29.72</v>
      </c>
      <c r="F65" s="3">
        <v>109.97</v>
      </c>
      <c r="G65" s="3">
        <v>5.72</v>
      </c>
      <c r="H65" s="3">
        <v>27.44</v>
      </c>
      <c r="I65" s="3">
        <v>109.97</v>
      </c>
      <c r="J65" s="3">
        <v>6.54</v>
      </c>
      <c r="K65" s="3">
        <v>26.82</v>
      </c>
      <c r="L65" s="3">
        <v>109.97</v>
      </c>
      <c r="M65" s="3">
        <v>6.02</v>
      </c>
    </row>
    <row r="66" spans="2:13" x14ac:dyDescent="0.3">
      <c r="B66" s="4">
        <v>26.66</v>
      </c>
      <c r="C66" s="4">
        <v>102.49</v>
      </c>
      <c r="D66" s="4">
        <v>5.86</v>
      </c>
      <c r="E66" s="4">
        <v>18.329999999999998</v>
      </c>
      <c r="F66" s="4">
        <v>96.12</v>
      </c>
      <c r="G66" s="4">
        <v>7.1</v>
      </c>
      <c r="H66" s="4">
        <v>19.190000000000001</v>
      </c>
      <c r="I66" s="4">
        <v>79.98</v>
      </c>
      <c r="J66" s="4">
        <v>7.33</v>
      </c>
      <c r="K66" s="4">
        <v>21.42</v>
      </c>
      <c r="L66" s="4">
        <v>102.49</v>
      </c>
      <c r="M66" s="4">
        <v>6.56</v>
      </c>
    </row>
    <row r="67" spans="2:13" x14ac:dyDescent="0.3">
      <c r="B67" s="3">
        <v>19.25</v>
      </c>
      <c r="C67" s="3">
        <v>109.97</v>
      </c>
      <c r="D67" s="3">
        <v>7.18</v>
      </c>
      <c r="E67" s="3">
        <v>16.86</v>
      </c>
      <c r="F67" s="3">
        <v>111.01</v>
      </c>
      <c r="G67" s="3">
        <v>7.37</v>
      </c>
      <c r="H67" s="3">
        <v>17.2</v>
      </c>
      <c r="I67" s="3">
        <v>117.52</v>
      </c>
      <c r="J67" s="3">
        <v>7.7</v>
      </c>
      <c r="K67" s="3">
        <v>16.25</v>
      </c>
      <c r="L67" s="3">
        <v>117.52</v>
      </c>
      <c r="M67" s="3">
        <v>7.92</v>
      </c>
    </row>
    <row r="68" spans="2:13" x14ac:dyDescent="0.3">
      <c r="B68" s="4">
        <v>15.1</v>
      </c>
      <c r="C68" s="4">
        <v>72.55</v>
      </c>
      <c r="D68" s="4">
        <v>7.86</v>
      </c>
      <c r="E68" s="4">
        <v>20.54</v>
      </c>
      <c r="F68" s="4">
        <v>95.12</v>
      </c>
      <c r="G68" s="4">
        <v>6.65</v>
      </c>
      <c r="H68" s="4">
        <v>18.5</v>
      </c>
      <c r="I68" s="4">
        <v>96.44</v>
      </c>
      <c r="J68" s="4">
        <v>7.29</v>
      </c>
      <c r="K68" s="4">
        <v>15.26</v>
      </c>
      <c r="L68" s="4">
        <v>95.18</v>
      </c>
      <c r="M68" s="4">
        <v>7.4</v>
      </c>
    </row>
    <row r="69" spans="2:13" x14ac:dyDescent="0.3">
      <c r="B69" s="3">
        <v>10.61</v>
      </c>
      <c r="C69" s="3">
        <v>64.959999999999994</v>
      </c>
      <c r="D69" s="3">
        <v>10.78</v>
      </c>
      <c r="E69" s="3">
        <v>10.23</v>
      </c>
      <c r="F69" s="3">
        <v>80.040000000000006</v>
      </c>
      <c r="G69" s="3">
        <v>10.5</v>
      </c>
      <c r="H69" s="3">
        <v>11.3</v>
      </c>
      <c r="I69" s="3">
        <v>72.489999999999995</v>
      </c>
      <c r="J69" s="3">
        <v>9.69</v>
      </c>
      <c r="K69" s="3">
        <v>10.06</v>
      </c>
      <c r="L69" s="3">
        <v>72.260000000000005</v>
      </c>
      <c r="M69" s="3">
        <v>10.87</v>
      </c>
    </row>
    <row r="70" spans="2:13" x14ac:dyDescent="0.3">
      <c r="B70" s="4">
        <v>15.23</v>
      </c>
      <c r="C70" s="4">
        <v>110.15</v>
      </c>
      <c r="D70" s="4">
        <v>8.7799999999999994</v>
      </c>
      <c r="E70" s="4">
        <v>15.58</v>
      </c>
      <c r="F70" s="4">
        <v>96.32</v>
      </c>
      <c r="G70" s="4">
        <v>8</v>
      </c>
      <c r="H70" s="4">
        <v>12.27</v>
      </c>
      <c r="I70" s="4">
        <v>94.65</v>
      </c>
      <c r="J70" s="4">
        <v>9.66</v>
      </c>
      <c r="K70" s="4">
        <v>11.07</v>
      </c>
      <c r="L70" s="4">
        <v>66.17</v>
      </c>
      <c r="M70" s="4">
        <v>10.56</v>
      </c>
    </row>
    <row r="71" spans="2:13" x14ac:dyDescent="0.3">
      <c r="B71" s="3">
        <v>14.92</v>
      </c>
      <c r="C71" s="3">
        <v>102.47</v>
      </c>
      <c r="D71" s="3">
        <v>9.51</v>
      </c>
      <c r="E71" s="3">
        <v>15.3</v>
      </c>
      <c r="F71" s="3">
        <v>102.49</v>
      </c>
      <c r="G71" s="3">
        <v>9.3800000000000008</v>
      </c>
      <c r="H71" s="3">
        <v>14.79</v>
      </c>
      <c r="I71" s="3">
        <v>102.59</v>
      </c>
      <c r="J71" s="3">
        <v>8.99</v>
      </c>
      <c r="K71" s="3">
        <v>15.43</v>
      </c>
      <c r="L71" s="3">
        <v>95.91</v>
      </c>
      <c r="M71" s="3">
        <v>9.0299999999999994</v>
      </c>
    </row>
    <row r="72" spans="2:13" x14ac:dyDescent="0.3">
      <c r="B72" s="4">
        <v>17.899999999999999</v>
      </c>
      <c r="C72" s="4">
        <v>125</v>
      </c>
      <c r="D72" s="4">
        <v>7.65</v>
      </c>
      <c r="E72" s="4">
        <v>19.38</v>
      </c>
      <c r="F72" s="4">
        <v>102.49</v>
      </c>
      <c r="G72" s="4">
        <v>7.57</v>
      </c>
      <c r="H72" s="4">
        <v>21.48</v>
      </c>
      <c r="I72" s="4">
        <v>102.49</v>
      </c>
      <c r="J72" s="4">
        <v>6.89</v>
      </c>
      <c r="K72" s="4">
        <v>18.48</v>
      </c>
      <c r="L72" s="4">
        <v>117.46</v>
      </c>
      <c r="M72" s="4">
        <v>7.9</v>
      </c>
    </row>
    <row r="73" spans="2:13" x14ac:dyDescent="0.3">
      <c r="B73" s="3">
        <v>17.05</v>
      </c>
      <c r="C73" s="3">
        <v>102.57</v>
      </c>
      <c r="D73" s="3">
        <v>7.95</v>
      </c>
      <c r="E73" s="3">
        <v>14.02</v>
      </c>
      <c r="F73" s="3">
        <v>95.05</v>
      </c>
      <c r="G73" s="3">
        <v>9</v>
      </c>
      <c r="H73" s="3">
        <v>14.92</v>
      </c>
      <c r="I73" s="3">
        <v>94.98</v>
      </c>
      <c r="J73" s="3">
        <v>8.49</v>
      </c>
      <c r="K73" s="3">
        <v>15.87</v>
      </c>
      <c r="L73" s="3">
        <v>103.46</v>
      </c>
      <c r="M73" s="3">
        <v>8.75</v>
      </c>
    </row>
    <row r="74" spans="2:13" x14ac:dyDescent="0.3">
      <c r="B74" s="4">
        <v>17.5</v>
      </c>
      <c r="C74" s="4">
        <v>102.49</v>
      </c>
      <c r="D74" s="4">
        <v>8.58</v>
      </c>
      <c r="E74" s="4">
        <v>14.93</v>
      </c>
      <c r="F74" s="4">
        <v>94.99</v>
      </c>
      <c r="G74" s="4">
        <v>9.06</v>
      </c>
      <c r="H74" s="4">
        <v>18.78</v>
      </c>
      <c r="I74" s="4">
        <v>102.49</v>
      </c>
      <c r="J74" s="4">
        <v>7.64</v>
      </c>
      <c r="K74" s="4">
        <v>14.38</v>
      </c>
      <c r="L74" s="4">
        <v>87.56</v>
      </c>
      <c r="M74" s="4">
        <v>9.27</v>
      </c>
    </row>
    <row r="75" spans="2:13" x14ac:dyDescent="0.3">
      <c r="B75" s="3">
        <v>12.18</v>
      </c>
      <c r="C75" s="3">
        <v>72.39</v>
      </c>
      <c r="D75" s="3">
        <v>9.7799999999999994</v>
      </c>
      <c r="E75" s="3">
        <v>14.14</v>
      </c>
      <c r="F75" s="3">
        <v>94.9</v>
      </c>
      <c r="G75" s="3">
        <v>9.86</v>
      </c>
      <c r="H75" s="3">
        <v>12.28</v>
      </c>
      <c r="I75" s="3">
        <v>79.94</v>
      </c>
      <c r="J75" s="3">
        <v>10.039999999999999</v>
      </c>
      <c r="K75" s="3">
        <v>14.99</v>
      </c>
      <c r="L75" s="3">
        <v>96.01</v>
      </c>
      <c r="M75" s="3">
        <v>8.9</v>
      </c>
    </row>
    <row r="76" spans="2:13" x14ac:dyDescent="0.3">
      <c r="B76" s="4">
        <v>21.13</v>
      </c>
      <c r="C76" s="4">
        <v>102.49</v>
      </c>
      <c r="D76" s="4">
        <v>7.42</v>
      </c>
      <c r="E76" s="4">
        <v>15.81</v>
      </c>
      <c r="F76" s="4">
        <v>110.36</v>
      </c>
      <c r="G76" s="4">
        <v>8.66</v>
      </c>
      <c r="H76" s="4">
        <v>14.9</v>
      </c>
      <c r="I76" s="4">
        <v>95.11</v>
      </c>
      <c r="J76" s="4">
        <v>8.86</v>
      </c>
      <c r="K76" s="4">
        <v>14.68</v>
      </c>
      <c r="L76" s="4">
        <v>94.91</v>
      </c>
      <c r="M76" s="4">
        <v>8.85</v>
      </c>
    </row>
    <row r="77" spans="2:13" x14ac:dyDescent="0.3">
      <c r="B77" s="3">
        <v>21.1</v>
      </c>
      <c r="C77" s="3">
        <v>109.97</v>
      </c>
      <c r="D77" s="3">
        <v>6.97</v>
      </c>
      <c r="E77" s="3">
        <v>23.52</v>
      </c>
      <c r="F77" s="3">
        <v>109.97</v>
      </c>
      <c r="G77" s="3">
        <v>6.59</v>
      </c>
      <c r="H77" s="3">
        <v>18.420000000000002</v>
      </c>
      <c r="I77" s="3">
        <v>109.97</v>
      </c>
      <c r="J77" s="3">
        <v>7.77</v>
      </c>
      <c r="K77" s="3">
        <v>20.94</v>
      </c>
      <c r="L77" s="3">
        <v>109.97</v>
      </c>
      <c r="M77" s="3">
        <v>7.46</v>
      </c>
    </row>
    <row r="78" spans="2:13" x14ac:dyDescent="0.3">
      <c r="B78" s="4">
        <v>18.149999999999999</v>
      </c>
      <c r="C78" s="4">
        <v>118.46</v>
      </c>
      <c r="D78" s="4">
        <v>7.51</v>
      </c>
      <c r="E78" s="4">
        <v>11.58</v>
      </c>
      <c r="F78" s="4">
        <v>80.989999999999995</v>
      </c>
      <c r="G78" s="4">
        <v>9.9499999999999993</v>
      </c>
      <c r="H78" s="4">
        <v>12.4</v>
      </c>
      <c r="I78" s="4">
        <v>72.52</v>
      </c>
      <c r="J78" s="4">
        <v>9.58</v>
      </c>
      <c r="K78" s="4">
        <v>15.82</v>
      </c>
      <c r="L78" s="4">
        <v>102.49</v>
      </c>
      <c r="M78" s="4">
        <v>8.33</v>
      </c>
    </row>
    <row r="79" spans="2:13" x14ac:dyDescent="0.3">
      <c r="B79" s="3">
        <v>12.15</v>
      </c>
      <c r="C79" s="3">
        <v>102.52</v>
      </c>
      <c r="D79" s="3">
        <v>9.6999999999999993</v>
      </c>
      <c r="E79" s="3">
        <v>11.57</v>
      </c>
      <c r="F79" s="3">
        <v>95.88</v>
      </c>
      <c r="G79" s="3">
        <v>9.7899999999999991</v>
      </c>
      <c r="H79" s="3">
        <v>11.47</v>
      </c>
      <c r="I79" s="3">
        <v>103.52</v>
      </c>
      <c r="J79" s="3">
        <v>9.9700000000000006</v>
      </c>
      <c r="K79" s="3">
        <v>11.66</v>
      </c>
      <c r="L79" s="3">
        <v>102.49</v>
      </c>
      <c r="M79" s="3">
        <v>10.33</v>
      </c>
    </row>
    <row r="80" spans="2:13" x14ac:dyDescent="0.3">
      <c r="B80" s="4">
        <v>9.1999999999999993</v>
      </c>
      <c r="C80" s="4">
        <v>72.45</v>
      </c>
      <c r="D80" s="4">
        <v>11</v>
      </c>
      <c r="E80" s="4">
        <v>13.59</v>
      </c>
      <c r="F80" s="4">
        <v>95</v>
      </c>
      <c r="G80" s="4">
        <v>9.2200000000000006</v>
      </c>
      <c r="H80" s="4">
        <v>12.16</v>
      </c>
      <c r="I80" s="4">
        <v>88.63</v>
      </c>
      <c r="J80" s="4">
        <v>9.07</v>
      </c>
      <c r="K80" s="4">
        <v>11.02</v>
      </c>
      <c r="L80" s="4">
        <v>79.930000000000007</v>
      </c>
      <c r="M80" s="4">
        <v>9.85</v>
      </c>
    </row>
    <row r="82" spans="1:13" x14ac:dyDescent="0.3">
      <c r="A82" s="5" t="s">
        <v>42</v>
      </c>
      <c r="B82" s="5">
        <f>AVERAGE(B57:B80)</f>
        <v>19.5</v>
      </c>
      <c r="C82" s="5">
        <f t="shared" ref="C82:M82" si="2">AVERAGE(C57:C80)</f>
        <v>100.16833333333334</v>
      </c>
      <c r="D82" s="5">
        <f t="shared" si="2"/>
        <v>7.7704166666666659</v>
      </c>
      <c r="E82" s="5">
        <f t="shared" si="2"/>
        <v>18.761666666666663</v>
      </c>
      <c r="F82" s="5">
        <f t="shared" si="2"/>
        <v>99.826250000000002</v>
      </c>
      <c r="G82" s="5">
        <f t="shared" si="2"/>
        <v>7.8612499999999983</v>
      </c>
      <c r="H82" s="5">
        <f t="shared" si="2"/>
        <v>18.1875</v>
      </c>
      <c r="I82" s="5">
        <f t="shared" si="2"/>
        <v>97.752916666666678</v>
      </c>
      <c r="J82" s="5">
        <f t="shared" si="2"/>
        <v>7.9516666666666671</v>
      </c>
      <c r="K82" s="5">
        <f t="shared" si="2"/>
        <v>18.087083333333332</v>
      </c>
      <c r="L82" s="5">
        <f t="shared" si="2"/>
        <v>97.745833333333323</v>
      </c>
      <c r="M82" s="5">
        <f t="shared" si="2"/>
        <v>8.0479166666666693</v>
      </c>
    </row>
    <row r="83" spans="1:13" x14ac:dyDescent="0.3">
      <c r="A83" s="5" t="s">
        <v>35</v>
      </c>
      <c r="B83" s="5">
        <f>AVERAGE(B82,E82,H82,K82)</f>
        <v>18.634062499999999</v>
      </c>
      <c r="C83" s="5">
        <f t="shared" ref="C83" si="3">AVERAGE(C82,F82,I82,L82)</f>
        <v>98.873333333333335</v>
      </c>
      <c r="D83" s="5">
        <f t="shared" ref="D83" si="4">AVERAGE(D82,G82,J82,M82)</f>
        <v>7.9078125000000004</v>
      </c>
      <c r="E83" s="5"/>
      <c r="F83" s="5"/>
      <c r="G83" s="5"/>
      <c r="H83" s="5"/>
      <c r="I83" s="5"/>
      <c r="J83" s="5"/>
      <c r="K83" s="5"/>
      <c r="L83" s="5"/>
      <c r="M83" s="5"/>
    </row>
    <row r="85" spans="1:13" x14ac:dyDescent="0.3">
      <c r="A85" t="s">
        <v>28</v>
      </c>
      <c r="B85" s="3">
        <v>26.18</v>
      </c>
      <c r="C85" s="3">
        <v>27.47</v>
      </c>
      <c r="D85" s="3">
        <v>5.0999999999999996</v>
      </c>
      <c r="E85" s="3">
        <v>28.67</v>
      </c>
      <c r="F85" s="3">
        <v>34.75</v>
      </c>
      <c r="G85" s="3">
        <v>5.04</v>
      </c>
      <c r="H85" s="3">
        <v>40.39</v>
      </c>
      <c r="I85" s="3">
        <v>34.840000000000003</v>
      </c>
      <c r="J85" s="3">
        <v>4.49</v>
      </c>
      <c r="K85" s="3">
        <v>35.99</v>
      </c>
      <c r="L85" s="3">
        <v>42.33</v>
      </c>
      <c r="M85" s="3">
        <v>3.34</v>
      </c>
    </row>
    <row r="86" spans="1:13" x14ac:dyDescent="0.3">
      <c r="B86" s="4">
        <v>18.25</v>
      </c>
      <c r="C86" s="4">
        <v>19.95</v>
      </c>
      <c r="D86" s="4">
        <v>5.7</v>
      </c>
      <c r="E86" s="4">
        <v>28.88</v>
      </c>
      <c r="F86" s="4">
        <v>42.51</v>
      </c>
      <c r="G86" s="4">
        <v>3.31</v>
      </c>
      <c r="H86" s="4">
        <v>24.01</v>
      </c>
      <c r="I86" s="4">
        <v>34.85</v>
      </c>
      <c r="J86" s="4">
        <v>5.47</v>
      </c>
      <c r="K86" s="4">
        <v>28.6</v>
      </c>
      <c r="L86" s="4">
        <v>42.41</v>
      </c>
      <c r="M86" s="4">
        <v>4.16</v>
      </c>
    </row>
    <row r="87" spans="1:13" x14ac:dyDescent="0.3">
      <c r="B87" s="3">
        <v>3.73</v>
      </c>
      <c r="C87" s="3">
        <v>4.63</v>
      </c>
      <c r="D87" s="3">
        <v>12.83</v>
      </c>
      <c r="E87" s="3">
        <v>1.62</v>
      </c>
      <c r="F87" s="3">
        <v>4.63</v>
      </c>
      <c r="G87" s="3">
        <v>14.22</v>
      </c>
      <c r="H87" s="3">
        <v>2.92</v>
      </c>
      <c r="I87" s="3">
        <v>4.63</v>
      </c>
      <c r="J87" s="3">
        <v>13.42</v>
      </c>
      <c r="K87" s="3">
        <v>5.0599999999999996</v>
      </c>
      <c r="L87" s="3">
        <v>19.82</v>
      </c>
      <c r="M87" s="3">
        <v>11.96</v>
      </c>
    </row>
    <row r="88" spans="1:13" x14ac:dyDescent="0.3">
      <c r="B88" s="4">
        <v>17.87</v>
      </c>
      <c r="C88" s="4">
        <v>19.84</v>
      </c>
      <c r="D88" s="4">
        <v>6.18</v>
      </c>
      <c r="E88" s="4">
        <v>13.91</v>
      </c>
      <c r="F88" s="4">
        <v>34.909999999999997</v>
      </c>
      <c r="G88" s="4">
        <v>7.83</v>
      </c>
      <c r="H88" s="4">
        <v>26.57</v>
      </c>
      <c r="I88" s="4">
        <v>42.35</v>
      </c>
      <c r="J88" s="4">
        <v>4.78</v>
      </c>
      <c r="K88" s="4">
        <v>29.21</v>
      </c>
      <c r="L88" s="4">
        <v>49.81</v>
      </c>
      <c r="M88" s="4">
        <v>4.8</v>
      </c>
    </row>
    <row r="89" spans="1:13" x14ac:dyDescent="0.3">
      <c r="B89" s="3">
        <v>40.68</v>
      </c>
      <c r="C89" s="3">
        <v>72.38</v>
      </c>
      <c r="D89" s="3">
        <v>3.87</v>
      </c>
      <c r="E89" s="3">
        <v>42.4</v>
      </c>
      <c r="F89" s="3">
        <v>64.84</v>
      </c>
      <c r="G89" s="3">
        <v>4.18</v>
      </c>
      <c r="H89" s="3">
        <v>42.78</v>
      </c>
      <c r="I89" s="3">
        <v>72.39</v>
      </c>
      <c r="J89" s="3">
        <v>4.24</v>
      </c>
      <c r="K89" s="3">
        <v>40.020000000000003</v>
      </c>
      <c r="L89" s="3">
        <v>79.86</v>
      </c>
      <c r="M89" s="3">
        <v>3.82</v>
      </c>
    </row>
    <row r="90" spans="1:13" x14ac:dyDescent="0.3">
      <c r="B90" s="4">
        <v>47.85</v>
      </c>
      <c r="C90" s="4">
        <v>79.95</v>
      </c>
      <c r="D90" s="4">
        <v>3.2</v>
      </c>
      <c r="E90" s="4">
        <v>41.75</v>
      </c>
      <c r="F90" s="4">
        <v>72.48</v>
      </c>
      <c r="G90" s="4">
        <v>4.59</v>
      </c>
      <c r="H90" s="4">
        <v>39.51</v>
      </c>
      <c r="I90" s="4">
        <v>79.989999999999995</v>
      </c>
      <c r="J90" s="4">
        <v>4.26</v>
      </c>
      <c r="K90" s="4">
        <v>33.33</v>
      </c>
      <c r="L90" s="4">
        <v>78.349999999999994</v>
      </c>
      <c r="M90" s="4">
        <v>4.72</v>
      </c>
    </row>
    <row r="91" spans="1:13" x14ac:dyDescent="0.3">
      <c r="B91" s="3">
        <v>16.98</v>
      </c>
      <c r="C91" s="3">
        <v>40.31</v>
      </c>
      <c r="D91" s="3">
        <v>8.2100000000000009</v>
      </c>
      <c r="E91" s="3">
        <v>29.22</v>
      </c>
      <c r="F91" s="3">
        <v>63.3</v>
      </c>
      <c r="G91" s="3">
        <v>6.36</v>
      </c>
      <c r="H91" s="3">
        <v>23.77</v>
      </c>
      <c r="I91" s="3">
        <v>57.32</v>
      </c>
      <c r="J91" s="3">
        <v>6.03</v>
      </c>
      <c r="K91" s="3">
        <v>31.11</v>
      </c>
      <c r="L91" s="3">
        <v>79.959999999999994</v>
      </c>
      <c r="M91" s="3">
        <v>4.87</v>
      </c>
    </row>
    <row r="92" spans="1:13" x14ac:dyDescent="0.3">
      <c r="B92" s="4">
        <v>26.89</v>
      </c>
      <c r="C92" s="4">
        <v>49.94</v>
      </c>
      <c r="D92" s="4">
        <v>4.45</v>
      </c>
      <c r="E92" s="4">
        <v>36.49</v>
      </c>
      <c r="F92" s="4">
        <v>57.48</v>
      </c>
      <c r="G92" s="4">
        <v>4.09</v>
      </c>
      <c r="H92" s="4">
        <v>29.22</v>
      </c>
      <c r="I92" s="4">
        <v>63.36</v>
      </c>
      <c r="J92" s="4">
        <v>4.46</v>
      </c>
      <c r="K92" s="4">
        <v>43.98</v>
      </c>
      <c r="L92" s="4">
        <v>42.3</v>
      </c>
      <c r="M92" s="4">
        <v>4.04</v>
      </c>
    </row>
    <row r="93" spans="1:13" x14ac:dyDescent="0.3">
      <c r="B93" s="3">
        <v>31.09</v>
      </c>
      <c r="C93" s="3">
        <v>57.27</v>
      </c>
      <c r="D93" s="3">
        <v>5.09</v>
      </c>
      <c r="E93" s="3">
        <v>31.83</v>
      </c>
      <c r="F93" s="3">
        <v>49.92</v>
      </c>
      <c r="G93" s="3">
        <v>4.3899999999999997</v>
      </c>
      <c r="H93" s="3">
        <v>39.56</v>
      </c>
      <c r="I93" s="3">
        <v>72.37</v>
      </c>
      <c r="J93" s="3">
        <v>3.97</v>
      </c>
      <c r="K93" s="3">
        <v>30.91</v>
      </c>
      <c r="L93" s="3">
        <v>64.92</v>
      </c>
      <c r="M93" s="3">
        <v>4.8899999999999997</v>
      </c>
    </row>
    <row r="94" spans="1:13" x14ac:dyDescent="0.3">
      <c r="B94" s="4">
        <v>37.03</v>
      </c>
      <c r="C94" s="4">
        <v>34.85</v>
      </c>
      <c r="D94" s="4">
        <v>3.83</v>
      </c>
      <c r="E94" s="4">
        <v>41.91</v>
      </c>
      <c r="F94" s="4">
        <v>54.23</v>
      </c>
      <c r="G94" s="4">
        <v>3.73</v>
      </c>
      <c r="H94" s="4">
        <v>37.43</v>
      </c>
      <c r="I94" s="4">
        <v>42.37</v>
      </c>
      <c r="J94" s="4">
        <v>3.95</v>
      </c>
      <c r="K94" s="4">
        <v>32.1</v>
      </c>
      <c r="L94" s="4">
        <v>49.81</v>
      </c>
      <c r="M94" s="4">
        <v>5.12</v>
      </c>
    </row>
    <row r="95" spans="1:13" x14ac:dyDescent="0.3">
      <c r="B95" s="3">
        <v>32.549999999999997</v>
      </c>
      <c r="C95" s="3">
        <v>34.950000000000003</v>
      </c>
      <c r="D95" s="3">
        <v>4.96</v>
      </c>
      <c r="E95" s="3">
        <v>24.73</v>
      </c>
      <c r="F95" s="3">
        <v>34.83</v>
      </c>
      <c r="G95" s="3">
        <v>6.16</v>
      </c>
      <c r="H95" s="3">
        <v>13.61</v>
      </c>
      <c r="I95" s="3">
        <v>19.850000000000001</v>
      </c>
      <c r="J95" s="3">
        <v>7.47</v>
      </c>
      <c r="K95" s="3">
        <v>20.57</v>
      </c>
      <c r="L95" s="3">
        <v>27.3</v>
      </c>
      <c r="M95" s="3">
        <v>4.78</v>
      </c>
    </row>
    <row r="96" spans="1:13" x14ac:dyDescent="0.3">
      <c r="B96" s="4">
        <v>13.81</v>
      </c>
      <c r="C96" s="4">
        <v>42.41</v>
      </c>
      <c r="D96" s="4">
        <v>6.43</v>
      </c>
      <c r="E96" s="4">
        <v>14.48</v>
      </c>
      <c r="F96" s="4">
        <v>42.4</v>
      </c>
      <c r="G96" s="4">
        <v>6.23</v>
      </c>
      <c r="H96" s="4">
        <v>13.55</v>
      </c>
      <c r="I96" s="4">
        <v>42.41</v>
      </c>
      <c r="J96" s="4">
        <v>7.65</v>
      </c>
      <c r="K96" s="4">
        <v>11.24</v>
      </c>
      <c r="L96" s="4">
        <v>28.49</v>
      </c>
      <c r="M96" s="4">
        <v>6.65</v>
      </c>
    </row>
    <row r="97" spans="1:13" x14ac:dyDescent="0.3">
      <c r="B97" s="3">
        <v>16.84</v>
      </c>
      <c r="C97" s="3">
        <v>34.869999999999997</v>
      </c>
      <c r="D97" s="3">
        <v>8.1999999999999993</v>
      </c>
      <c r="E97" s="3">
        <v>18.57</v>
      </c>
      <c r="F97" s="3">
        <v>34.89</v>
      </c>
      <c r="G97" s="3">
        <v>7.74</v>
      </c>
      <c r="H97" s="3">
        <v>15.18</v>
      </c>
      <c r="I97" s="3">
        <v>27.49</v>
      </c>
      <c r="J97" s="3">
        <v>8.06</v>
      </c>
      <c r="K97" s="3">
        <v>19.190000000000001</v>
      </c>
      <c r="L97" s="3">
        <v>42.38</v>
      </c>
      <c r="M97" s="3">
        <v>7.62</v>
      </c>
    </row>
    <row r="98" spans="1:13" x14ac:dyDescent="0.3">
      <c r="B98" s="4">
        <v>14.31</v>
      </c>
      <c r="C98" s="4">
        <v>27.42</v>
      </c>
      <c r="D98" s="4">
        <v>8.48</v>
      </c>
      <c r="E98" s="4">
        <v>15.23</v>
      </c>
      <c r="F98" s="4">
        <v>42.36</v>
      </c>
      <c r="G98" s="4">
        <v>8.35</v>
      </c>
      <c r="H98" s="4">
        <v>14.64</v>
      </c>
      <c r="I98" s="4">
        <v>34.94</v>
      </c>
      <c r="J98" s="4">
        <v>8.1</v>
      </c>
      <c r="K98" s="4">
        <v>12.88</v>
      </c>
      <c r="L98" s="4">
        <v>42.43</v>
      </c>
      <c r="M98" s="4">
        <v>8.3800000000000008</v>
      </c>
    </row>
    <row r="99" spans="1:13" x14ac:dyDescent="0.3">
      <c r="B99" s="3">
        <v>2.84</v>
      </c>
      <c r="C99" s="3">
        <v>12.43</v>
      </c>
      <c r="D99" s="3">
        <v>12.52</v>
      </c>
      <c r="E99" s="3">
        <v>2.0499999999999998</v>
      </c>
      <c r="F99" s="3">
        <v>4.71</v>
      </c>
      <c r="G99" s="3">
        <v>13.19</v>
      </c>
      <c r="H99" s="3">
        <v>2.61</v>
      </c>
      <c r="I99" s="3">
        <v>12.39</v>
      </c>
      <c r="J99" s="3">
        <v>12.94</v>
      </c>
      <c r="K99" s="3">
        <v>3.49</v>
      </c>
      <c r="L99" s="3">
        <v>19.95</v>
      </c>
      <c r="M99" s="3">
        <v>12.61</v>
      </c>
    </row>
    <row r="100" spans="1:13" x14ac:dyDescent="0.3">
      <c r="B100" s="4">
        <v>11.9</v>
      </c>
      <c r="C100" s="4">
        <v>27.34</v>
      </c>
      <c r="D100" s="4">
        <v>9.52</v>
      </c>
      <c r="E100" s="4">
        <v>11.51</v>
      </c>
      <c r="F100" s="4">
        <v>42.55</v>
      </c>
      <c r="G100" s="4">
        <v>9.6300000000000008</v>
      </c>
      <c r="H100" s="4">
        <v>13.64</v>
      </c>
      <c r="I100" s="4">
        <v>42.42</v>
      </c>
      <c r="J100" s="4">
        <v>8.8800000000000008</v>
      </c>
      <c r="K100" s="4">
        <v>17.62</v>
      </c>
      <c r="L100" s="4">
        <v>50.02</v>
      </c>
      <c r="M100" s="4">
        <v>7.94</v>
      </c>
    </row>
    <row r="101" spans="1:13" x14ac:dyDescent="0.3">
      <c r="B101" s="3">
        <v>27.31</v>
      </c>
      <c r="C101" s="3">
        <v>72.400000000000006</v>
      </c>
      <c r="D101" s="3">
        <v>6.2</v>
      </c>
      <c r="E101" s="3">
        <v>31.31</v>
      </c>
      <c r="F101" s="3">
        <v>86.02</v>
      </c>
      <c r="G101" s="3">
        <v>6.2</v>
      </c>
      <c r="H101" s="3">
        <v>30.49</v>
      </c>
      <c r="I101" s="3">
        <v>79.84</v>
      </c>
      <c r="J101" s="3">
        <v>5.71</v>
      </c>
      <c r="K101" s="3">
        <v>25.93</v>
      </c>
      <c r="L101" s="3">
        <v>72.58</v>
      </c>
      <c r="M101" s="3">
        <v>6.49</v>
      </c>
    </row>
    <row r="102" spans="1:13" x14ac:dyDescent="0.3">
      <c r="B102" s="4">
        <v>26.64</v>
      </c>
      <c r="C102" s="4">
        <v>78.510000000000005</v>
      </c>
      <c r="D102" s="4">
        <v>6.81</v>
      </c>
      <c r="E102" s="4">
        <v>28.68</v>
      </c>
      <c r="F102" s="4">
        <v>85.94</v>
      </c>
      <c r="G102" s="4">
        <v>6.26</v>
      </c>
      <c r="H102" s="4">
        <v>25.99</v>
      </c>
      <c r="I102" s="4">
        <v>85.96</v>
      </c>
      <c r="J102" s="4">
        <v>6.88</v>
      </c>
      <c r="K102" s="4">
        <v>27.35</v>
      </c>
      <c r="L102" s="4">
        <v>72.45</v>
      </c>
      <c r="M102" s="4">
        <v>6.51</v>
      </c>
    </row>
    <row r="103" spans="1:13" x14ac:dyDescent="0.3">
      <c r="B103" s="3">
        <v>13.07</v>
      </c>
      <c r="C103" s="3">
        <v>42.52</v>
      </c>
      <c r="D103" s="3">
        <v>9.36</v>
      </c>
      <c r="E103" s="3">
        <v>21.83</v>
      </c>
      <c r="F103" s="3">
        <v>65</v>
      </c>
      <c r="G103" s="3">
        <v>7.95</v>
      </c>
      <c r="H103" s="3">
        <v>15.58</v>
      </c>
      <c r="I103" s="3">
        <v>55.96</v>
      </c>
      <c r="J103" s="3">
        <v>8.49</v>
      </c>
      <c r="K103" s="3">
        <v>18.18</v>
      </c>
      <c r="L103" s="3">
        <v>78.489999999999995</v>
      </c>
      <c r="M103" s="3">
        <v>8.11</v>
      </c>
    </row>
    <row r="104" spans="1:13" x14ac:dyDescent="0.3">
      <c r="B104" s="4">
        <v>16.88</v>
      </c>
      <c r="C104" s="4">
        <v>57.5</v>
      </c>
      <c r="D104" s="4">
        <v>8.25</v>
      </c>
      <c r="E104" s="4">
        <v>20.170000000000002</v>
      </c>
      <c r="F104" s="4">
        <v>57.39</v>
      </c>
      <c r="G104" s="4">
        <v>7.76</v>
      </c>
      <c r="H104" s="4">
        <v>19.93</v>
      </c>
      <c r="I104" s="4">
        <v>57.53</v>
      </c>
      <c r="J104" s="4">
        <v>7.4</v>
      </c>
      <c r="K104" s="4">
        <v>23.87</v>
      </c>
      <c r="L104" s="4">
        <v>49.86</v>
      </c>
      <c r="M104" s="4">
        <v>6.94</v>
      </c>
    </row>
    <row r="105" spans="1:13" x14ac:dyDescent="0.3">
      <c r="B105" s="3">
        <v>20.89</v>
      </c>
      <c r="C105" s="3">
        <v>50.03</v>
      </c>
      <c r="D105" s="3">
        <v>7.44</v>
      </c>
      <c r="E105" s="3">
        <v>21.52</v>
      </c>
      <c r="F105" s="3">
        <v>49.95</v>
      </c>
      <c r="G105" s="3">
        <v>7.6</v>
      </c>
      <c r="H105" s="3">
        <v>30.72</v>
      </c>
      <c r="I105" s="3">
        <v>72.39</v>
      </c>
      <c r="J105" s="3">
        <v>6.56</v>
      </c>
      <c r="K105" s="3">
        <v>22.31</v>
      </c>
      <c r="L105" s="3">
        <v>63.43</v>
      </c>
      <c r="M105" s="3">
        <v>7.27</v>
      </c>
    </row>
    <row r="106" spans="1:13" x14ac:dyDescent="0.3">
      <c r="B106" s="4">
        <v>24.29</v>
      </c>
      <c r="C106" s="4">
        <v>76.989999999999995</v>
      </c>
      <c r="D106" s="4">
        <v>7.18</v>
      </c>
      <c r="E106" s="4">
        <v>22.23</v>
      </c>
      <c r="F106" s="4">
        <v>55.91</v>
      </c>
      <c r="G106" s="4">
        <v>7.3</v>
      </c>
      <c r="H106" s="4">
        <v>17.62</v>
      </c>
      <c r="I106" s="4">
        <v>48.94</v>
      </c>
      <c r="J106" s="4">
        <v>8.17</v>
      </c>
      <c r="K106" s="4">
        <v>19</v>
      </c>
      <c r="L106" s="4">
        <v>49.57</v>
      </c>
      <c r="M106" s="4">
        <v>7.26</v>
      </c>
    </row>
    <row r="107" spans="1:13" x14ac:dyDescent="0.3">
      <c r="B107" s="3">
        <v>15.92</v>
      </c>
      <c r="C107" s="3">
        <v>42.56</v>
      </c>
      <c r="D107" s="3">
        <v>8.19</v>
      </c>
      <c r="E107" s="3">
        <v>9.6999999999999993</v>
      </c>
      <c r="F107" s="3">
        <v>35.14</v>
      </c>
      <c r="G107" s="3">
        <v>9.64</v>
      </c>
      <c r="H107" s="3">
        <v>8.33</v>
      </c>
      <c r="I107" s="3">
        <v>40.909999999999997</v>
      </c>
      <c r="J107" s="3">
        <v>10.32</v>
      </c>
      <c r="K107" s="3">
        <v>10.18</v>
      </c>
      <c r="L107" s="3">
        <v>48.38</v>
      </c>
      <c r="M107" s="3">
        <v>9.8000000000000007</v>
      </c>
    </row>
    <row r="108" spans="1:13" x14ac:dyDescent="0.3">
      <c r="B108" s="4">
        <v>7.43</v>
      </c>
      <c r="C108" s="4">
        <v>47.92</v>
      </c>
      <c r="D108" s="4">
        <v>10.29</v>
      </c>
      <c r="E108" s="4">
        <v>8.9600000000000009</v>
      </c>
      <c r="F108" s="4">
        <v>48.09</v>
      </c>
      <c r="G108" s="4">
        <v>9.68</v>
      </c>
      <c r="H108" s="4">
        <v>9.31</v>
      </c>
      <c r="I108" s="4">
        <v>50.07</v>
      </c>
      <c r="J108" s="4">
        <v>9.75</v>
      </c>
      <c r="K108" s="4">
        <v>7.79</v>
      </c>
      <c r="L108" s="4">
        <v>41.83</v>
      </c>
      <c r="M108" s="4">
        <v>10.39</v>
      </c>
    </row>
    <row r="110" spans="1:13" x14ac:dyDescent="0.3">
      <c r="A110" s="5" t="s">
        <v>42</v>
      </c>
      <c r="B110" s="5">
        <f>AVERAGE(B85:B108)</f>
        <v>21.30125</v>
      </c>
      <c r="C110" s="5">
        <f t="shared" ref="C110:M110" si="5">AVERAGE(C85:C108)</f>
        <v>43.934999999999995</v>
      </c>
      <c r="D110" s="5">
        <f t="shared" si="5"/>
        <v>7.17875</v>
      </c>
      <c r="E110" s="5">
        <f t="shared" si="5"/>
        <v>22.818750000000005</v>
      </c>
      <c r="F110" s="5">
        <f t="shared" si="5"/>
        <v>48.509583333333332</v>
      </c>
      <c r="G110" s="5">
        <f t="shared" si="5"/>
        <v>7.1429166666666672</v>
      </c>
      <c r="H110" s="5">
        <f t="shared" si="5"/>
        <v>22.39</v>
      </c>
      <c r="I110" s="5">
        <f t="shared" si="5"/>
        <v>48.982083333333343</v>
      </c>
      <c r="J110" s="5">
        <f t="shared" si="5"/>
        <v>7.1437499999999998</v>
      </c>
      <c r="K110" s="5">
        <f t="shared" si="5"/>
        <v>22.912916666666664</v>
      </c>
      <c r="L110" s="5">
        <f t="shared" si="5"/>
        <v>51.530416666666667</v>
      </c>
      <c r="M110" s="5">
        <f t="shared" si="5"/>
        <v>6.7695833333333324</v>
      </c>
    </row>
    <row r="111" spans="1:13" x14ac:dyDescent="0.3">
      <c r="A111" s="5" t="s">
        <v>35</v>
      </c>
      <c r="B111" s="5">
        <f>AVERAGE(B110,E110,H110,K110)</f>
        <v>22.355729166666666</v>
      </c>
      <c r="C111" s="5">
        <f t="shared" ref="C111" si="6">AVERAGE(C110,F110,I110,L110)</f>
        <v>48.239270833333336</v>
      </c>
      <c r="D111" s="5">
        <f t="shared" ref="D111" si="7">AVERAGE(D110,G110,J110,M110)</f>
        <v>7.0587499999999999</v>
      </c>
      <c r="E111" s="5"/>
      <c r="F111" s="5"/>
      <c r="G111" s="5"/>
      <c r="H111" s="5"/>
      <c r="I111" s="5"/>
      <c r="J111" s="5"/>
      <c r="K111" s="5"/>
      <c r="L111" s="5"/>
      <c r="M111" s="5"/>
    </row>
    <row r="113" spans="1:13" x14ac:dyDescent="0.3">
      <c r="B113" s="38" t="s">
        <v>29</v>
      </c>
      <c r="C113" s="38"/>
      <c r="D113" s="38"/>
      <c r="E113" s="38"/>
    </row>
    <row r="115" spans="1:13" x14ac:dyDescent="0.3">
      <c r="B115" s="39" t="s">
        <v>17</v>
      </c>
      <c r="C115" s="39"/>
      <c r="D115" s="39"/>
      <c r="E115" s="40" t="s">
        <v>18</v>
      </c>
      <c r="F115" s="40"/>
      <c r="G115" s="40"/>
      <c r="H115" s="41" t="s">
        <v>19</v>
      </c>
      <c r="I115" s="41"/>
      <c r="J115" s="41"/>
      <c r="K115" s="42" t="s">
        <v>20</v>
      </c>
      <c r="L115" s="42"/>
      <c r="M115" s="42"/>
    </row>
    <row r="116" spans="1:13" x14ac:dyDescent="0.3">
      <c r="B116" s="1" t="s">
        <v>21</v>
      </c>
      <c r="C116" s="1" t="s">
        <v>22</v>
      </c>
      <c r="D116" s="1" t="s">
        <v>23</v>
      </c>
      <c r="E116" s="1" t="s">
        <v>21</v>
      </c>
      <c r="F116" s="1" t="s">
        <v>22</v>
      </c>
      <c r="G116" s="1" t="s">
        <v>23</v>
      </c>
      <c r="H116" s="1" t="s">
        <v>21</v>
      </c>
      <c r="I116" s="1" t="s">
        <v>22</v>
      </c>
      <c r="J116" s="1" t="s">
        <v>23</v>
      </c>
      <c r="K116" s="1" t="s">
        <v>21</v>
      </c>
      <c r="L116" s="1" t="s">
        <v>22</v>
      </c>
      <c r="M116" s="1" t="s">
        <v>23</v>
      </c>
    </row>
    <row r="117" spans="1:13" x14ac:dyDescent="0.3">
      <c r="A117" t="s">
        <v>27</v>
      </c>
      <c r="B117" s="3">
        <v>10.45</v>
      </c>
      <c r="C117" s="3">
        <v>27.51</v>
      </c>
      <c r="D117" s="3">
        <v>10.14</v>
      </c>
      <c r="E117" s="3">
        <v>11.27</v>
      </c>
      <c r="F117" s="3">
        <v>34.950000000000003</v>
      </c>
      <c r="G117" s="3">
        <v>10.029999999999999</v>
      </c>
      <c r="H117" s="3">
        <v>10.88</v>
      </c>
      <c r="I117" s="3">
        <v>36.409999999999997</v>
      </c>
      <c r="J117" s="3">
        <v>10.14</v>
      </c>
      <c r="K117" s="3">
        <v>10.67</v>
      </c>
      <c r="L117" s="3">
        <v>34.979999999999997</v>
      </c>
      <c r="M117" s="3">
        <v>10.34</v>
      </c>
    </row>
    <row r="118" spans="1:13" x14ac:dyDescent="0.3">
      <c r="B118" s="4">
        <v>22.14</v>
      </c>
      <c r="C118" s="4">
        <v>42.69</v>
      </c>
      <c r="D118" s="4">
        <v>6.99</v>
      </c>
      <c r="E118" s="4">
        <v>19.260000000000002</v>
      </c>
      <c r="F118" s="4">
        <v>42.48</v>
      </c>
      <c r="G118" s="4">
        <v>7.27</v>
      </c>
      <c r="H118" s="4">
        <v>22.89</v>
      </c>
      <c r="I118" s="4">
        <v>35.020000000000003</v>
      </c>
      <c r="J118" s="4">
        <v>6.97</v>
      </c>
      <c r="K118" s="4">
        <v>21.01</v>
      </c>
      <c r="L118" s="4">
        <v>42.45</v>
      </c>
      <c r="M118" s="4">
        <v>7.04</v>
      </c>
    </row>
    <row r="119" spans="1:13" x14ac:dyDescent="0.3">
      <c r="B119" s="3">
        <v>23.5</v>
      </c>
      <c r="C119" s="3">
        <v>35.01</v>
      </c>
      <c r="D119" s="3">
        <v>7.74</v>
      </c>
      <c r="E119" s="3">
        <v>26.79</v>
      </c>
      <c r="F119" s="3">
        <v>34.909999999999997</v>
      </c>
      <c r="G119" s="3">
        <v>7.11</v>
      </c>
      <c r="H119" s="3">
        <v>22.67</v>
      </c>
      <c r="I119" s="3">
        <v>34.96</v>
      </c>
      <c r="J119" s="3">
        <v>7.96</v>
      </c>
      <c r="K119" s="3">
        <v>25.12</v>
      </c>
      <c r="L119" s="3">
        <v>34.979999999999997</v>
      </c>
      <c r="M119" s="3">
        <v>7.34</v>
      </c>
    </row>
    <row r="120" spans="1:13" x14ac:dyDescent="0.3">
      <c r="B120" s="4">
        <v>12.89</v>
      </c>
      <c r="C120" s="4">
        <v>42.31</v>
      </c>
      <c r="D120" s="4">
        <v>9.73</v>
      </c>
      <c r="E120" s="4">
        <v>14.58</v>
      </c>
      <c r="F120" s="4">
        <v>42.61</v>
      </c>
      <c r="G120" s="4">
        <v>9.5500000000000007</v>
      </c>
      <c r="H120" s="4">
        <v>15.89</v>
      </c>
      <c r="I120" s="4">
        <v>35.08</v>
      </c>
      <c r="J120" s="4">
        <v>9.1300000000000008</v>
      </c>
      <c r="K120" s="4">
        <v>13.57</v>
      </c>
      <c r="L120" s="4">
        <v>34.83</v>
      </c>
      <c r="M120" s="4">
        <v>9.6199999999999992</v>
      </c>
    </row>
    <row r="121" spans="1:13" x14ac:dyDescent="0.3">
      <c r="B121" s="3">
        <v>13</v>
      </c>
      <c r="C121" s="3">
        <v>42.23</v>
      </c>
      <c r="D121" s="3">
        <v>8.76</v>
      </c>
      <c r="E121" s="3">
        <v>10.98</v>
      </c>
      <c r="F121" s="3">
        <v>42.17</v>
      </c>
      <c r="G121" s="3">
        <v>9.5399999999999991</v>
      </c>
      <c r="H121" s="3">
        <v>13.77</v>
      </c>
      <c r="I121" s="3">
        <v>34.619999999999997</v>
      </c>
      <c r="J121" s="3">
        <v>8.5</v>
      </c>
      <c r="K121" s="3">
        <v>13.39</v>
      </c>
      <c r="L121" s="3">
        <v>34.64</v>
      </c>
      <c r="M121" s="3">
        <v>9.02</v>
      </c>
    </row>
    <row r="122" spans="1:13" x14ac:dyDescent="0.3">
      <c r="B122" s="4">
        <v>21.3</v>
      </c>
      <c r="C122" s="4">
        <v>42.51</v>
      </c>
      <c r="D122" s="4">
        <v>7.97</v>
      </c>
      <c r="E122" s="4">
        <v>17.04</v>
      </c>
      <c r="F122" s="4">
        <v>35.15</v>
      </c>
      <c r="G122" s="4">
        <v>8.8000000000000007</v>
      </c>
      <c r="H122" s="4">
        <v>16.54</v>
      </c>
      <c r="I122" s="4">
        <v>42.6</v>
      </c>
      <c r="J122" s="4">
        <v>8.91</v>
      </c>
      <c r="K122" s="4">
        <v>21.63</v>
      </c>
      <c r="L122" s="4">
        <v>42.54</v>
      </c>
      <c r="M122" s="4">
        <v>7.92</v>
      </c>
    </row>
    <row r="123" spans="1:13" x14ac:dyDescent="0.3">
      <c r="B123" s="3">
        <v>17.079999999999998</v>
      </c>
      <c r="C123" s="3">
        <v>34.9</v>
      </c>
      <c r="D123" s="3">
        <v>9.0500000000000007</v>
      </c>
      <c r="E123" s="3">
        <v>18.510000000000002</v>
      </c>
      <c r="F123" s="3">
        <v>42.5</v>
      </c>
      <c r="G123" s="3">
        <v>8.66</v>
      </c>
      <c r="H123" s="3">
        <v>17.11</v>
      </c>
      <c r="I123" s="3">
        <v>42.39</v>
      </c>
      <c r="J123" s="3">
        <v>8.5299999999999994</v>
      </c>
      <c r="K123" s="3">
        <v>19.46</v>
      </c>
      <c r="L123" s="3">
        <v>42.46</v>
      </c>
      <c r="M123" s="3">
        <v>8.59</v>
      </c>
    </row>
    <row r="124" spans="1:13" x14ac:dyDescent="0.3">
      <c r="B124" s="4">
        <v>19.329999999999998</v>
      </c>
      <c r="C124" s="4">
        <v>42.5</v>
      </c>
      <c r="D124" s="4">
        <v>8.5299999999999994</v>
      </c>
      <c r="E124" s="4">
        <v>21.69</v>
      </c>
      <c r="F124" s="4">
        <v>42.48</v>
      </c>
      <c r="G124" s="4">
        <v>8.15</v>
      </c>
      <c r="H124" s="4">
        <v>19.190000000000001</v>
      </c>
      <c r="I124" s="4">
        <v>35.01</v>
      </c>
      <c r="J124" s="4">
        <v>8.31</v>
      </c>
      <c r="K124" s="4">
        <v>17.670000000000002</v>
      </c>
      <c r="L124" s="4">
        <v>34.909999999999997</v>
      </c>
      <c r="M124" s="4">
        <v>8.51</v>
      </c>
    </row>
    <row r="125" spans="1:13" x14ac:dyDescent="0.3">
      <c r="B125" s="3">
        <v>17.02</v>
      </c>
      <c r="C125" s="3">
        <v>20</v>
      </c>
      <c r="D125" s="3">
        <v>8.66</v>
      </c>
      <c r="E125" s="3">
        <v>19.940000000000001</v>
      </c>
      <c r="F125" s="3">
        <v>27.38</v>
      </c>
      <c r="G125" s="3">
        <v>7.72</v>
      </c>
      <c r="H125" s="3">
        <v>20.170000000000002</v>
      </c>
      <c r="I125" s="3">
        <v>27.56</v>
      </c>
      <c r="J125" s="3">
        <v>7.64</v>
      </c>
      <c r="K125" s="3">
        <v>18.239999999999998</v>
      </c>
      <c r="L125" s="3">
        <v>19.899999999999999</v>
      </c>
      <c r="M125" s="3">
        <v>8.2100000000000009</v>
      </c>
    </row>
    <row r="126" spans="1:13" x14ac:dyDescent="0.3">
      <c r="B126" s="4">
        <v>15.1</v>
      </c>
      <c r="C126" s="4">
        <v>34.840000000000003</v>
      </c>
      <c r="D126" s="4">
        <v>9.66</v>
      </c>
      <c r="E126" s="4">
        <v>14.1</v>
      </c>
      <c r="F126" s="4">
        <v>27.36</v>
      </c>
      <c r="G126" s="4">
        <v>9.85</v>
      </c>
      <c r="H126" s="4">
        <v>16.02</v>
      </c>
      <c r="I126" s="4">
        <v>34.74</v>
      </c>
      <c r="J126" s="4">
        <v>9.49</v>
      </c>
      <c r="K126" s="4">
        <v>12.33</v>
      </c>
      <c r="L126" s="4">
        <v>34.86</v>
      </c>
      <c r="M126" s="4">
        <v>10.1</v>
      </c>
    </row>
    <row r="127" spans="1:13" x14ac:dyDescent="0.3">
      <c r="B127" s="3">
        <v>12.78</v>
      </c>
      <c r="C127" s="3">
        <v>34.93</v>
      </c>
      <c r="D127" s="3">
        <v>9.42</v>
      </c>
      <c r="E127" s="3">
        <v>16.87</v>
      </c>
      <c r="F127" s="3">
        <v>42.26</v>
      </c>
      <c r="G127" s="3">
        <v>8.5</v>
      </c>
      <c r="H127" s="3">
        <v>16.11</v>
      </c>
      <c r="I127" s="3">
        <v>42.32</v>
      </c>
      <c r="J127" s="3">
        <v>8.69</v>
      </c>
      <c r="K127" s="3">
        <v>15.44</v>
      </c>
      <c r="L127" s="3">
        <v>42.31</v>
      </c>
      <c r="M127" s="3">
        <v>8.76</v>
      </c>
    </row>
    <row r="128" spans="1:13" x14ac:dyDescent="0.3">
      <c r="B128" s="4">
        <v>21.49</v>
      </c>
      <c r="C128" s="4">
        <v>34.85</v>
      </c>
      <c r="D128" s="4">
        <v>7.6</v>
      </c>
      <c r="E128" s="4">
        <v>19.46</v>
      </c>
      <c r="F128" s="4">
        <v>42.48</v>
      </c>
      <c r="G128" s="4">
        <v>7.87</v>
      </c>
      <c r="H128" s="4">
        <v>18.68</v>
      </c>
      <c r="I128" s="4">
        <v>34.950000000000003</v>
      </c>
      <c r="J128" s="4">
        <v>8.26</v>
      </c>
      <c r="K128" s="4">
        <v>25.75</v>
      </c>
      <c r="L128" s="4">
        <v>42.3</v>
      </c>
      <c r="M128" s="4">
        <v>6.88</v>
      </c>
    </row>
    <row r="129" spans="1:13" x14ac:dyDescent="0.3">
      <c r="B129" s="3">
        <v>10.99</v>
      </c>
      <c r="C129" s="3">
        <v>19.989999999999998</v>
      </c>
      <c r="D129" s="3">
        <v>9.7200000000000006</v>
      </c>
      <c r="E129" s="3">
        <v>12.88</v>
      </c>
      <c r="F129" s="3">
        <v>27.49</v>
      </c>
      <c r="G129" s="3">
        <v>8.43</v>
      </c>
      <c r="H129" s="3">
        <v>8.6199999999999992</v>
      </c>
      <c r="I129" s="3">
        <v>28.72</v>
      </c>
      <c r="J129" s="3">
        <v>9.6199999999999992</v>
      </c>
      <c r="K129" s="3">
        <v>8.93</v>
      </c>
      <c r="L129" s="3">
        <v>27.42</v>
      </c>
      <c r="M129" s="3">
        <v>9.2200000000000006</v>
      </c>
    </row>
    <row r="130" spans="1:13" x14ac:dyDescent="0.3">
      <c r="B130" s="4">
        <v>27.41</v>
      </c>
      <c r="C130" s="4">
        <v>35.18</v>
      </c>
      <c r="D130" s="4">
        <v>4.25</v>
      </c>
      <c r="E130" s="4">
        <v>23.19</v>
      </c>
      <c r="F130" s="4">
        <v>35.130000000000003</v>
      </c>
      <c r="G130" s="4">
        <v>4.1500000000000004</v>
      </c>
      <c r="H130" s="4">
        <v>25.85</v>
      </c>
      <c r="I130" s="4">
        <v>35</v>
      </c>
      <c r="J130" s="4">
        <v>5.2</v>
      </c>
      <c r="K130" s="4">
        <v>26.07</v>
      </c>
      <c r="L130" s="4">
        <v>35</v>
      </c>
      <c r="M130" s="4">
        <v>4.05</v>
      </c>
    </row>
    <row r="131" spans="1:13" x14ac:dyDescent="0.3">
      <c r="B131" s="3">
        <v>39.54</v>
      </c>
      <c r="C131" s="3">
        <v>34.83</v>
      </c>
      <c r="D131" s="3">
        <v>5.2</v>
      </c>
      <c r="E131" s="3">
        <v>31.81</v>
      </c>
      <c r="F131" s="3">
        <v>27.47</v>
      </c>
      <c r="G131" s="3">
        <v>5.91</v>
      </c>
      <c r="H131" s="3">
        <v>32.909999999999997</v>
      </c>
      <c r="I131" s="3">
        <v>34.950000000000003</v>
      </c>
      <c r="J131" s="3">
        <v>5.15</v>
      </c>
      <c r="K131" s="3">
        <v>28.74</v>
      </c>
      <c r="L131" s="3">
        <v>35.01</v>
      </c>
      <c r="M131" s="3">
        <v>6.1</v>
      </c>
    </row>
    <row r="132" spans="1:13" x14ac:dyDescent="0.3">
      <c r="B132" s="4">
        <v>16.940000000000001</v>
      </c>
      <c r="C132" s="4">
        <v>35.15</v>
      </c>
      <c r="D132" s="4">
        <v>7.43</v>
      </c>
      <c r="E132" s="4">
        <v>21.33</v>
      </c>
      <c r="F132" s="4">
        <v>35.11</v>
      </c>
      <c r="G132" s="4">
        <v>7.03</v>
      </c>
      <c r="H132" s="4">
        <v>14.09</v>
      </c>
      <c r="I132" s="4">
        <v>35.14</v>
      </c>
      <c r="J132" s="4">
        <v>7.93</v>
      </c>
      <c r="K132" s="4">
        <v>20.25</v>
      </c>
      <c r="L132" s="4">
        <v>27.5</v>
      </c>
      <c r="M132" s="4">
        <v>7.1</v>
      </c>
    </row>
    <row r="133" spans="1:13" x14ac:dyDescent="0.3">
      <c r="B133" s="3">
        <v>19.37</v>
      </c>
      <c r="C133" s="3">
        <v>34.65</v>
      </c>
      <c r="D133" s="3">
        <v>4.1100000000000003</v>
      </c>
      <c r="E133" s="3">
        <v>14.13</v>
      </c>
      <c r="F133" s="3">
        <v>34.630000000000003</v>
      </c>
      <c r="G133" s="3">
        <v>4.0199999999999996</v>
      </c>
      <c r="H133" s="3">
        <v>18.04</v>
      </c>
      <c r="I133" s="3">
        <v>34.619999999999997</v>
      </c>
      <c r="J133" s="3">
        <v>5.15</v>
      </c>
      <c r="K133" s="3">
        <v>18.07</v>
      </c>
      <c r="L133" s="3">
        <v>34.83</v>
      </c>
      <c r="M133" s="3">
        <v>2.61</v>
      </c>
    </row>
    <row r="134" spans="1:13" x14ac:dyDescent="0.3">
      <c r="B134" s="4">
        <v>28.98</v>
      </c>
      <c r="C134" s="4">
        <v>42.69</v>
      </c>
      <c r="D134" s="4">
        <v>5.54</v>
      </c>
      <c r="E134" s="4">
        <v>34.67</v>
      </c>
      <c r="F134" s="4">
        <v>42.74</v>
      </c>
      <c r="G134" s="4">
        <v>5.8</v>
      </c>
      <c r="H134" s="4">
        <v>31.33</v>
      </c>
      <c r="I134" s="4">
        <v>42.34</v>
      </c>
      <c r="J134" s="4">
        <v>4.9400000000000004</v>
      </c>
      <c r="K134" s="4">
        <v>29.24</v>
      </c>
      <c r="L134" s="4">
        <v>42.42</v>
      </c>
      <c r="M134" s="4">
        <v>6.4</v>
      </c>
    </row>
    <row r="135" spans="1:13" x14ac:dyDescent="0.3">
      <c r="B135" s="3">
        <v>25.45</v>
      </c>
      <c r="C135" s="3">
        <v>42.64</v>
      </c>
      <c r="D135" s="3">
        <v>6.19</v>
      </c>
      <c r="E135" s="3">
        <v>25.94</v>
      </c>
      <c r="F135" s="3">
        <v>42.64</v>
      </c>
      <c r="G135" s="3">
        <v>6.87</v>
      </c>
      <c r="H135" s="3">
        <v>19.46</v>
      </c>
      <c r="I135" s="3">
        <v>34.96</v>
      </c>
      <c r="J135" s="3">
        <v>7</v>
      </c>
      <c r="K135" s="3">
        <v>22.79</v>
      </c>
      <c r="L135" s="3">
        <v>35.01</v>
      </c>
      <c r="M135" s="3">
        <v>7.38</v>
      </c>
    </row>
    <row r="136" spans="1:13" x14ac:dyDescent="0.3">
      <c r="B136" s="4">
        <v>29.79</v>
      </c>
      <c r="C136" s="4">
        <v>42.59</v>
      </c>
      <c r="D136" s="4">
        <v>4.8499999999999996</v>
      </c>
      <c r="E136" s="4">
        <v>23.94</v>
      </c>
      <c r="F136" s="4">
        <v>35.200000000000003</v>
      </c>
      <c r="G136" s="4">
        <v>6.9</v>
      </c>
      <c r="H136" s="4">
        <v>26.79</v>
      </c>
      <c r="I136" s="4">
        <v>35.08</v>
      </c>
      <c r="J136" s="4">
        <v>6.34</v>
      </c>
      <c r="K136" s="4">
        <v>23.38</v>
      </c>
      <c r="L136" s="4">
        <v>34.94</v>
      </c>
      <c r="M136" s="4">
        <v>6.14</v>
      </c>
    </row>
    <row r="137" spans="1:13" x14ac:dyDescent="0.3">
      <c r="B137" s="3">
        <v>26.55</v>
      </c>
      <c r="C137" s="3">
        <v>19.95</v>
      </c>
      <c r="D137" s="3">
        <v>3.61</v>
      </c>
      <c r="E137" s="3">
        <v>26</v>
      </c>
      <c r="F137" s="3">
        <v>19.96</v>
      </c>
      <c r="G137" s="3">
        <v>6.66</v>
      </c>
      <c r="H137" s="3">
        <v>23.75</v>
      </c>
      <c r="I137" s="3">
        <v>19.89</v>
      </c>
      <c r="J137" s="3">
        <v>6.18</v>
      </c>
      <c r="K137" s="3">
        <v>31.65</v>
      </c>
      <c r="L137" s="3">
        <v>19.93</v>
      </c>
      <c r="M137" s="3">
        <v>4.78</v>
      </c>
    </row>
    <row r="138" spans="1:13" x14ac:dyDescent="0.3">
      <c r="B138" s="4">
        <v>18.690000000000001</v>
      </c>
      <c r="C138" s="4">
        <v>27.39</v>
      </c>
      <c r="D138" s="4">
        <v>7.48</v>
      </c>
      <c r="E138" s="4">
        <v>18.95</v>
      </c>
      <c r="F138" s="4">
        <v>27.49</v>
      </c>
      <c r="G138" s="4">
        <v>7.85</v>
      </c>
      <c r="H138" s="4">
        <v>24.86</v>
      </c>
      <c r="I138" s="4">
        <v>34.869999999999997</v>
      </c>
      <c r="J138" s="4">
        <v>6.47</v>
      </c>
      <c r="K138" s="4">
        <v>18.64</v>
      </c>
      <c r="L138" s="4">
        <v>27.35</v>
      </c>
      <c r="M138" s="4">
        <v>7.08</v>
      </c>
    </row>
    <row r="139" spans="1:13" x14ac:dyDescent="0.3">
      <c r="B139" s="3">
        <v>20.059999999999999</v>
      </c>
      <c r="C139" s="3">
        <v>35.06</v>
      </c>
      <c r="D139" s="3">
        <v>6.74</v>
      </c>
      <c r="E139" s="3">
        <v>20.53</v>
      </c>
      <c r="F139" s="3">
        <v>35.07</v>
      </c>
      <c r="G139" s="3">
        <v>5.63</v>
      </c>
      <c r="H139" s="3">
        <v>16.28</v>
      </c>
      <c r="I139" s="3">
        <v>34.83</v>
      </c>
      <c r="J139" s="3">
        <v>5.95</v>
      </c>
      <c r="K139" s="3">
        <v>17.010000000000002</v>
      </c>
      <c r="L139" s="3">
        <v>34.89</v>
      </c>
      <c r="M139" s="3">
        <v>5.42</v>
      </c>
    </row>
    <row r="140" spans="1:13" x14ac:dyDescent="0.3">
      <c r="B140" s="4">
        <v>35.35</v>
      </c>
      <c r="C140" s="4">
        <v>34.840000000000003</v>
      </c>
      <c r="D140" s="4">
        <v>4.96</v>
      </c>
      <c r="E140" s="4">
        <v>28.74</v>
      </c>
      <c r="F140" s="4">
        <v>42.33</v>
      </c>
      <c r="G140" s="4">
        <v>5.09</v>
      </c>
      <c r="H140" s="4">
        <v>30.92</v>
      </c>
      <c r="I140" s="4">
        <v>34.909999999999997</v>
      </c>
      <c r="J140" s="4">
        <v>4.09</v>
      </c>
      <c r="K140" s="4">
        <v>32.6</v>
      </c>
      <c r="L140" s="4">
        <v>34.83</v>
      </c>
      <c r="M140" s="4">
        <v>4.97</v>
      </c>
    </row>
    <row r="142" spans="1:13" x14ac:dyDescent="0.3">
      <c r="A142" s="5" t="s">
        <v>42</v>
      </c>
      <c r="B142" s="5">
        <f>AVERAGE(B117:B140)</f>
        <v>21.050000000000004</v>
      </c>
      <c r="C142" s="5">
        <f t="shared" ref="C142:M142" si="8">AVERAGE(C117:C140)</f>
        <v>34.968333333333341</v>
      </c>
      <c r="D142" s="5">
        <f t="shared" si="8"/>
        <v>7.2637500000000008</v>
      </c>
      <c r="E142" s="5">
        <f t="shared" si="8"/>
        <v>20.525000000000002</v>
      </c>
      <c r="F142" s="5">
        <f t="shared" si="8"/>
        <v>35.916250000000012</v>
      </c>
      <c r="G142" s="5">
        <f t="shared" si="8"/>
        <v>7.3912500000000003</v>
      </c>
      <c r="H142" s="5">
        <f t="shared" si="8"/>
        <v>20.1175</v>
      </c>
      <c r="I142" s="5">
        <f t="shared" si="8"/>
        <v>35.040416666666673</v>
      </c>
      <c r="J142" s="5">
        <f t="shared" si="8"/>
        <v>7.3562500000000002</v>
      </c>
      <c r="K142" s="5">
        <f t="shared" si="8"/>
        <v>20.485416666666666</v>
      </c>
      <c r="L142" s="5">
        <f t="shared" si="8"/>
        <v>34.595416666666665</v>
      </c>
      <c r="M142" s="5">
        <f t="shared" si="8"/>
        <v>7.232499999999999</v>
      </c>
    </row>
    <row r="143" spans="1:13" x14ac:dyDescent="0.3">
      <c r="A143" s="5" t="s">
        <v>35</v>
      </c>
      <c r="B143" s="5">
        <f>AVERAGE(B142,E142,H142,K142)</f>
        <v>20.544479166666669</v>
      </c>
      <c r="C143" s="5">
        <f t="shared" ref="C143" si="9">AVERAGE(C142,F142,I142,L142)</f>
        <v>35.130104166666669</v>
      </c>
      <c r="D143" s="5">
        <f t="shared" ref="D143" si="10">AVERAGE(D142,G142,J142,M142)</f>
        <v>7.3109374999999996</v>
      </c>
      <c r="E143" s="5"/>
      <c r="F143" s="5"/>
      <c r="G143" s="5"/>
      <c r="H143" s="5"/>
      <c r="I143" s="5"/>
      <c r="J143" s="5"/>
      <c r="K143" s="5"/>
      <c r="L143" s="5"/>
      <c r="M143" s="5"/>
    </row>
    <row r="145" spans="2:13" x14ac:dyDescent="0.3">
      <c r="B145" s="38" t="s">
        <v>4</v>
      </c>
      <c r="C145" s="38"/>
      <c r="D145" s="38"/>
      <c r="E145" s="38"/>
    </row>
    <row r="147" spans="2:13" x14ac:dyDescent="0.3">
      <c r="B147" s="39" t="s">
        <v>17</v>
      </c>
      <c r="C147" s="39"/>
      <c r="D147" s="39"/>
      <c r="E147" s="40" t="s">
        <v>18</v>
      </c>
      <c r="F147" s="40"/>
      <c r="G147" s="40"/>
      <c r="H147" s="41" t="s">
        <v>19</v>
      </c>
      <c r="I147" s="41"/>
      <c r="J147" s="41"/>
      <c r="K147" s="42" t="s">
        <v>20</v>
      </c>
      <c r="L147" s="42"/>
      <c r="M147" s="42"/>
    </row>
    <row r="148" spans="2:13" x14ac:dyDescent="0.3">
      <c r="B148" s="1" t="s">
        <v>21</v>
      </c>
      <c r="C148" s="1" t="s">
        <v>22</v>
      </c>
      <c r="D148" s="1" t="s">
        <v>23</v>
      </c>
      <c r="E148" s="1" t="s">
        <v>21</v>
      </c>
      <c r="F148" s="1" t="s">
        <v>22</v>
      </c>
      <c r="G148" s="1" t="s">
        <v>23</v>
      </c>
      <c r="H148" s="1" t="s">
        <v>21</v>
      </c>
      <c r="I148" s="1" t="s">
        <v>22</v>
      </c>
      <c r="J148" s="1" t="s">
        <v>23</v>
      </c>
      <c r="K148" s="1" t="s">
        <v>21</v>
      </c>
      <c r="L148" s="1" t="s">
        <v>22</v>
      </c>
      <c r="M148" s="1" t="s">
        <v>23</v>
      </c>
    </row>
    <row r="149" spans="2:13" x14ac:dyDescent="0.3">
      <c r="B149" s="3">
        <v>27.01</v>
      </c>
      <c r="C149" s="3">
        <v>102.3</v>
      </c>
      <c r="D149" s="3">
        <v>3.7</v>
      </c>
      <c r="E149" s="3">
        <v>32.270000000000003</v>
      </c>
      <c r="F149" s="3">
        <v>109.95</v>
      </c>
      <c r="G149" s="3">
        <v>3.22</v>
      </c>
      <c r="H149" s="3">
        <v>28.75</v>
      </c>
      <c r="I149" s="3">
        <v>102.33</v>
      </c>
      <c r="J149" s="3">
        <v>3.34</v>
      </c>
      <c r="K149" s="3">
        <v>30.89</v>
      </c>
      <c r="L149" s="3">
        <v>102.34</v>
      </c>
      <c r="M149" s="3">
        <v>3.23</v>
      </c>
    </row>
    <row r="150" spans="2:13" x14ac:dyDescent="0.3">
      <c r="B150" s="4">
        <v>34.17</v>
      </c>
      <c r="C150" s="4">
        <v>124.82</v>
      </c>
      <c r="D150" s="4">
        <v>2.73</v>
      </c>
      <c r="E150" s="4">
        <v>37.17</v>
      </c>
      <c r="F150" s="4">
        <v>123.44</v>
      </c>
      <c r="G150" s="4">
        <v>2.57</v>
      </c>
      <c r="H150" s="4">
        <v>31.88</v>
      </c>
      <c r="I150" s="4">
        <v>110.02</v>
      </c>
      <c r="J150" s="4">
        <v>2.95</v>
      </c>
      <c r="K150" s="4">
        <v>36.49</v>
      </c>
      <c r="L150" s="4">
        <v>124.8</v>
      </c>
      <c r="M150" s="4">
        <v>2.63</v>
      </c>
    </row>
    <row r="151" spans="2:13" x14ac:dyDescent="0.3">
      <c r="B151" s="3">
        <v>34.93</v>
      </c>
      <c r="C151" s="3">
        <v>146.1</v>
      </c>
      <c r="D151" s="3">
        <v>2.74</v>
      </c>
      <c r="E151" s="3">
        <v>36.380000000000003</v>
      </c>
      <c r="F151" s="3">
        <v>147.86000000000001</v>
      </c>
      <c r="G151" s="3">
        <v>2.78</v>
      </c>
      <c r="H151" s="3">
        <v>42.44</v>
      </c>
      <c r="I151" s="3">
        <v>138.27000000000001</v>
      </c>
      <c r="J151" s="3">
        <v>2.27</v>
      </c>
      <c r="K151" s="3">
        <v>37.299999999999997</v>
      </c>
      <c r="L151" s="3">
        <v>153.55000000000001</v>
      </c>
      <c r="M151" s="3">
        <v>2.56</v>
      </c>
    </row>
    <row r="152" spans="2:13" x14ac:dyDescent="0.3">
      <c r="B152" s="4">
        <v>39.979999999999997</v>
      </c>
      <c r="C152" s="4">
        <v>132.83000000000001</v>
      </c>
      <c r="D152" s="4">
        <v>2.4</v>
      </c>
      <c r="E152" s="4">
        <v>38.82</v>
      </c>
      <c r="F152" s="4">
        <v>131.02000000000001</v>
      </c>
      <c r="G152" s="4">
        <v>2.37</v>
      </c>
      <c r="H152" s="4">
        <v>38</v>
      </c>
      <c r="I152" s="4">
        <v>123.5</v>
      </c>
      <c r="J152" s="4">
        <v>2.44</v>
      </c>
      <c r="K152" s="4">
        <v>41.3</v>
      </c>
      <c r="L152" s="4">
        <v>132.84</v>
      </c>
      <c r="M152" s="4">
        <v>2.42</v>
      </c>
    </row>
    <row r="153" spans="2:13" x14ac:dyDescent="0.3">
      <c r="B153" s="3">
        <v>41.55</v>
      </c>
      <c r="C153" s="3">
        <v>168.23</v>
      </c>
      <c r="D153" s="3">
        <v>2.39</v>
      </c>
      <c r="E153" s="3">
        <v>33.21</v>
      </c>
      <c r="F153" s="3">
        <v>124.93</v>
      </c>
      <c r="G153" s="3">
        <v>2.76</v>
      </c>
      <c r="H153" s="3">
        <v>36.22</v>
      </c>
      <c r="I153" s="3">
        <v>145.79</v>
      </c>
      <c r="J153" s="3">
        <v>2.63</v>
      </c>
      <c r="K153" s="3">
        <v>37.99</v>
      </c>
      <c r="L153" s="3">
        <v>124.7</v>
      </c>
      <c r="M153" s="3">
        <v>2.52</v>
      </c>
    </row>
    <row r="154" spans="2:13" x14ac:dyDescent="0.3">
      <c r="B154" s="4">
        <v>32.950000000000003</v>
      </c>
      <c r="C154" s="4">
        <v>174.27</v>
      </c>
      <c r="D154" s="4">
        <v>3.04</v>
      </c>
      <c r="E154" s="4">
        <v>30.82</v>
      </c>
      <c r="F154" s="4">
        <v>132.07</v>
      </c>
      <c r="G154" s="4">
        <v>3.05</v>
      </c>
      <c r="H154" s="4">
        <v>28.41</v>
      </c>
      <c r="I154" s="4">
        <v>123.39</v>
      </c>
      <c r="J154" s="4">
        <v>3.32</v>
      </c>
      <c r="K154" s="4">
        <v>33.229999999999997</v>
      </c>
      <c r="L154" s="4">
        <v>155.47999999999999</v>
      </c>
      <c r="M154" s="4">
        <v>2.95</v>
      </c>
    </row>
    <row r="155" spans="2:13" x14ac:dyDescent="0.3">
      <c r="B155" s="3">
        <v>32.25</v>
      </c>
      <c r="C155" s="3">
        <v>131.16999999999999</v>
      </c>
      <c r="D155" s="3">
        <v>2.9</v>
      </c>
      <c r="E155" s="3">
        <v>28.31</v>
      </c>
      <c r="F155" s="3">
        <v>125.24</v>
      </c>
      <c r="G155" s="3">
        <v>3.23</v>
      </c>
      <c r="H155" s="3">
        <v>30.93</v>
      </c>
      <c r="I155" s="3">
        <v>138.07</v>
      </c>
      <c r="J155" s="3">
        <v>2.82</v>
      </c>
      <c r="K155" s="3">
        <v>28.27</v>
      </c>
      <c r="L155" s="3">
        <v>122.69</v>
      </c>
      <c r="M155" s="3">
        <v>3.16</v>
      </c>
    </row>
    <row r="156" spans="2:13" x14ac:dyDescent="0.3">
      <c r="B156" s="4">
        <v>29.52</v>
      </c>
      <c r="C156" s="4">
        <v>167.6</v>
      </c>
      <c r="D156" s="4">
        <v>2.98</v>
      </c>
      <c r="E156" s="4">
        <v>32.71</v>
      </c>
      <c r="F156" s="4">
        <v>166.67</v>
      </c>
      <c r="G156" s="4">
        <v>2.84</v>
      </c>
      <c r="H156" s="4">
        <v>34.51</v>
      </c>
      <c r="I156" s="4">
        <v>137.83000000000001</v>
      </c>
      <c r="J156" s="4">
        <v>2.65</v>
      </c>
      <c r="K156" s="4">
        <v>30.01</v>
      </c>
      <c r="L156" s="4">
        <v>138.49</v>
      </c>
      <c r="M156" s="4">
        <v>3.02</v>
      </c>
    </row>
    <row r="157" spans="2:13" x14ac:dyDescent="0.3">
      <c r="B157" s="3">
        <v>38.07</v>
      </c>
      <c r="C157" s="3">
        <v>132.91999999999999</v>
      </c>
      <c r="D157" s="3">
        <v>2.4700000000000002</v>
      </c>
      <c r="E157" s="3">
        <v>40.4</v>
      </c>
      <c r="F157" s="3">
        <v>132.56</v>
      </c>
      <c r="G157" s="3">
        <v>2.25</v>
      </c>
      <c r="H157" s="3">
        <v>34.06</v>
      </c>
      <c r="I157" s="3">
        <v>132.44999999999999</v>
      </c>
      <c r="J157" s="3">
        <v>2.82</v>
      </c>
      <c r="K157" s="3">
        <v>39.840000000000003</v>
      </c>
      <c r="L157" s="3">
        <v>125.26</v>
      </c>
      <c r="M157" s="3">
        <v>2.4</v>
      </c>
    </row>
    <row r="158" spans="2:13" x14ac:dyDescent="0.3">
      <c r="B158" s="4">
        <v>43.41</v>
      </c>
      <c r="C158" s="4">
        <v>138.6</v>
      </c>
      <c r="D158" s="4">
        <v>2.3199999999999998</v>
      </c>
      <c r="E158" s="4">
        <v>42.21</v>
      </c>
      <c r="F158" s="4">
        <v>131.02000000000001</v>
      </c>
      <c r="G158" s="4">
        <v>2.4500000000000002</v>
      </c>
      <c r="H158" s="4">
        <v>38.729999999999997</v>
      </c>
      <c r="I158" s="4">
        <v>109.98</v>
      </c>
      <c r="J158" s="4">
        <v>2.5499999999999998</v>
      </c>
      <c r="K158" s="4">
        <v>51.53</v>
      </c>
      <c r="L158" s="4">
        <v>153.61000000000001</v>
      </c>
      <c r="M158" s="4">
        <v>1.91</v>
      </c>
    </row>
    <row r="159" spans="2:13" x14ac:dyDescent="0.3">
      <c r="B159" s="3">
        <v>47.49</v>
      </c>
      <c r="C159" s="3">
        <v>139.9</v>
      </c>
      <c r="D159" s="3">
        <v>2.19</v>
      </c>
      <c r="E159" s="3">
        <v>37.15</v>
      </c>
      <c r="F159" s="3">
        <v>123.59</v>
      </c>
      <c r="G159" s="3">
        <v>2.89</v>
      </c>
      <c r="H159" s="3">
        <v>32.06</v>
      </c>
      <c r="I159" s="3">
        <v>138.19</v>
      </c>
      <c r="J159" s="3">
        <v>3.46</v>
      </c>
      <c r="K159" s="3">
        <v>38.380000000000003</v>
      </c>
      <c r="L159" s="3">
        <v>123.58</v>
      </c>
      <c r="M159" s="3">
        <v>2.68</v>
      </c>
    </row>
    <row r="160" spans="2:13" x14ac:dyDescent="0.3">
      <c r="B160" s="4">
        <v>38.770000000000003</v>
      </c>
      <c r="C160" s="4">
        <v>138.5</v>
      </c>
      <c r="D160" s="4">
        <v>2.68</v>
      </c>
      <c r="E160" s="4">
        <v>38.25</v>
      </c>
      <c r="F160" s="4">
        <v>145.87</v>
      </c>
      <c r="G160" s="4">
        <v>2.95</v>
      </c>
      <c r="H160" s="4">
        <v>40.630000000000003</v>
      </c>
      <c r="I160" s="4">
        <v>145.91</v>
      </c>
      <c r="J160" s="4">
        <v>2.72</v>
      </c>
      <c r="K160" s="4">
        <v>41.75</v>
      </c>
      <c r="L160" s="4">
        <v>145.76</v>
      </c>
      <c r="M160" s="4">
        <v>2.66</v>
      </c>
    </row>
    <row r="161" spans="2:13" x14ac:dyDescent="0.3">
      <c r="B161" s="3">
        <v>17.12</v>
      </c>
      <c r="C161" s="3">
        <v>71.989999999999995</v>
      </c>
      <c r="D161" s="3">
        <v>3.93</v>
      </c>
      <c r="E161" s="3">
        <v>17.16</v>
      </c>
      <c r="F161" s="3">
        <v>72.17</v>
      </c>
      <c r="G161" s="3">
        <v>4.22</v>
      </c>
      <c r="H161" s="3">
        <v>17.579999999999998</v>
      </c>
      <c r="I161" s="3">
        <v>72.180000000000007</v>
      </c>
      <c r="J161" s="3">
        <v>3.81</v>
      </c>
      <c r="K161" s="3">
        <v>15.75</v>
      </c>
      <c r="L161" s="3">
        <v>72.17</v>
      </c>
      <c r="M161" s="3">
        <v>4.16</v>
      </c>
    </row>
    <row r="162" spans="2:13" x14ac:dyDescent="0.3">
      <c r="B162" s="4">
        <v>24.12</v>
      </c>
      <c r="C162" s="4">
        <v>102.22</v>
      </c>
      <c r="D162" s="4">
        <v>2.92</v>
      </c>
      <c r="E162" s="4">
        <v>24.31</v>
      </c>
      <c r="F162" s="4">
        <v>102.26</v>
      </c>
      <c r="G162" s="4">
        <v>3.17</v>
      </c>
      <c r="H162" s="4">
        <v>26.27</v>
      </c>
      <c r="I162" s="4">
        <v>102.3</v>
      </c>
      <c r="J162" s="4">
        <v>2.78</v>
      </c>
      <c r="K162" s="4">
        <v>25.05</v>
      </c>
      <c r="L162" s="4">
        <v>102.21</v>
      </c>
      <c r="M162" s="4">
        <v>2.89</v>
      </c>
    </row>
    <row r="163" spans="2:13" x14ac:dyDescent="0.3">
      <c r="B163" s="3">
        <v>28.44</v>
      </c>
      <c r="C163" s="3">
        <v>94.8</v>
      </c>
      <c r="D163" s="3">
        <v>3.28</v>
      </c>
      <c r="E163" s="3">
        <v>26.62</v>
      </c>
      <c r="F163" s="3">
        <v>87.25</v>
      </c>
      <c r="G163" s="3">
        <v>3.59</v>
      </c>
      <c r="H163" s="3">
        <v>28.44</v>
      </c>
      <c r="I163" s="3">
        <v>102.19</v>
      </c>
      <c r="J163" s="3">
        <v>3.2</v>
      </c>
      <c r="K163" s="3">
        <v>27.78</v>
      </c>
      <c r="L163" s="3">
        <v>87.26</v>
      </c>
      <c r="M163" s="3">
        <v>3.21</v>
      </c>
    </row>
    <row r="164" spans="2:13" x14ac:dyDescent="0.3">
      <c r="B164" s="4">
        <v>28.36</v>
      </c>
      <c r="C164" s="4">
        <v>102.2</v>
      </c>
      <c r="D164" s="4">
        <v>3.08</v>
      </c>
      <c r="E164" s="4">
        <v>29.66</v>
      </c>
      <c r="F164" s="4">
        <v>102.17</v>
      </c>
      <c r="G164" s="4">
        <v>2.9</v>
      </c>
      <c r="H164" s="4">
        <v>31.14</v>
      </c>
      <c r="I164" s="4">
        <v>94.89</v>
      </c>
      <c r="J164" s="4">
        <v>3</v>
      </c>
      <c r="K164" s="4">
        <v>28.25</v>
      </c>
      <c r="L164" s="4">
        <v>94.68</v>
      </c>
      <c r="M164" s="4">
        <v>3.08</v>
      </c>
    </row>
    <row r="165" spans="2:13" x14ac:dyDescent="0.3">
      <c r="B165" s="3">
        <v>26.51</v>
      </c>
      <c r="C165" s="3">
        <v>87.3</v>
      </c>
      <c r="D165" s="3">
        <v>3.41</v>
      </c>
      <c r="E165" s="3">
        <v>25.01</v>
      </c>
      <c r="F165" s="3">
        <v>81.430000000000007</v>
      </c>
      <c r="G165" s="3">
        <v>3.27</v>
      </c>
      <c r="H165" s="3">
        <v>27.84</v>
      </c>
      <c r="I165" s="3">
        <v>87.25</v>
      </c>
      <c r="J165" s="3">
        <v>3.2</v>
      </c>
      <c r="K165" s="3">
        <v>23.52</v>
      </c>
      <c r="L165" s="3">
        <v>88.73</v>
      </c>
      <c r="M165" s="3">
        <v>3.4</v>
      </c>
    </row>
    <row r="166" spans="2:13" x14ac:dyDescent="0.3">
      <c r="B166" s="4">
        <v>23.04</v>
      </c>
      <c r="C166" s="4">
        <v>94.64</v>
      </c>
      <c r="D166" s="4">
        <v>3.53</v>
      </c>
      <c r="E166" s="4">
        <v>20.02</v>
      </c>
      <c r="F166" s="4">
        <v>79.819999999999993</v>
      </c>
      <c r="G166" s="4">
        <v>3.8</v>
      </c>
      <c r="H166" s="4">
        <v>18.59</v>
      </c>
      <c r="I166" s="4">
        <v>87.41</v>
      </c>
      <c r="J166" s="4">
        <v>3.83</v>
      </c>
      <c r="K166" s="4">
        <v>19.97</v>
      </c>
      <c r="L166" s="4">
        <v>87.4</v>
      </c>
      <c r="M166" s="4">
        <v>3.88</v>
      </c>
    </row>
    <row r="167" spans="2:13" x14ac:dyDescent="0.3">
      <c r="B167" s="3">
        <v>21.35</v>
      </c>
      <c r="C167" s="3">
        <v>102.33</v>
      </c>
      <c r="D167" s="3">
        <v>3.44</v>
      </c>
      <c r="E167" s="3">
        <v>18.03</v>
      </c>
      <c r="F167" s="3">
        <v>94.62</v>
      </c>
      <c r="G167" s="3">
        <v>3.77</v>
      </c>
      <c r="H167" s="3">
        <v>19.14</v>
      </c>
      <c r="I167" s="3">
        <v>102.15</v>
      </c>
      <c r="J167" s="3">
        <v>3.5</v>
      </c>
      <c r="K167" s="3">
        <v>20.18</v>
      </c>
      <c r="L167" s="3">
        <v>94.63</v>
      </c>
      <c r="M167" s="3">
        <v>3.46</v>
      </c>
    </row>
    <row r="168" spans="2:13" x14ac:dyDescent="0.3">
      <c r="B168" s="4">
        <v>23.76</v>
      </c>
      <c r="C168" s="4">
        <v>79.760000000000005</v>
      </c>
      <c r="D168" s="4">
        <v>3.27</v>
      </c>
      <c r="E168" s="4">
        <v>26.65</v>
      </c>
      <c r="F168" s="4">
        <v>79.790000000000006</v>
      </c>
      <c r="G168" s="4">
        <v>3.03</v>
      </c>
      <c r="H168" s="4">
        <v>24.81</v>
      </c>
      <c r="I168" s="4">
        <v>87.44</v>
      </c>
      <c r="J168" s="4">
        <v>3.39</v>
      </c>
      <c r="K168" s="4">
        <v>23.42</v>
      </c>
      <c r="L168" s="4">
        <v>94.82</v>
      </c>
      <c r="M168" s="4">
        <v>3.14</v>
      </c>
    </row>
    <row r="169" spans="2:13" x14ac:dyDescent="0.3">
      <c r="B169" s="3">
        <v>25.82</v>
      </c>
      <c r="C169" s="3">
        <v>94.67</v>
      </c>
      <c r="D169" s="3">
        <v>3.28</v>
      </c>
      <c r="E169" s="3">
        <v>24.13</v>
      </c>
      <c r="F169" s="3">
        <v>94.7</v>
      </c>
      <c r="G169" s="3">
        <v>3.22</v>
      </c>
      <c r="H169" s="3">
        <v>24.28</v>
      </c>
      <c r="I169" s="3">
        <v>94.72</v>
      </c>
      <c r="J169" s="3">
        <v>3.39</v>
      </c>
      <c r="K169" s="3">
        <v>24.15</v>
      </c>
      <c r="L169" s="3">
        <v>94.74</v>
      </c>
      <c r="M169" s="3">
        <v>3.48</v>
      </c>
    </row>
    <row r="170" spans="2:13" x14ac:dyDescent="0.3">
      <c r="B170" s="4">
        <v>29.78</v>
      </c>
      <c r="C170" s="4">
        <v>94.71</v>
      </c>
      <c r="D170" s="4">
        <v>2.8</v>
      </c>
      <c r="E170" s="4">
        <v>31.05</v>
      </c>
      <c r="F170" s="4">
        <v>102.67</v>
      </c>
      <c r="G170" s="4">
        <v>2.72</v>
      </c>
      <c r="H170" s="4">
        <v>23.76</v>
      </c>
      <c r="I170" s="4">
        <v>87.32</v>
      </c>
      <c r="J170" s="4">
        <v>3.3</v>
      </c>
      <c r="K170" s="4">
        <v>30.13</v>
      </c>
      <c r="L170" s="4">
        <v>102.2</v>
      </c>
      <c r="M170" s="4">
        <v>3.04</v>
      </c>
    </row>
    <row r="171" spans="2:13" x14ac:dyDescent="0.3">
      <c r="B171" s="3">
        <v>21.92</v>
      </c>
      <c r="C171" s="3">
        <v>87.31</v>
      </c>
      <c r="D171" s="3">
        <v>3.77</v>
      </c>
      <c r="E171" s="3">
        <v>25.26</v>
      </c>
      <c r="F171" s="3">
        <v>87.23</v>
      </c>
      <c r="G171" s="3">
        <v>3.41</v>
      </c>
      <c r="H171" s="3">
        <v>23.61</v>
      </c>
      <c r="I171" s="3">
        <v>87.21</v>
      </c>
      <c r="J171" s="3">
        <v>3.41</v>
      </c>
      <c r="K171" s="3">
        <v>24.33</v>
      </c>
      <c r="L171" s="3">
        <v>87.62</v>
      </c>
      <c r="M171" s="3">
        <v>3.63</v>
      </c>
    </row>
    <row r="172" spans="2:13" x14ac:dyDescent="0.3">
      <c r="B172" s="4">
        <v>24.57</v>
      </c>
      <c r="C172" s="4">
        <v>102.17</v>
      </c>
      <c r="D172" s="4">
        <v>3.06</v>
      </c>
      <c r="E172" s="4">
        <v>26.93</v>
      </c>
      <c r="F172" s="4">
        <v>94.72</v>
      </c>
      <c r="G172" s="4">
        <v>2.96</v>
      </c>
      <c r="H172" s="4">
        <v>26.36</v>
      </c>
      <c r="I172" s="4">
        <v>87.54</v>
      </c>
      <c r="J172" s="4">
        <v>3.25</v>
      </c>
      <c r="K172" s="4">
        <v>29.32</v>
      </c>
      <c r="L172" s="4">
        <v>87.23</v>
      </c>
      <c r="M172" s="4">
        <v>2.86</v>
      </c>
    </row>
    <row r="173" spans="2:13" x14ac:dyDescent="0.3">
      <c r="B173" s="3">
        <v>32.64</v>
      </c>
      <c r="C173" s="3">
        <v>102.32</v>
      </c>
      <c r="D173" s="3">
        <v>3.44</v>
      </c>
      <c r="E173" s="3">
        <v>32.96</v>
      </c>
      <c r="F173" s="3">
        <v>94.94</v>
      </c>
      <c r="G173" s="3">
        <v>3.44</v>
      </c>
      <c r="H173" s="3">
        <v>32.36</v>
      </c>
      <c r="I173" s="3">
        <v>102.32</v>
      </c>
      <c r="J173" s="3">
        <v>3.45</v>
      </c>
      <c r="K173" s="3">
        <v>34.03</v>
      </c>
      <c r="L173" s="3">
        <v>96.11</v>
      </c>
      <c r="M173" s="3">
        <v>3.35</v>
      </c>
    </row>
    <row r="174" spans="2:13" x14ac:dyDescent="0.3">
      <c r="B174" s="4">
        <v>43.75</v>
      </c>
      <c r="C174" s="4">
        <v>109.98</v>
      </c>
      <c r="D174" s="4">
        <v>2.74</v>
      </c>
      <c r="E174" s="4">
        <v>44.31</v>
      </c>
      <c r="F174" s="4">
        <v>110.01</v>
      </c>
      <c r="G174" s="4">
        <v>2.64</v>
      </c>
      <c r="H174" s="4">
        <v>43.74</v>
      </c>
      <c r="I174" s="4">
        <v>110.06</v>
      </c>
      <c r="J174" s="4">
        <v>2.81</v>
      </c>
      <c r="K174" s="4">
        <v>45.17</v>
      </c>
      <c r="L174" s="4">
        <v>116.76</v>
      </c>
      <c r="M174" s="4">
        <v>2.58</v>
      </c>
    </row>
    <row r="175" spans="2:13" x14ac:dyDescent="0.3">
      <c r="B175" s="3">
        <v>41.48</v>
      </c>
      <c r="C175" s="3">
        <v>88.58</v>
      </c>
      <c r="D175" s="3">
        <v>2.98</v>
      </c>
      <c r="E175" s="3">
        <v>41.06</v>
      </c>
      <c r="F175" s="3">
        <v>80.95</v>
      </c>
      <c r="G175" s="3">
        <v>2.92</v>
      </c>
      <c r="H175" s="3">
        <v>41.88</v>
      </c>
      <c r="I175" s="3">
        <v>94.87</v>
      </c>
      <c r="J175" s="3">
        <v>2.85</v>
      </c>
      <c r="K175" s="3">
        <v>42.22</v>
      </c>
      <c r="L175" s="3">
        <v>102.45</v>
      </c>
      <c r="M175" s="3">
        <v>2.81</v>
      </c>
    </row>
    <row r="176" spans="2:13" x14ac:dyDescent="0.3">
      <c r="B176" s="4">
        <v>44.71</v>
      </c>
      <c r="C176" s="4">
        <v>96.01</v>
      </c>
      <c r="D176" s="4">
        <v>2.67</v>
      </c>
      <c r="E176" s="4">
        <v>47.96</v>
      </c>
      <c r="F176" s="4">
        <v>102.28</v>
      </c>
      <c r="G176" s="4">
        <v>2.48</v>
      </c>
      <c r="H176" s="4">
        <v>49.87</v>
      </c>
      <c r="I176" s="4">
        <v>109.81</v>
      </c>
      <c r="J176" s="4">
        <v>2.4300000000000002</v>
      </c>
      <c r="K176" s="4">
        <v>50.18</v>
      </c>
      <c r="L176" s="4">
        <v>109.9</v>
      </c>
      <c r="M176" s="4">
        <v>2.48</v>
      </c>
    </row>
    <row r="177" spans="1:13" x14ac:dyDescent="0.3">
      <c r="B177" s="3">
        <v>44.39</v>
      </c>
      <c r="C177" s="3">
        <v>103.54</v>
      </c>
      <c r="D177" s="3">
        <v>2.81</v>
      </c>
      <c r="E177" s="3">
        <v>44.92</v>
      </c>
      <c r="F177" s="3">
        <v>109.8</v>
      </c>
      <c r="G177" s="3">
        <v>2.69</v>
      </c>
      <c r="H177" s="3">
        <v>43.6</v>
      </c>
      <c r="I177" s="3">
        <v>109.79</v>
      </c>
      <c r="J177" s="3">
        <v>2.84</v>
      </c>
      <c r="K177" s="3">
        <v>41.88</v>
      </c>
      <c r="L177" s="3">
        <v>110.97</v>
      </c>
      <c r="M177" s="3">
        <v>2.78</v>
      </c>
    </row>
    <row r="178" spans="1:13" x14ac:dyDescent="0.3">
      <c r="B178" s="4">
        <v>34.69</v>
      </c>
      <c r="C178" s="4">
        <v>102.39</v>
      </c>
      <c r="D178" s="4">
        <v>3</v>
      </c>
      <c r="E178" s="4">
        <v>33.97</v>
      </c>
      <c r="F178" s="4">
        <v>109.82</v>
      </c>
      <c r="G178" s="4">
        <v>3.11</v>
      </c>
      <c r="H178" s="4">
        <v>29.31</v>
      </c>
      <c r="I178" s="4">
        <v>94.84</v>
      </c>
      <c r="J178" s="4">
        <v>3.48</v>
      </c>
      <c r="K178" s="4">
        <v>36.29</v>
      </c>
      <c r="L178" s="4">
        <v>94.74</v>
      </c>
      <c r="M178" s="4">
        <v>2.82</v>
      </c>
    </row>
    <row r="179" spans="1:13" x14ac:dyDescent="0.3">
      <c r="B179" s="3">
        <v>28.35</v>
      </c>
      <c r="C179" s="3">
        <v>102.32</v>
      </c>
      <c r="D179" s="3">
        <v>3.49</v>
      </c>
      <c r="E179" s="3">
        <v>25.22</v>
      </c>
      <c r="F179" s="3">
        <v>87.34</v>
      </c>
      <c r="G179" s="3">
        <v>3.8</v>
      </c>
      <c r="H179" s="3">
        <v>29.98</v>
      </c>
      <c r="I179" s="3">
        <v>117.34</v>
      </c>
      <c r="J179" s="3">
        <v>3.21</v>
      </c>
      <c r="K179" s="3">
        <v>27.62</v>
      </c>
      <c r="L179" s="3">
        <v>102.35</v>
      </c>
      <c r="M179" s="3">
        <v>3.53</v>
      </c>
    </row>
    <row r="180" spans="1:13" x14ac:dyDescent="0.3">
      <c r="B180" s="4">
        <v>36.99</v>
      </c>
      <c r="C180" s="4">
        <v>118.42</v>
      </c>
      <c r="D180" s="4">
        <v>2.92</v>
      </c>
      <c r="E180" s="4">
        <v>37.18</v>
      </c>
      <c r="F180" s="4">
        <v>118.52</v>
      </c>
      <c r="G180" s="4">
        <v>2.93</v>
      </c>
      <c r="H180" s="4">
        <v>31.48</v>
      </c>
      <c r="I180" s="4">
        <v>102.37</v>
      </c>
      <c r="J180" s="4">
        <v>3.37</v>
      </c>
      <c r="K180" s="4">
        <v>31.05</v>
      </c>
      <c r="L180" s="4">
        <v>102.28</v>
      </c>
      <c r="M180" s="4">
        <v>3.35</v>
      </c>
    </row>
    <row r="181" spans="1:13" x14ac:dyDescent="0.3">
      <c r="B181" s="3">
        <v>32.340000000000003</v>
      </c>
      <c r="C181" s="3">
        <v>87.3</v>
      </c>
      <c r="D181" s="3">
        <v>2.97</v>
      </c>
      <c r="E181" s="3">
        <v>31.68</v>
      </c>
      <c r="F181" s="3">
        <v>96.06</v>
      </c>
      <c r="G181" s="3">
        <v>3.07</v>
      </c>
      <c r="H181" s="3">
        <v>32.36</v>
      </c>
      <c r="I181" s="3">
        <v>95.35</v>
      </c>
      <c r="J181" s="3">
        <v>2.98</v>
      </c>
      <c r="K181" s="3">
        <v>31.75</v>
      </c>
      <c r="L181" s="3">
        <v>88.64</v>
      </c>
      <c r="M181" s="3">
        <v>3</v>
      </c>
    </row>
    <row r="182" spans="1:13" x14ac:dyDescent="0.3">
      <c r="B182" s="4">
        <v>40.090000000000003</v>
      </c>
      <c r="C182" s="4">
        <v>109.78</v>
      </c>
      <c r="D182" s="4">
        <v>3.01</v>
      </c>
      <c r="E182" s="4">
        <v>39.03</v>
      </c>
      <c r="F182" s="4">
        <v>109.79</v>
      </c>
      <c r="G182" s="4">
        <v>3.05</v>
      </c>
      <c r="H182" s="4">
        <v>40.840000000000003</v>
      </c>
      <c r="I182" s="4">
        <v>103.49</v>
      </c>
      <c r="J182" s="4">
        <v>2.93</v>
      </c>
      <c r="K182" s="4">
        <v>42.41</v>
      </c>
      <c r="L182" s="4">
        <v>117.43</v>
      </c>
      <c r="M182" s="4">
        <v>2.9</v>
      </c>
    </row>
    <row r="183" spans="1:13" x14ac:dyDescent="0.3">
      <c r="B183" s="3">
        <v>40.49</v>
      </c>
      <c r="C183" s="3">
        <v>117.35</v>
      </c>
      <c r="D183" s="3">
        <v>3.08</v>
      </c>
      <c r="E183" s="3">
        <v>42.66</v>
      </c>
      <c r="F183" s="3">
        <v>111</v>
      </c>
      <c r="G183" s="3">
        <v>3.09</v>
      </c>
      <c r="H183" s="3">
        <v>46.48</v>
      </c>
      <c r="I183" s="3">
        <v>109.89</v>
      </c>
      <c r="J183" s="3">
        <v>2.8</v>
      </c>
      <c r="K183" s="3">
        <v>42.03</v>
      </c>
      <c r="L183" s="3">
        <v>109.89</v>
      </c>
      <c r="M183" s="3">
        <v>3.12</v>
      </c>
    </row>
    <row r="184" spans="1:13" x14ac:dyDescent="0.3">
      <c r="B184" s="4">
        <v>45.18</v>
      </c>
      <c r="C184" s="4">
        <v>109.74</v>
      </c>
      <c r="D184" s="4">
        <v>2.86</v>
      </c>
      <c r="E184" s="4">
        <v>45.98</v>
      </c>
      <c r="F184" s="4">
        <v>109.82</v>
      </c>
      <c r="G184" s="4">
        <v>2.83</v>
      </c>
      <c r="H184" s="4">
        <v>47.85</v>
      </c>
      <c r="I184" s="4">
        <v>111</v>
      </c>
      <c r="J184" s="4">
        <v>2.68</v>
      </c>
      <c r="K184" s="4">
        <v>50.24</v>
      </c>
      <c r="L184" s="4">
        <v>110.01</v>
      </c>
      <c r="M184" s="4">
        <v>2.7</v>
      </c>
    </row>
    <row r="186" spans="1:13" x14ac:dyDescent="0.3">
      <c r="A186" s="5" t="s">
        <v>42</v>
      </c>
      <c r="B186" s="5">
        <f>AVERAGE(B149:B184)</f>
        <v>33.333055555555546</v>
      </c>
      <c r="C186" s="5">
        <f t="shared" ref="C186:M186" si="11">AVERAGE(C149:C184)</f>
        <v>112.75194444444446</v>
      </c>
      <c r="D186" s="5">
        <f t="shared" si="11"/>
        <v>3.0077777777777777</v>
      </c>
      <c r="E186" s="5">
        <f t="shared" si="11"/>
        <v>33.040555555555549</v>
      </c>
      <c r="F186" s="5">
        <f t="shared" si="11"/>
        <v>108.70500000000001</v>
      </c>
      <c r="G186" s="5">
        <f t="shared" si="11"/>
        <v>3.0408333333333335</v>
      </c>
      <c r="H186" s="5">
        <f t="shared" si="11"/>
        <v>32.727499999999992</v>
      </c>
      <c r="I186" s="5">
        <f t="shared" si="11"/>
        <v>108.31833333333333</v>
      </c>
      <c r="J186" s="5">
        <f t="shared" si="11"/>
        <v>3.0516666666666676</v>
      </c>
      <c r="K186" s="5">
        <f t="shared" si="11"/>
        <v>33.713888888888889</v>
      </c>
      <c r="L186" s="5">
        <f t="shared" si="11"/>
        <v>109.95333333333332</v>
      </c>
      <c r="M186" s="5">
        <f t="shared" si="11"/>
        <v>2.9941666666666666</v>
      </c>
    </row>
    <row r="187" spans="1:13" x14ac:dyDescent="0.3">
      <c r="A187" s="5" t="s">
        <v>35</v>
      </c>
      <c r="B187" s="5">
        <f>AVERAGE(B186,E186,H186,K186)</f>
        <v>33.203749999999999</v>
      </c>
      <c r="C187" s="5">
        <f t="shared" ref="C187" si="12">AVERAGE(C186,F186,I186,L186)</f>
        <v>109.93215277777777</v>
      </c>
      <c r="D187" s="5">
        <f t="shared" ref="D187" si="13">AVERAGE(D186,G186,J186,M186)</f>
        <v>3.0236111111111112</v>
      </c>
      <c r="E187" s="5"/>
      <c r="F187" s="5"/>
      <c r="G187" s="5"/>
      <c r="H187" s="5"/>
      <c r="I187" s="5"/>
      <c r="J187" s="5"/>
      <c r="K187" s="5"/>
      <c r="L187" s="5"/>
      <c r="M187" s="5"/>
    </row>
    <row r="189" spans="1:13" x14ac:dyDescent="0.3">
      <c r="B189" s="38" t="s">
        <v>6</v>
      </c>
      <c r="C189" s="38"/>
      <c r="D189" s="38"/>
      <c r="E189" s="38"/>
    </row>
    <row r="191" spans="1:13" x14ac:dyDescent="0.3">
      <c r="B191" s="39" t="s">
        <v>17</v>
      </c>
      <c r="C191" s="39"/>
      <c r="D191" s="39"/>
      <c r="E191" s="40" t="s">
        <v>18</v>
      </c>
      <c r="F191" s="40"/>
      <c r="G191" s="40"/>
      <c r="H191" s="41" t="s">
        <v>19</v>
      </c>
      <c r="I191" s="41"/>
      <c r="J191" s="41"/>
      <c r="K191" s="42" t="s">
        <v>20</v>
      </c>
      <c r="L191" s="42"/>
      <c r="M191" s="42"/>
    </row>
    <row r="192" spans="1:13" x14ac:dyDescent="0.3">
      <c r="B192" s="1" t="s">
        <v>21</v>
      </c>
      <c r="C192" s="1" t="s">
        <v>22</v>
      </c>
      <c r="D192" s="1" t="s">
        <v>23</v>
      </c>
      <c r="E192" s="1" t="s">
        <v>21</v>
      </c>
      <c r="F192" s="1" t="s">
        <v>22</v>
      </c>
      <c r="G192" s="1" t="s">
        <v>23</v>
      </c>
      <c r="H192" s="1" t="s">
        <v>21</v>
      </c>
      <c r="I192" s="1" t="s">
        <v>22</v>
      </c>
      <c r="J192" s="1" t="s">
        <v>23</v>
      </c>
      <c r="K192" s="1" t="s">
        <v>21</v>
      </c>
      <c r="L192" s="1" t="s">
        <v>22</v>
      </c>
      <c r="M192" s="1" t="s">
        <v>23</v>
      </c>
    </row>
    <row r="193" spans="2:13" x14ac:dyDescent="0.3">
      <c r="B193" s="3">
        <v>8.06</v>
      </c>
      <c r="C193" s="3">
        <v>16.399999999999999</v>
      </c>
      <c r="D193" s="3">
        <v>8.34</v>
      </c>
      <c r="E193" s="3">
        <v>11.18</v>
      </c>
      <c r="F193" s="3">
        <v>20.239999999999998</v>
      </c>
      <c r="G193" s="3">
        <v>7.06</v>
      </c>
      <c r="H193" s="3">
        <v>5.97</v>
      </c>
      <c r="I193" s="3">
        <v>8.9</v>
      </c>
      <c r="J193" s="3">
        <v>9.5299999999999994</v>
      </c>
      <c r="K193" s="3">
        <v>14.71</v>
      </c>
      <c r="L193" s="3">
        <v>35.729999999999997</v>
      </c>
      <c r="M193" s="3">
        <v>6.68</v>
      </c>
    </row>
    <row r="194" spans="2:13" x14ac:dyDescent="0.3">
      <c r="B194" s="4">
        <v>3.04</v>
      </c>
      <c r="C194" s="4">
        <v>181.48</v>
      </c>
      <c r="D194" s="4">
        <v>11.5</v>
      </c>
      <c r="E194" s="4">
        <v>8.52</v>
      </c>
      <c r="F194" s="4">
        <v>37.450000000000003</v>
      </c>
      <c r="G194" s="4">
        <v>8.02</v>
      </c>
      <c r="H194" s="4">
        <v>8.24</v>
      </c>
      <c r="I194" s="4">
        <v>50.16</v>
      </c>
      <c r="J194" s="4">
        <v>8.33</v>
      </c>
      <c r="K194" s="4">
        <v>8.09</v>
      </c>
      <c r="L194" s="4">
        <v>23.87</v>
      </c>
      <c r="M194" s="4">
        <v>8</v>
      </c>
    </row>
    <row r="195" spans="2:13" x14ac:dyDescent="0.3">
      <c r="B195" s="3">
        <v>5.43</v>
      </c>
      <c r="C195" s="3">
        <v>16.45</v>
      </c>
      <c r="D195" s="3">
        <v>9.7899999999999991</v>
      </c>
      <c r="E195" s="3">
        <v>5.03</v>
      </c>
      <c r="F195" s="3">
        <v>16.55</v>
      </c>
      <c r="G195" s="3">
        <v>9.9499999999999993</v>
      </c>
      <c r="H195" s="3">
        <v>4.8600000000000003</v>
      </c>
      <c r="I195" s="3">
        <v>8.9600000000000009</v>
      </c>
      <c r="J195" s="3">
        <v>10.15</v>
      </c>
      <c r="K195" s="3">
        <v>4.91</v>
      </c>
      <c r="L195" s="3">
        <v>23.86</v>
      </c>
      <c r="M195" s="3">
        <v>9.85</v>
      </c>
    </row>
    <row r="196" spans="2:13" x14ac:dyDescent="0.3">
      <c r="B196" s="4">
        <v>5.03</v>
      </c>
      <c r="C196" s="4">
        <v>8.82</v>
      </c>
      <c r="D196" s="4">
        <v>9.92</v>
      </c>
      <c r="E196" s="4">
        <v>7.79</v>
      </c>
      <c r="F196" s="4">
        <v>16.36</v>
      </c>
      <c r="G196" s="4">
        <v>8.41</v>
      </c>
      <c r="H196" s="4">
        <v>7.7</v>
      </c>
      <c r="I196" s="4">
        <v>37.47</v>
      </c>
      <c r="J196" s="4">
        <v>8.69</v>
      </c>
      <c r="K196" s="4">
        <v>7.16</v>
      </c>
      <c r="L196" s="4">
        <v>21.57</v>
      </c>
      <c r="M196" s="4">
        <v>9.19</v>
      </c>
    </row>
    <row r="197" spans="2:13" x14ac:dyDescent="0.3">
      <c r="B197" s="3">
        <v>9.84</v>
      </c>
      <c r="C197" s="3">
        <v>16.5</v>
      </c>
      <c r="D197" s="3">
        <v>7.51</v>
      </c>
      <c r="E197" s="3">
        <v>12.37</v>
      </c>
      <c r="F197" s="3">
        <v>24.11</v>
      </c>
      <c r="G197" s="3">
        <v>7.32</v>
      </c>
      <c r="H197" s="3">
        <v>9.3000000000000007</v>
      </c>
      <c r="I197" s="3">
        <v>31.47</v>
      </c>
      <c r="J197" s="3">
        <v>7.96</v>
      </c>
      <c r="K197" s="3">
        <v>5.62</v>
      </c>
      <c r="L197" s="3">
        <v>17.149999999999999</v>
      </c>
      <c r="M197" s="3">
        <v>8.89</v>
      </c>
    </row>
    <row r="198" spans="2:13" x14ac:dyDescent="0.3">
      <c r="B198" s="4">
        <v>7.93</v>
      </c>
      <c r="C198" s="4">
        <v>16.39</v>
      </c>
      <c r="D198" s="4">
        <v>9.17</v>
      </c>
      <c r="E198" s="4">
        <v>8.49</v>
      </c>
      <c r="F198" s="4">
        <v>23.9</v>
      </c>
      <c r="G198" s="4">
        <v>8.75</v>
      </c>
      <c r="H198" s="4">
        <v>5.98</v>
      </c>
      <c r="I198" s="4">
        <v>8.86</v>
      </c>
      <c r="J198" s="4">
        <v>10.11</v>
      </c>
      <c r="K198" s="4">
        <v>3.76</v>
      </c>
      <c r="L198" s="4">
        <v>8.9</v>
      </c>
      <c r="M198" s="4">
        <v>10.98</v>
      </c>
    </row>
    <row r="199" spans="2:13" x14ac:dyDescent="0.3">
      <c r="B199" s="3">
        <v>9.81</v>
      </c>
      <c r="C199" s="3">
        <v>46.95</v>
      </c>
      <c r="D199" s="3">
        <v>8.26</v>
      </c>
      <c r="E199" s="3">
        <v>11.22</v>
      </c>
      <c r="F199" s="3">
        <v>50.45</v>
      </c>
      <c r="G199" s="3">
        <v>7.21</v>
      </c>
      <c r="H199" s="3">
        <v>16.829999999999998</v>
      </c>
      <c r="I199" s="3">
        <v>73.040000000000006</v>
      </c>
      <c r="J199" s="3">
        <v>6</v>
      </c>
      <c r="K199" s="3">
        <v>8.6300000000000008</v>
      </c>
      <c r="L199" s="3">
        <v>31.83</v>
      </c>
      <c r="M199" s="3">
        <v>8.69</v>
      </c>
    </row>
    <row r="200" spans="2:13" x14ac:dyDescent="0.3">
      <c r="B200" s="4">
        <v>6.63</v>
      </c>
      <c r="C200" s="4">
        <v>31.4</v>
      </c>
      <c r="D200" s="4">
        <v>9.43</v>
      </c>
      <c r="E200" s="4">
        <v>9.8800000000000008</v>
      </c>
      <c r="F200" s="4">
        <v>175.57</v>
      </c>
      <c r="G200" s="4">
        <v>7.88</v>
      </c>
      <c r="H200" s="4">
        <v>8.02</v>
      </c>
      <c r="I200" s="4">
        <v>31.48</v>
      </c>
      <c r="J200" s="4">
        <v>8.1999999999999993</v>
      </c>
      <c r="K200" s="4">
        <v>6.09</v>
      </c>
      <c r="L200" s="4">
        <v>16.739999999999998</v>
      </c>
      <c r="M200" s="4">
        <v>9.66</v>
      </c>
    </row>
    <row r="201" spans="2:13" x14ac:dyDescent="0.3">
      <c r="B201" s="3">
        <v>6.6</v>
      </c>
      <c r="C201" s="3">
        <v>23.94</v>
      </c>
      <c r="D201" s="3">
        <v>9.1</v>
      </c>
      <c r="E201" s="3">
        <v>2.84</v>
      </c>
      <c r="F201" s="3">
        <v>9.58</v>
      </c>
      <c r="G201" s="3">
        <v>11.39</v>
      </c>
      <c r="H201" s="3">
        <v>7.02</v>
      </c>
      <c r="I201" s="3">
        <v>23.82</v>
      </c>
      <c r="J201" s="3">
        <v>8.48</v>
      </c>
      <c r="K201" s="3">
        <v>7.04</v>
      </c>
      <c r="L201" s="3">
        <v>23.94</v>
      </c>
      <c r="M201" s="3">
        <v>9.08</v>
      </c>
    </row>
    <row r="202" spans="2:13" x14ac:dyDescent="0.3">
      <c r="B202" s="4">
        <v>7.51</v>
      </c>
      <c r="C202" s="4">
        <v>31.55</v>
      </c>
      <c r="D202" s="4">
        <v>8.9</v>
      </c>
      <c r="E202" s="4">
        <v>20.6</v>
      </c>
      <c r="F202" s="4">
        <v>65.17</v>
      </c>
      <c r="G202" s="4">
        <v>4.99</v>
      </c>
      <c r="H202" s="4">
        <v>8.07</v>
      </c>
      <c r="I202" s="4">
        <v>16.37</v>
      </c>
      <c r="J202" s="4">
        <v>8.5399999999999991</v>
      </c>
      <c r="K202" s="4">
        <v>12.45</v>
      </c>
      <c r="L202" s="4">
        <v>36.75</v>
      </c>
      <c r="M202" s="4">
        <v>6.43</v>
      </c>
    </row>
    <row r="203" spans="2:13" x14ac:dyDescent="0.3">
      <c r="B203" s="3">
        <v>8.43</v>
      </c>
      <c r="C203" s="3">
        <v>24.59</v>
      </c>
      <c r="D203" s="3">
        <v>8.5500000000000007</v>
      </c>
      <c r="E203" s="3">
        <v>6.69</v>
      </c>
      <c r="F203" s="3">
        <v>24.33</v>
      </c>
      <c r="G203" s="3">
        <v>9.2100000000000009</v>
      </c>
      <c r="H203" s="3">
        <v>8.5399999999999991</v>
      </c>
      <c r="I203" s="3">
        <v>23.82</v>
      </c>
      <c r="J203" s="3">
        <v>8.49</v>
      </c>
      <c r="K203" s="3">
        <v>5.21</v>
      </c>
      <c r="L203" s="3">
        <v>16.7</v>
      </c>
      <c r="M203" s="3">
        <v>10.11</v>
      </c>
    </row>
    <row r="204" spans="2:13" x14ac:dyDescent="0.3">
      <c r="B204" s="4">
        <v>9.5500000000000007</v>
      </c>
      <c r="C204" s="4">
        <v>39</v>
      </c>
      <c r="D204" s="4">
        <v>7.93</v>
      </c>
      <c r="E204" s="4">
        <v>6.18</v>
      </c>
      <c r="F204" s="4">
        <v>16.309999999999999</v>
      </c>
      <c r="G204" s="4">
        <v>9.5299999999999994</v>
      </c>
      <c r="H204" s="4">
        <v>5.4</v>
      </c>
      <c r="I204" s="4">
        <v>8.85</v>
      </c>
      <c r="J204" s="4">
        <v>10.19</v>
      </c>
      <c r="K204" s="4">
        <v>4.76</v>
      </c>
      <c r="L204" s="4">
        <v>8.94</v>
      </c>
      <c r="M204" s="4">
        <v>10.28</v>
      </c>
    </row>
    <row r="205" spans="2:13" x14ac:dyDescent="0.3">
      <c r="B205" s="3">
        <v>8.64</v>
      </c>
      <c r="C205" s="3">
        <v>23.65</v>
      </c>
      <c r="D205" s="3">
        <v>8.5299999999999994</v>
      </c>
      <c r="E205" s="3">
        <v>12.13</v>
      </c>
      <c r="F205" s="3">
        <v>31.11</v>
      </c>
      <c r="G205" s="3">
        <v>6.98</v>
      </c>
      <c r="H205" s="3">
        <v>7.98</v>
      </c>
      <c r="I205" s="3">
        <v>21.33</v>
      </c>
      <c r="J205" s="3">
        <v>8.67</v>
      </c>
      <c r="K205" s="3">
        <v>12.41</v>
      </c>
      <c r="L205" s="3">
        <v>38.729999999999997</v>
      </c>
      <c r="M205" s="3">
        <v>7.18</v>
      </c>
    </row>
    <row r="206" spans="2:13" x14ac:dyDescent="0.3">
      <c r="B206" s="4">
        <v>4.7</v>
      </c>
      <c r="C206" s="4">
        <v>187.5</v>
      </c>
      <c r="D206" s="4">
        <v>10.210000000000001</v>
      </c>
      <c r="E206" s="4">
        <v>11.1</v>
      </c>
      <c r="F206" s="4">
        <v>187.5</v>
      </c>
      <c r="G206" s="4">
        <v>7.44</v>
      </c>
      <c r="H206" s="4">
        <v>12.83</v>
      </c>
      <c r="I206" s="4">
        <v>187.5</v>
      </c>
      <c r="J206" s="4">
        <v>6.81</v>
      </c>
      <c r="K206" s="4">
        <v>8.84</v>
      </c>
      <c r="L206" s="4">
        <v>187.5</v>
      </c>
      <c r="M206" s="4">
        <v>8.3800000000000008</v>
      </c>
    </row>
    <row r="207" spans="2:13" x14ac:dyDescent="0.3">
      <c r="B207" s="3">
        <v>4.95</v>
      </c>
      <c r="C207" s="3">
        <v>23.77</v>
      </c>
      <c r="D207" s="3">
        <v>10.35</v>
      </c>
      <c r="E207" s="3">
        <v>4.16</v>
      </c>
      <c r="F207" s="3">
        <v>23.61</v>
      </c>
      <c r="G207" s="3">
        <v>10.69</v>
      </c>
      <c r="H207" s="3">
        <v>4.3600000000000003</v>
      </c>
      <c r="I207" s="3">
        <v>23.83</v>
      </c>
      <c r="J207" s="3">
        <v>10.62</v>
      </c>
      <c r="K207" s="3">
        <v>4.0199999999999996</v>
      </c>
      <c r="L207" s="3">
        <v>28.93</v>
      </c>
      <c r="M207" s="3">
        <v>10.89</v>
      </c>
    </row>
    <row r="208" spans="2:13" x14ac:dyDescent="0.3">
      <c r="B208" s="4">
        <v>5.83</v>
      </c>
      <c r="C208" s="4">
        <v>18</v>
      </c>
      <c r="D208" s="4">
        <v>9.35</v>
      </c>
      <c r="E208" s="4">
        <v>9.0500000000000007</v>
      </c>
      <c r="F208" s="4">
        <v>29.16</v>
      </c>
      <c r="G208" s="4">
        <v>8.3000000000000007</v>
      </c>
      <c r="H208" s="4">
        <v>8.74</v>
      </c>
      <c r="I208" s="4">
        <v>31.04</v>
      </c>
      <c r="J208" s="4">
        <v>8.4</v>
      </c>
      <c r="K208" s="4">
        <v>6.01</v>
      </c>
      <c r="L208" s="4">
        <v>30.5</v>
      </c>
      <c r="M208" s="4">
        <v>9.4600000000000009</v>
      </c>
    </row>
    <row r="209" spans="1:13" x14ac:dyDescent="0.3">
      <c r="B209" s="3">
        <v>8.06</v>
      </c>
      <c r="C209" s="3">
        <v>31.42</v>
      </c>
      <c r="D209" s="3">
        <v>8.69</v>
      </c>
      <c r="E209" s="3">
        <v>10</v>
      </c>
      <c r="F209" s="3">
        <v>31.28</v>
      </c>
      <c r="G209" s="3">
        <v>7.62</v>
      </c>
      <c r="H209" s="3">
        <v>9.2200000000000006</v>
      </c>
      <c r="I209" s="3">
        <v>31.66</v>
      </c>
      <c r="J209" s="3">
        <v>8.1999999999999993</v>
      </c>
      <c r="K209" s="3">
        <v>6.19</v>
      </c>
      <c r="L209" s="3">
        <v>23.74</v>
      </c>
      <c r="M209" s="3">
        <v>9.36</v>
      </c>
    </row>
    <row r="210" spans="1:13" x14ac:dyDescent="0.3">
      <c r="B210" s="4">
        <v>10.66</v>
      </c>
      <c r="C210" s="4">
        <v>187.5</v>
      </c>
      <c r="D210" s="4">
        <v>7.83</v>
      </c>
      <c r="E210" s="4">
        <v>8.17</v>
      </c>
      <c r="F210" s="4">
        <v>187.5</v>
      </c>
      <c r="G210" s="4">
        <v>8.7899999999999991</v>
      </c>
      <c r="H210" s="4">
        <v>9.2799999999999994</v>
      </c>
      <c r="I210" s="4">
        <v>187.5</v>
      </c>
      <c r="J210" s="4">
        <v>8.3000000000000007</v>
      </c>
      <c r="K210" s="4">
        <v>9.25</v>
      </c>
      <c r="L210" s="4">
        <v>187.51</v>
      </c>
      <c r="M210" s="4">
        <v>8.24</v>
      </c>
    </row>
    <row r="211" spans="1:13" x14ac:dyDescent="0.3">
      <c r="B211" s="3">
        <v>6.27</v>
      </c>
      <c r="C211" s="3">
        <v>31.38</v>
      </c>
      <c r="D211" s="3">
        <v>8.9700000000000006</v>
      </c>
      <c r="E211" s="3">
        <v>7.93</v>
      </c>
      <c r="F211" s="3">
        <v>31.87</v>
      </c>
      <c r="G211" s="3">
        <v>8.52</v>
      </c>
      <c r="H211" s="3">
        <v>9.49</v>
      </c>
      <c r="I211" s="3">
        <v>61.21</v>
      </c>
      <c r="J211" s="3">
        <v>7.85</v>
      </c>
      <c r="K211" s="3">
        <v>6.87</v>
      </c>
      <c r="L211" s="3">
        <v>28.9</v>
      </c>
      <c r="M211" s="3">
        <v>9.07</v>
      </c>
    </row>
    <row r="212" spans="1:13" x14ac:dyDescent="0.3">
      <c r="B212" s="4">
        <v>6.76</v>
      </c>
      <c r="C212" s="4">
        <v>187.5</v>
      </c>
      <c r="D212" s="4">
        <v>9.23</v>
      </c>
      <c r="E212" s="4">
        <v>10.15</v>
      </c>
      <c r="F212" s="4">
        <v>187.5</v>
      </c>
      <c r="G212" s="4">
        <v>7.7</v>
      </c>
      <c r="H212" s="4">
        <v>9.86</v>
      </c>
      <c r="I212" s="4">
        <v>187.5</v>
      </c>
      <c r="J212" s="4">
        <v>7.94</v>
      </c>
      <c r="K212" s="4">
        <v>7.38</v>
      </c>
      <c r="L212" s="4">
        <v>31.04</v>
      </c>
      <c r="M212" s="4">
        <v>9.1199999999999992</v>
      </c>
    </row>
    <row r="213" spans="1:13" x14ac:dyDescent="0.3">
      <c r="B213" s="3">
        <v>7.37</v>
      </c>
      <c r="C213" s="3">
        <v>23.58</v>
      </c>
      <c r="D213" s="3">
        <v>8.73</v>
      </c>
      <c r="E213" s="3">
        <v>4.6500000000000004</v>
      </c>
      <c r="F213" s="3">
        <v>18</v>
      </c>
      <c r="G213" s="3">
        <v>10.45</v>
      </c>
      <c r="H213" s="3">
        <v>5.85</v>
      </c>
      <c r="I213" s="3">
        <v>31.13</v>
      </c>
      <c r="J213" s="3">
        <v>9.8800000000000008</v>
      </c>
      <c r="K213" s="3">
        <v>8.44</v>
      </c>
      <c r="L213" s="3">
        <v>31.31</v>
      </c>
      <c r="M213" s="3">
        <v>8.6300000000000008</v>
      </c>
    </row>
    <row r="214" spans="1:13" x14ac:dyDescent="0.3">
      <c r="B214" s="4">
        <v>9.2799999999999994</v>
      </c>
      <c r="C214" s="4">
        <v>187.5</v>
      </c>
      <c r="D214" s="4">
        <v>8.24</v>
      </c>
      <c r="E214" s="4">
        <v>14.35</v>
      </c>
      <c r="F214" s="4">
        <v>187.5</v>
      </c>
      <c r="G214" s="4">
        <v>6.37</v>
      </c>
      <c r="H214" s="4">
        <v>8.84</v>
      </c>
      <c r="I214" s="4">
        <v>187.5</v>
      </c>
      <c r="J214" s="4">
        <v>8.48</v>
      </c>
      <c r="K214" s="4">
        <v>11.61</v>
      </c>
      <c r="L214" s="4">
        <v>187.5</v>
      </c>
      <c r="M214" s="4">
        <v>7.15</v>
      </c>
    </row>
    <row r="215" spans="1:13" x14ac:dyDescent="0.3">
      <c r="B215" s="3">
        <v>5.1100000000000003</v>
      </c>
      <c r="C215" s="3">
        <v>23.69</v>
      </c>
      <c r="D215" s="3">
        <v>10.19</v>
      </c>
      <c r="E215" s="3">
        <v>5.83</v>
      </c>
      <c r="F215" s="3">
        <v>31.67</v>
      </c>
      <c r="G215" s="3">
        <v>9.6300000000000008</v>
      </c>
      <c r="H215" s="3">
        <v>5.66</v>
      </c>
      <c r="I215" s="3">
        <v>23.64</v>
      </c>
      <c r="J215" s="3">
        <v>10.050000000000001</v>
      </c>
      <c r="K215" s="3">
        <v>5.52</v>
      </c>
      <c r="L215" s="3">
        <v>23.73</v>
      </c>
      <c r="M215" s="3">
        <v>10.09</v>
      </c>
    </row>
    <row r="216" spans="1:13" x14ac:dyDescent="0.3">
      <c r="B216" s="4">
        <v>11.44</v>
      </c>
      <c r="C216" s="4">
        <v>38.57</v>
      </c>
      <c r="D216" s="4">
        <v>7.38</v>
      </c>
      <c r="E216" s="4">
        <v>7.31</v>
      </c>
      <c r="F216" s="4">
        <v>31.16</v>
      </c>
      <c r="G216" s="4">
        <v>9.14</v>
      </c>
      <c r="H216" s="4">
        <v>8.16</v>
      </c>
      <c r="I216" s="4">
        <v>23.86</v>
      </c>
      <c r="J216" s="4">
        <v>8.8699999999999992</v>
      </c>
      <c r="K216" s="4">
        <v>9.33</v>
      </c>
      <c r="L216" s="4">
        <v>23.68</v>
      </c>
      <c r="M216" s="4">
        <v>8.19</v>
      </c>
    </row>
    <row r="218" spans="1:13" x14ac:dyDescent="0.3">
      <c r="A218" s="5" t="s">
        <v>42</v>
      </c>
      <c r="B218" s="5">
        <f>AVERAGE(B193:B216)</f>
        <v>7.3720833333333351</v>
      </c>
      <c r="C218" s="5">
        <f t="shared" ref="C218:M218" si="14">AVERAGE(C193:C216)</f>
        <v>59.063749999999992</v>
      </c>
      <c r="D218" s="5">
        <f>AVERAGE(D193:D216)</f>
        <v>9.0041666666666647</v>
      </c>
      <c r="E218" s="5">
        <f>AVERAGE(D205:D216)</f>
        <v>8.9749999999999996</v>
      </c>
      <c r="F218" s="5">
        <f t="shared" si="14"/>
        <v>60.745000000000005</v>
      </c>
      <c r="G218" s="5">
        <f t="shared" si="14"/>
        <v>8.3895833333333325</v>
      </c>
      <c r="H218" s="5">
        <f t="shared" si="14"/>
        <v>8.1749999999999989</v>
      </c>
      <c r="I218" s="5">
        <f t="shared" si="14"/>
        <v>55.037500000000001</v>
      </c>
      <c r="J218" s="5">
        <f t="shared" si="14"/>
        <v>8.6974999999999998</v>
      </c>
      <c r="K218" s="5">
        <f t="shared" si="14"/>
        <v>7.6791666666666671</v>
      </c>
      <c r="L218" s="5">
        <f t="shared" si="14"/>
        <v>45.377083333333331</v>
      </c>
      <c r="M218" s="5">
        <f t="shared" si="14"/>
        <v>8.8999999999999986</v>
      </c>
    </row>
    <row r="219" spans="1:13" x14ac:dyDescent="0.3">
      <c r="A219" s="5" t="s">
        <v>35</v>
      </c>
      <c r="B219" s="5">
        <f>AVERAGE(B218,E218,H218,K218)</f>
        <v>8.0503125000000004</v>
      </c>
      <c r="C219" s="5">
        <f t="shared" ref="C219" si="15">AVERAGE(C218,F218,I218,L218)</f>
        <v>55.055833333333332</v>
      </c>
      <c r="D219" s="5">
        <f t="shared" ref="D219" si="16">AVERAGE(D218,G218,J218,M218)</f>
        <v>8.7478124999999984</v>
      </c>
      <c r="E219" s="5"/>
      <c r="F219" s="5"/>
      <c r="G219" s="5"/>
      <c r="H219" s="5"/>
      <c r="I219" s="5"/>
      <c r="J219" s="5"/>
      <c r="K219" s="5"/>
      <c r="L219" s="5"/>
      <c r="M219" s="5"/>
    </row>
    <row r="221" spans="1:13" x14ac:dyDescent="0.3">
      <c r="B221" s="38" t="s">
        <v>8</v>
      </c>
      <c r="C221" s="38"/>
      <c r="D221" s="38"/>
      <c r="E221" s="38"/>
    </row>
    <row r="223" spans="1:13" x14ac:dyDescent="0.3">
      <c r="B223" s="39" t="s">
        <v>17</v>
      </c>
      <c r="C223" s="39"/>
      <c r="D223" s="39"/>
      <c r="E223" s="40" t="s">
        <v>18</v>
      </c>
      <c r="F223" s="40"/>
      <c r="G223" s="40"/>
      <c r="H223" s="41" t="s">
        <v>19</v>
      </c>
      <c r="I223" s="41"/>
      <c r="J223" s="41"/>
      <c r="K223" s="42" t="s">
        <v>20</v>
      </c>
      <c r="L223" s="42"/>
      <c r="M223" s="42"/>
    </row>
    <row r="224" spans="1:13" x14ac:dyDescent="0.3">
      <c r="B224" s="1" t="s">
        <v>21</v>
      </c>
      <c r="C224" s="1" t="s">
        <v>22</v>
      </c>
      <c r="D224" s="1" t="s">
        <v>23</v>
      </c>
      <c r="E224" s="1" t="s">
        <v>21</v>
      </c>
      <c r="F224" s="1" t="s">
        <v>22</v>
      </c>
      <c r="G224" s="1" t="s">
        <v>23</v>
      </c>
      <c r="H224" s="1" t="s">
        <v>21</v>
      </c>
      <c r="I224" s="1" t="s">
        <v>22</v>
      </c>
      <c r="J224" s="1" t="s">
        <v>23</v>
      </c>
      <c r="K224" s="1" t="s">
        <v>21</v>
      </c>
      <c r="L224" s="1" t="s">
        <v>22</v>
      </c>
      <c r="M224" s="1" t="s">
        <v>23</v>
      </c>
    </row>
    <row r="225" spans="1:13" x14ac:dyDescent="0.3">
      <c r="A225" t="s">
        <v>27</v>
      </c>
      <c r="B225" s="3">
        <v>34.47</v>
      </c>
      <c r="C225" s="3">
        <v>64.739999999999995</v>
      </c>
      <c r="D225" s="3">
        <v>4.72</v>
      </c>
      <c r="E225" s="3">
        <v>36.61</v>
      </c>
      <c r="F225" s="3">
        <v>64.81</v>
      </c>
      <c r="G225" s="3">
        <v>4.71</v>
      </c>
      <c r="H225" s="3">
        <v>34.28</v>
      </c>
      <c r="I225" s="3">
        <v>64.67</v>
      </c>
      <c r="J225" s="3">
        <v>4.75</v>
      </c>
      <c r="K225" s="3">
        <v>27.59</v>
      </c>
      <c r="L225" s="3">
        <v>51.07</v>
      </c>
      <c r="M225" s="3">
        <v>5.09</v>
      </c>
    </row>
    <row r="226" spans="1:13" x14ac:dyDescent="0.3">
      <c r="B226" s="4">
        <v>10.49</v>
      </c>
      <c r="C226" s="4">
        <v>34.74</v>
      </c>
      <c r="D226" s="4">
        <v>8.9700000000000006</v>
      </c>
      <c r="E226" s="4">
        <v>10.91</v>
      </c>
      <c r="F226" s="4">
        <v>34.69</v>
      </c>
      <c r="G226" s="4">
        <v>8.41</v>
      </c>
      <c r="H226" s="4">
        <v>10.78</v>
      </c>
      <c r="I226" s="4">
        <v>34.65</v>
      </c>
      <c r="J226" s="4">
        <v>8.5399999999999991</v>
      </c>
      <c r="K226" s="4">
        <v>10.07</v>
      </c>
      <c r="L226" s="4">
        <v>34.75</v>
      </c>
      <c r="M226" s="4">
        <v>8.82</v>
      </c>
    </row>
    <row r="227" spans="1:13" x14ac:dyDescent="0.3">
      <c r="B227" s="3">
        <v>7.69</v>
      </c>
      <c r="C227" s="3">
        <v>19.68</v>
      </c>
      <c r="D227" s="3">
        <v>9.39</v>
      </c>
      <c r="E227" s="3">
        <v>11.05</v>
      </c>
      <c r="F227" s="3">
        <v>19.79</v>
      </c>
      <c r="G227" s="3">
        <v>8.82</v>
      </c>
      <c r="H227" s="3">
        <v>10.71</v>
      </c>
      <c r="I227" s="3">
        <v>12.24</v>
      </c>
      <c r="J227" s="3">
        <v>8.7799999999999994</v>
      </c>
      <c r="K227" s="3">
        <v>10.06</v>
      </c>
      <c r="L227" s="3">
        <v>19.649999999999999</v>
      </c>
      <c r="M227" s="3">
        <v>8.3699999999999992</v>
      </c>
    </row>
    <row r="228" spans="1:13" x14ac:dyDescent="0.3">
      <c r="B228" s="4">
        <v>6.58</v>
      </c>
      <c r="C228" s="4">
        <v>13.4</v>
      </c>
      <c r="D228" s="4">
        <v>10.23</v>
      </c>
      <c r="E228" s="4">
        <v>2.89</v>
      </c>
      <c r="F228" s="4">
        <v>5</v>
      </c>
      <c r="G228" s="4">
        <v>12.43</v>
      </c>
      <c r="H228" s="4">
        <v>4.7300000000000004</v>
      </c>
      <c r="I228" s="4">
        <v>27.32</v>
      </c>
      <c r="J228" s="4">
        <v>11.57</v>
      </c>
      <c r="K228" s="4">
        <v>3.16</v>
      </c>
      <c r="L228" s="4">
        <v>13.55</v>
      </c>
      <c r="M228" s="4">
        <v>12.21</v>
      </c>
    </row>
    <row r="229" spans="1:13" x14ac:dyDescent="0.3">
      <c r="B229" s="3">
        <v>14.69</v>
      </c>
      <c r="C229" s="3">
        <v>42.43</v>
      </c>
      <c r="D229" s="3">
        <v>7.78</v>
      </c>
      <c r="E229" s="3">
        <v>11.36</v>
      </c>
      <c r="F229" s="3">
        <v>35</v>
      </c>
      <c r="G229" s="3">
        <v>8.9700000000000006</v>
      </c>
      <c r="H229" s="3">
        <v>13.86</v>
      </c>
      <c r="I229" s="3">
        <v>43.45</v>
      </c>
      <c r="J229" s="3">
        <v>7.96</v>
      </c>
      <c r="K229" s="3">
        <v>13.08</v>
      </c>
      <c r="L229" s="3">
        <v>49.81</v>
      </c>
      <c r="M229" s="3">
        <v>8.36</v>
      </c>
    </row>
    <row r="230" spans="1:13" x14ac:dyDescent="0.3">
      <c r="B230" s="4">
        <v>23.3</v>
      </c>
      <c r="C230" s="4">
        <v>57.2</v>
      </c>
      <c r="D230" s="4">
        <v>5.82</v>
      </c>
      <c r="E230" s="4">
        <v>24.71</v>
      </c>
      <c r="F230" s="4">
        <v>57.22</v>
      </c>
      <c r="G230" s="4">
        <v>6.11</v>
      </c>
      <c r="H230" s="4">
        <v>21.32</v>
      </c>
      <c r="I230" s="4">
        <v>57.23</v>
      </c>
      <c r="J230" s="4">
        <v>6.28</v>
      </c>
      <c r="K230" s="4">
        <v>21.19</v>
      </c>
      <c r="L230" s="4">
        <v>57.2</v>
      </c>
      <c r="M230" s="4">
        <v>6.22</v>
      </c>
    </row>
    <row r="231" spans="1:13" x14ac:dyDescent="0.3">
      <c r="B231" s="3">
        <v>22.33</v>
      </c>
      <c r="C231" s="3">
        <v>64.84</v>
      </c>
      <c r="D231" s="3">
        <v>5.55</v>
      </c>
      <c r="E231" s="3">
        <v>20.39</v>
      </c>
      <c r="F231" s="3">
        <v>64.709999999999994</v>
      </c>
      <c r="G231" s="3">
        <v>5.79</v>
      </c>
      <c r="H231" s="3">
        <v>20.61</v>
      </c>
      <c r="I231" s="3">
        <v>57.24</v>
      </c>
      <c r="J231" s="3">
        <v>5.72</v>
      </c>
      <c r="K231" s="3">
        <v>20.079999999999998</v>
      </c>
      <c r="L231" s="3">
        <v>42.23</v>
      </c>
      <c r="M231" s="3">
        <v>5.87</v>
      </c>
    </row>
    <row r="232" spans="1:13" x14ac:dyDescent="0.3">
      <c r="B232" s="4">
        <v>7.83</v>
      </c>
      <c r="C232" s="4">
        <v>19.78</v>
      </c>
      <c r="D232" s="4">
        <v>9.83</v>
      </c>
      <c r="E232" s="4">
        <v>10.68</v>
      </c>
      <c r="F232" s="4">
        <v>27.19</v>
      </c>
      <c r="G232" s="4">
        <v>8.9700000000000006</v>
      </c>
      <c r="H232" s="4">
        <v>7.59</v>
      </c>
      <c r="I232" s="4">
        <v>19.760000000000002</v>
      </c>
      <c r="J232" s="4">
        <v>10.119999999999999</v>
      </c>
      <c r="K232" s="4">
        <v>8.48</v>
      </c>
      <c r="L232" s="4">
        <v>19.68</v>
      </c>
      <c r="M232" s="4">
        <v>9.86</v>
      </c>
    </row>
    <row r="233" spans="1:13" x14ac:dyDescent="0.3">
      <c r="B233" s="3">
        <v>4.88</v>
      </c>
      <c r="C233" s="3">
        <v>19.5</v>
      </c>
      <c r="D233" s="3">
        <v>11.2</v>
      </c>
      <c r="E233" s="3">
        <v>5.7</v>
      </c>
      <c r="F233" s="3">
        <v>19.489999999999998</v>
      </c>
      <c r="G233" s="3">
        <v>10.43</v>
      </c>
      <c r="H233" s="3">
        <v>8.2100000000000009</v>
      </c>
      <c r="I233" s="3">
        <v>19.489999999999998</v>
      </c>
      <c r="J233" s="3">
        <v>9.41</v>
      </c>
      <c r="K233" s="3">
        <v>5.09</v>
      </c>
      <c r="L233" s="3">
        <v>11.99</v>
      </c>
      <c r="M233" s="3">
        <v>10.9</v>
      </c>
    </row>
    <row r="234" spans="1:13" x14ac:dyDescent="0.3">
      <c r="B234" s="4">
        <v>7.77</v>
      </c>
      <c r="C234" s="4">
        <v>42.19</v>
      </c>
      <c r="D234" s="4">
        <v>10.09</v>
      </c>
      <c r="E234" s="4">
        <v>6.69</v>
      </c>
      <c r="F234" s="4">
        <v>42.44</v>
      </c>
      <c r="G234" s="4">
        <v>10.050000000000001</v>
      </c>
      <c r="H234" s="4">
        <v>6.86</v>
      </c>
      <c r="I234" s="4">
        <v>35.18</v>
      </c>
      <c r="J234" s="4">
        <v>10.119999999999999</v>
      </c>
      <c r="K234" s="4">
        <v>6.75</v>
      </c>
      <c r="L234" s="4">
        <v>42.34</v>
      </c>
      <c r="M234" s="4">
        <v>10.36</v>
      </c>
    </row>
    <row r="235" spans="1:13" x14ac:dyDescent="0.3">
      <c r="B235" s="3">
        <v>24.87</v>
      </c>
      <c r="C235" s="3">
        <v>64.739999999999995</v>
      </c>
      <c r="D235" s="3">
        <v>5.86</v>
      </c>
      <c r="E235" s="3">
        <v>23.07</v>
      </c>
      <c r="F235" s="3">
        <v>51.06</v>
      </c>
      <c r="G235" s="3">
        <v>5.76</v>
      </c>
      <c r="H235" s="3">
        <v>25.13</v>
      </c>
      <c r="I235" s="3">
        <v>57.16</v>
      </c>
      <c r="J235" s="3">
        <v>5.6</v>
      </c>
      <c r="K235" s="3">
        <v>22.52</v>
      </c>
      <c r="L235" s="3">
        <v>57.29</v>
      </c>
      <c r="M235" s="3">
        <v>5.9</v>
      </c>
    </row>
    <row r="236" spans="1:13" x14ac:dyDescent="0.3">
      <c r="B236" s="4">
        <v>24.99</v>
      </c>
      <c r="C236" s="4">
        <v>49.7</v>
      </c>
      <c r="D236" s="4">
        <v>6.01</v>
      </c>
      <c r="E236" s="4">
        <v>23.74</v>
      </c>
      <c r="F236" s="4">
        <v>49.7</v>
      </c>
      <c r="G236" s="4">
        <v>5.63</v>
      </c>
      <c r="H236" s="4">
        <v>22.21</v>
      </c>
      <c r="I236" s="4">
        <v>64.650000000000006</v>
      </c>
      <c r="J236" s="4">
        <v>6.15</v>
      </c>
      <c r="K236" s="4">
        <v>29.18</v>
      </c>
      <c r="L236" s="4">
        <v>57.29</v>
      </c>
      <c r="M236" s="4">
        <v>5.55</v>
      </c>
    </row>
    <row r="237" spans="1:13" x14ac:dyDescent="0.3">
      <c r="B237" s="3">
        <v>33.340000000000003</v>
      </c>
      <c r="C237" s="3">
        <v>64.77</v>
      </c>
      <c r="D237" s="3">
        <v>4.43</v>
      </c>
      <c r="E237" s="3">
        <v>38.36</v>
      </c>
      <c r="F237" s="3">
        <v>72.3</v>
      </c>
      <c r="G237" s="3">
        <v>4.1900000000000004</v>
      </c>
      <c r="H237" s="3">
        <v>31.78</v>
      </c>
      <c r="I237" s="3">
        <v>64.739999999999995</v>
      </c>
      <c r="J237" s="3">
        <v>4.09</v>
      </c>
      <c r="K237" s="3">
        <v>31.86</v>
      </c>
      <c r="L237" s="3">
        <v>72.48</v>
      </c>
      <c r="M237" s="3">
        <v>4.5999999999999996</v>
      </c>
    </row>
    <row r="238" spans="1:13" x14ac:dyDescent="0.3">
      <c r="B238" s="4">
        <v>9.9700000000000006</v>
      </c>
      <c r="C238" s="4">
        <v>27.32</v>
      </c>
      <c r="D238" s="4">
        <v>8.51</v>
      </c>
      <c r="E238" s="4">
        <v>8.91</v>
      </c>
      <c r="F238" s="4">
        <v>42.29</v>
      </c>
      <c r="G238" s="4">
        <v>8.19</v>
      </c>
      <c r="H238" s="4">
        <v>11.34</v>
      </c>
      <c r="I238" s="4">
        <v>34.83</v>
      </c>
      <c r="J238" s="4">
        <v>7.97</v>
      </c>
      <c r="K238" s="4">
        <v>9.7100000000000009</v>
      </c>
      <c r="L238" s="4">
        <v>27.29</v>
      </c>
      <c r="M238" s="4">
        <v>8.7100000000000009</v>
      </c>
    </row>
    <row r="239" spans="1:13" x14ac:dyDescent="0.3">
      <c r="B239" s="3">
        <v>9.2100000000000009</v>
      </c>
      <c r="C239" s="3">
        <v>27.45</v>
      </c>
      <c r="D239" s="3">
        <v>8.67</v>
      </c>
      <c r="E239" s="3">
        <v>10.23</v>
      </c>
      <c r="F239" s="3">
        <v>19.89</v>
      </c>
      <c r="G239" s="3">
        <v>8.56</v>
      </c>
      <c r="H239" s="3">
        <v>11.55</v>
      </c>
      <c r="I239" s="3">
        <v>19.84</v>
      </c>
      <c r="J239" s="3">
        <v>7.9</v>
      </c>
      <c r="K239" s="3">
        <v>8.2799999999999994</v>
      </c>
      <c r="L239" s="3">
        <v>19.82</v>
      </c>
      <c r="M239" s="3">
        <v>8.98</v>
      </c>
    </row>
    <row r="240" spans="1:13" x14ac:dyDescent="0.3">
      <c r="B240" s="4">
        <v>3.6</v>
      </c>
      <c r="C240" s="4">
        <v>12.34</v>
      </c>
      <c r="D240" s="4">
        <v>11.44</v>
      </c>
      <c r="E240" s="4">
        <v>2.1</v>
      </c>
      <c r="F240" s="4">
        <v>12.22</v>
      </c>
      <c r="G240" s="4">
        <v>12.69</v>
      </c>
      <c r="H240" s="4">
        <v>4.42</v>
      </c>
      <c r="I240" s="4">
        <v>5</v>
      </c>
      <c r="J240" s="4">
        <v>11.86</v>
      </c>
      <c r="K240" s="4">
        <v>4.16</v>
      </c>
      <c r="L240" s="4">
        <v>4.59</v>
      </c>
      <c r="M240" s="4">
        <v>11.35</v>
      </c>
    </row>
    <row r="241" spans="1:13" x14ac:dyDescent="0.3">
      <c r="B241" s="3">
        <v>14.51</v>
      </c>
      <c r="C241" s="3">
        <v>50.25</v>
      </c>
      <c r="D241" s="3">
        <v>7.83</v>
      </c>
      <c r="E241" s="3">
        <v>13.95</v>
      </c>
      <c r="F241" s="3">
        <v>43.52</v>
      </c>
      <c r="G241" s="3">
        <v>7.9</v>
      </c>
      <c r="H241" s="3">
        <v>13.49</v>
      </c>
      <c r="I241" s="3">
        <v>49.81</v>
      </c>
      <c r="J241" s="3">
        <v>8</v>
      </c>
      <c r="K241" s="3">
        <v>13.86</v>
      </c>
      <c r="L241" s="3">
        <v>57.44</v>
      </c>
      <c r="M241" s="3">
        <v>7.31</v>
      </c>
    </row>
    <row r="242" spans="1:13" x14ac:dyDescent="0.3">
      <c r="B242" s="4">
        <v>26.25</v>
      </c>
      <c r="C242" s="4">
        <v>57.6</v>
      </c>
      <c r="D242" s="4">
        <v>5.5</v>
      </c>
      <c r="E242" s="4">
        <v>23.21</v>
      </c>
      <c r="F242" s="4">
        <v>49.77</v>
      </c>
      <c r="G242" s="4">
        <v>6.01</v>
      </c>
      <c r="H242" s="4">
        <v>20.89</v>
      </c>
      <c r="I242" s="4">
        <v>57.42</v>
      </c>
      <c r="J242" s="4">
        <v>6.19</v>
      </c>
      <c r="K242" s="4">
        <v>16.89</v>
      </c>
      <c r="L242" s="4">
        <v>51.21</v>
      </c>
      <c r="M242" s="4">
        <v>6.52</v>
      </c>
    </row>
    <row r="243" spans="1:13" x14ac:dyDescent="0.3">
      <c r="B243" s="3">
        <v>19.47</v>
      </c>
      <c r="C243" s="3">
        <v>72.39</v>
      </c>
      <c r="D243" s="3">
        <v>5.0999999999999996</v>
      </c>
      <c r="E243" s="3">
        <v>21.11</v>
      </c>
      <c r="F243" s="3">
        <v>57.25</v>
      </c>
      <c r="G243" s="3">
        <v>4.18</v>
      </c>
      <c r="H243" s="3">
        <v>22.31</v>
      </c>
      <c r="I243" s="3">
        <v>57.27</v>
      </c>
      <c r="J243" s="3">
        <v>4.2</v>
      </c>
      <c r="K243" s="3">
        <v>18.760000000000002</v>
      </c>
      <c r="L243" s="3">
        <v>42.32</v>
      </c>
      <c r="M243" s="3">
        <v>5.22</v>
      </c>
    </row>
    <row r="244" spans="1:13" x14ac:dyDescent="0.3">
      <c r="B244" s="4">
        <v>6.58</v>
      </c>
      <c r="C244" s="4">
        <v>19.850000000000001</v>
      </c>
      <c r="D244" s="4">
        <v>10.15</v>
      </c>
      <c r="E244" s="4">
        <v>8.98</v>
      </c>
      <c r="F244" s="4">
        <v>27.09</v>
      </c>
      <c r="G244" s="4">
        <v>9.0399999999999991</v>
      </c>
      <c r="H244" s="4">
        <v>5.89</v>
      </c>
      <c r="I244" s="4">
        <v>12.29</v>
      </c>
      <c r="J244" s="4">
        <v>10.11</v>
      </c>
      <c r="K244" s="4">
        <v>7.32</v>
      </c>
      <c r="L244" s="4">
        <v>12.49</v>
      </c>
      <c r="M244" s="4">
        <v>10.14</v>
      </c>
    </row>
    <row r="245" spans="1:13" x14ac:dyDescent="0.3">
      <c r="B245" s="3">
        <v>5.32</v>
      </c>
      <c r="C245" s="3">
        <v>19.59</v>
      </c>
      <c r="D245" s="3">
        <v>10.89</v>
      </c>
      <c r="E245" s="3">
        <v>4.3899999999999997</v>
      </c>
      <c r="F245" s="3">
        <v>12.09</v>
      </c>
      <c r="G245" s="3">
        <v>11.71</v>
      </c>
      <c r="H245" s="3">
        <v>7.66</v>
      </c>
      <c r="I245" s="3">
        <v>12.35</v>
      </c>
      <c r="J245" s="3">
        <v>9.73</v>
      </c>
      <c r="K245" s="3">
        <v>3.69</v>
      </c>
      <c r="L245" s="3">
        <v>4.59</v>
      </c>
      <c r="M245" s="3">
        <v>11.72</v>
      </c>
    </row>
    <row r="246" spans="1:13" x14ac:dyDescent="0.3">
      <c r="B246" s="4">
        <v>9.2799999999999994</v>
      </c>
      <c r="C246" s="4">
        <v>49.84</v>
      </c>
      <c r="D246" s="4">
        <v>9.36</v>
      </c>
      <c r="E246" s="4">
        <v>7.27</v>
      </c>
      <c r="F246" s="4">
        <v>42.32</v>
      </c>
      <c r="G246" s="4">
        <v>9.25</v>
      </c>
      <c r="H246" s="4">
        <v>7.71</v>
      </c>
      <c r="I246" s="4">
        <v>42.29</v>
      </c>
      <c r="J246" s="4">
        <v>9.64</v>
      </c>
      <c r="K246" s="4">
        <v>7.71</v>
      </c>
      <c r="L246" s="4">
        <v>42.35</v>
      </c>
      <c r="M246" s="4">
        <v>9.4</v>
      </c>
    </row>
    <row r="247" spans="1:13" x14ac:dyDescent="0.3">
      <c r="B247" s="3">
        <v>27.49</v>
      </c>
      <c r="C247" s="3">
        <v>57.31</v>
      </c>
      <c r="D247" s="3">
        <v>4.8899999999999997</v>
      </c>
      <c r="E247" s="3">
        <v>23.52</v>
      </c>
      <c r="F247" s="3">
        <v>64.87</v>
      </c>
      <c r="G247" s="3">
        <v>5.12</v>
      </c>
      <c r="H247" s="3">
        <v>26.73</v>
      </c>
      <c r="I247" s="3">
        <v>57.39</v>
      </c>
      <c r="J247" s="3">
        <v>4.7699999999999996</v>
      </c>
      <c r="K247" s="3">
        <v>21.98</v>
      </c>
      <c r="L247" s="3">
        <v>57.25</v>
      </c>
      <c r="M247" s="3">
        <v>5.23</v>
      </c>
    </row>
    <row r="248" spans="1:13" x14ac:dyDescent="0.3">
      <c r="B248" s="4">
        <v>27.01</v>
      </c>
      <c r="C248" s="4">
        <v>57.38</v>
      </c>
      <c r="D248" s="4">
        <v>5.23</v>
      </c>
      <c r="E248" s="4">
        <v>24</v>
      </c>
      <c r="F248" s="4">
        <v>49.86</v>
      </c>
      <c r="G248" s="4">
        <v>5.74</v>
      </c>
      <c r="H248" s="4">
        <v>21.82</v>
      </c>
      <c r="I248" s="4">
        <v>64.739999999999995</v>
      </c>
      <c r="J248" s="4">
        <v>5.46</v>
      </c>
      <c r="K248" s="4">
        <v>26.89</v>
      </c>
      <c r="L248" s="4">
        <v>64.739999999999995</v>
      </c>
      <c r="M248" s="4">
        <v>5.24</v>
      </c>
    </row>
    <row r="250" spans="1:13" x14ac:dyDescent="0.3">
      <c r="A250" s="5" t="s">
        <v>42</v>
      </c>
      <c r="B250" s="5">
        <f>AVERAGE(B225:B248)</f>
        <v>15.913333333333332</v>
      </c>
      <c r="C250" s="5">
        <f t="shared" ref="C250:M250" si="17">AVERAGE(C225:C248)</f>
        <v>42.04291666666667</v>
      </c>
      <c r="D250" s="5">
        <f t="shared" si="17"/>
        <v>7.8104166666666677</v>
      </c>
      <c r="E250" s="5">
        <f t="shared" si="17"/>
        <v>15.576249999999996</v>
      </c>
      <c r="F250" s="5">
        <f t="shared" si="17"/>
        <v>40.190416666666671</v>
      </c>
      <c r="G250" s="5">
        <f t="shared" si="17"/>
        <v>7.8608333333333347</v>
      </c>
      <c r="H250" s="5">
        <f t="shared" si="17"/>
        <v>15.494999999999999</v>
      </c>
      <c r="I250" s="5">
        <f t="shared" si="17"/>
        <v>40.458749999999995</v>
      </c>
      <c r="J250" s="5">
        <f t="shared" si="17"/>
        <v>7.705000000000001</v>
      </c>
      <c r="K250" s="5">
        <f t="shared" si="17"/>
        <v>14.514999999999999</v>
      </c>
      <c r="L250" s="5">
        <f t="shared" si="17"/>
        <v>38.059166666666677</v>
      </c>
      <c r="M250" s="5">
        <f t="shared" si="17"/>
        <v>7.9970833333333351</v>
      </c>
    </row>
    <row r="251" spans="1:13" x14ac:dyDescent="0.3">
      <c r="A251" s="5" t="s">
        <v>35</v>
      </c>
      <c r="B251" s="5">
        <f>AVERAGE(B250,E250,H250,K250)</f>
        <v>15.374895833333332</v>
      </c>
      <c r="C251" s="5">
        <f t="shared" ref="C251" si="18">AVERAGE(C250,F250,I250,L250)</f>
        <v>40.187812500000007</v>
      </c>
      <c r="D251" s="5">
        <f t="shared" ref="D251" si="19">AVERAGE(D250,G250,J250,M250)</f>
        <v>7.8433333333333346</v>
      </c>
      <c r="E251" s="5"/>
      <c r="F251" s="5"/>
      <c r="G251" s="5"/>
      <c r="H251" s="5"/>
      <c r="I251" s="5"/>
      <c r="J251" s="5"/>
      <c r="K251" s="5"/>
      <c r="L251" s="5"/>
      <c r="M251" s="5"/>
    </row>
    <row r="253" spans="1:13" x14ac:dyDescent="0.3">
      <c r="A253" t="s">
        <v>28</v>
      </c>
      <c r="B253" s="3">
        <v>22.16</v>
      </c>
      <c r="C253" s="3">
        <v>49.9</v>
      </c>
      <c r="D253" s="3">
        <v>4.92</v>
      </c>
      <c r="E253" s="3">
        <v>29.6</v>
      </c>
      <c r="F253" s="3">
        <v>57.44</v>
      </c>
      <c r="G253" s="3">
        <v>4.55</v>
      </c>
      <c r="H253" s="3">
        <v>23.1</v>
      </c>
      <c r="I253" s="3">
        <v>43.38</v>
      </c>
      <c r="J253" s="3">
        <v>5.62</v>
      </c>
      <c r="K253" s="3">
        <v>31.12</v>
      </c>
      <c r="L253" s="3">
        <v>57.35</v>
      </c>
      <c r="M253" s="3">
        <v>4.6100000000000003</v>
      </c>
    </row>
    <row r="254" spans="1:13" x14ac:dyDescent="0.3">
      <c r="B254" s="4">
        <v>6.19</v>
      </c>
      <c r="C254" s="4">
        <v>19.8</v>
      </c>
      <c r="D254" s="4">
        <v>11.76</v>
      </c>
      <c r="E254" s="4">
        <v>7.01</v>
      </c>
      <c r="F254" s="4">
        <v>19.82</v>
      </c>
      <c r="G254" s="4">
        <v>11.04</v>
      </c>
      <c r="H254" s="4">
        <v>8.43</v>
      </c>
      <c r="I254" s="4">
        <v>27.13</v>
      </c>
      <c r="J254" s="4">
        <v>10.45</v>
      </c>
      <c r="K254" s="4">
        <v>11.13</v>
      </c>
      <c r="L254" s="4">
        <v>34.78</v>
      </c>
      <c r="M254" s="4">
        <v>9.35</v>
      </c>
    </row>
    <row r="255" spans="1:13" x14ac:dyDescent="0.3">
      <c r="B255" s="3">
        <v>7.32</v>
      </c>
      <c r="C255" s="3">
        <v>12.36</v>
      </c>
      <c r="D255" s="3">
        <v>11.29</v>
      </c>
      <c r="E255" s="3">
        <v>5.76</v>
      </c>
      <c r="F255" s="3">
        <v>4.63</v>
      </c>
      <c r="G255" s="3">
        <v>12.45</v>
      </c>
      <c r="H255" s="3">
        <v>6.51</v>
      </c>
      <c r="I255" s="3">
        <v>12.34</v>
      </c>
      <c r="J255" s="3">
        <v>11.73</v>
      </c>
      <c r="K255" s="3">
        <v>8.49</v>
      </c>
      <c r="L255" s="3">
        <v>19.87</v>
      </c>
      <c r="M255" s="3">
        <v>11.02</v>
      </c>
    </row>
    <row r="256" spans="1:13" x14ac:dyDescent="0.3">
      <c r="B256" s="4">
        <v>4.83</v>
      </c>
      <c r="C256" s="4">
        <v>21.17</v>
      </c>
      <c r="D256" s="4">
        <v>13.08</v>
      </c>
      <c r="E256" s="4">
        <v>2.71</v>
      </c>
      <c r="F256" s="4">
        <v>21.22</v>
      </c>
      <c r="G256" s="4">
        <v>14.81</v>
      </c>
      <c r="H256" s="4">
        <v>3.84</v>
      </c>
      <c r="I256" s="4">
        <v>19.98</v>
      </c>
      <c r="J256" s="4">
        <v>13.45</v>
      </c>
      <c r="K256" s="4">
        <v>7.38</v>
      </c>
      <c r="L256" s="4">
        <v>21.27</v>
      </c>
      <c r="M256" s="4">
        <v>11.82</v>
      </c>
    </row>
    <row r="257" spans="2:13" x14ac:dyDescent="0.3">
      <c r="B257" s="3">
        <v>13.56</v>
      </c>
      <c r="C257" s="3">
        <v>42.4</v>
      </c>
      <c r="D257" s="3">
        <v>8.2799999999999994</v>
      </c>
      <c r="E257" s="3">
        <v>11.06</v>
      </c>
      <c r="F257" s="3">
        <v>42.62</v>
      </c>
      <c r="G257" s="3">
        <v>8.59</v>
      </c>
      <c r="H257" s="3">
        <v>14.48</v>
      </c>
      <c r="I257" s="3">
        <v>49.9</v>
      </c>
      <c r="J257" s="3">
        <v>8.73</v>
      </c>
      <c r="K257" s="3">
        <v>14.77</v>
      </c>
      <c r="L257" s="3">
        <v>49.93</v>
      </c>
      <c r="M257" s="3">
        <v>8.43</v>
      </c>
    </row>
    <row r="258" spans="2:13" x14ac:dyDescent="0.3">
      <c r="B258" s="4">
        <v>18.899999999999999</v>
      </c>
      <c r="C258" s="4">
        <v>57.4</v>
      </c>
      <c r="D258" s="4">
        <v>6.59</v>
      </c>
      <c r="E258" s="4">
        <v>18.420000000000002</v>
      </c>
      <c r="F258" s="4">
        <v>57.25</v>
      </c>
      <c r="G258" s="4">
        <v>6.09</v>
      </c>
      <c r="H258" s="4">
        <v>19.670000000000002</v>
      </c>
      <c r="I258" s="4">
        <v>49.82</v>
      </c>
      <c r="J258" s="4">
        <v>5.83</v>
      </c>
      <c r="K258" s="4">
        <v>17.989999999999998</v>
      </c>
      <c r="L258" s="4">
        <v>57.4</v>
      </c>
      <c r="M258" s="4">
        <v>6.26</v>
      </c>
    </row>
    <row r="259" spans="2:13" x14ac:dyDescent="0.3">
      <c r="B259" s="3">
        <v>13.19</v>
      </c>
      <c r="C259" s="3">
        <v>42.54</v>
      </c>
      <c r="D259" s="3">
        <v>7.53</v>
      </c>
      <c r="E259" s="3">
        <v>13.3</v>
      </c>
      <c r="F259" s="3">
        <v>49.94</v>
      </c>
      <c r="G259" s="3">
        <v>7.23</v>
      </c>
      <c r="H259" s="3">
        <v>15.88</v>
      </c>
      <c r="I259" s="3">
        <v>49.87</v>
      </c>
      <c r="J259" s="3">
        <v>6.54</v>
      </c>
      <c r="K259" s="3">
        <v>14.88</v>
      </c>
      <c r="L259" s="3">
        <v>49.94</v>
      </c>
      <c r="M259" s="3">
        <v>6.59</v>
      </c>
    </row>
    <row r="260" spans="2:13" x14ac:dyDescent="0.3">
      <c r="B260" s="4">
        <v>6.38</v>
      </c>
      <c r="C260" s="4">
        <v>12.41</v>
      </c>
      <c r="D260" s="4">
        <v>12.31</v>
      </c>
      <c r="E260" s="4">
        <v>5.73</v>
      </c>
      <c r="F260" s="4">
        <v>12.5</v>
      </c>
      <c r="G260" s="4">
        <v>12.73</v>
      </c>
      <c r="H260" s="4">
        <v>5.33</v>
      </c>
      <c r="I260" s="4">
        <v>12.37</v>
      </c>
      <c r="J260" s="4">
        <v>13.03</v>
      </c>
      <c r="K260" s="4">
        <v>4.97</v>
      </c>
      <c r="L260" s="4">
        <v>12.3</v>
      </c>
      <c r="M260" s="4">
        <v>13.03</v>
      </c>
    </row>
    <row r="261" spans="2:13" x14ac:dyDescent="0.3">
      <c r="B261" s="3">
        <v>5.4</v>
      </c>
      <c r="C261" s="3">
        <v>13.46</v>
      </c>
      <c r="D261" s="3">
        <v>12.78</v>
      </c>
      <c r="E261" s="3">
        <v>6.76</v>
      </c>
      <c r="F261" s="3">
        <v>13.47</v>
      </c>
      <c r="G261" s="3">
        <v>11.81</v>
      </c>
      <c r="H261" s="3">
        <v>5</v>
      </c>
      <c r="I261" s="3">
        <v>13.47</v>
      </c>
      <c r="J261" s="3">
        <v>13.23</v>
      </c>
      <c r="K261" s="3">
        <v>6.01</v>
      </c>
      <c r="L261" s="3">
        <v>13.43</v>
      </c>
      <c r="M261" s="3">
        <v>12.32</v>
      </c>
    </row>
    <row r="262" spans="2:13" x14ac:dyDescent="0.3">
      <c r="B262" s="4">
        <v>8.9700000000000006</v>
      </c>
      <c r="C262" s="4">
        <v>50.02</v>
      </c>
      <c r="D262" s="4">
        <v>10.79</v>
      </c>
      <c r="E262" s="4">
        <v>9.6199999999999992</v>
      </c>
      <c r="F262" s="4">
        <v>50.01</v>
      </c>
      <c r="G262" s="4">
        <v>10.18</v>
      </c>
      <c r="H262" s="4">
        <v>9.25</v>
      </c>
      <c r="I262" s="4">
        <v>49.83</v>
      </c>
      <c r="J262" s="4">
        <v>10.23</v>
      </c>
      <c r="K262" s="4">
        <v>7.24</v>
      </c>
      <c r="L262" s="4">
        <v>42.36</v>
      </c>
      <c r="M262" s="4">
        <v>10.87</v>
      </c>
    </row>
    <row r="263" spans="2:13" x14ac:dyDescent="0.3">
      <c r="B263" s="3">
        <v>20.65</v>
      </c>
      <c r="C263" s="3">
        <v>49.8</v>
      </c>
      <c r="D263" s="3">
        <v>5.22</v>
      </c>
      <c r="E263" s="3">
        <v>19.21</v>
      </c>
      <c r="F263" s="3">
        <v>49.88</v>
      </c>
      <c r="G263" s="3">
        <v>5.53</v>
      </c>
      <c r="H263" s="3">
        <v>22.44</v>
      </c>
      <c r="I263" s="3">
        <v>57.34</v>
      </c>
      <c r="J263" s="3">
        <v>5.16</v>
      </c>
      <c r="K263" s="3">
        <v>19.39</v>
      </c>
      <c r="L263" s="3">
        <v>49.87</v>
      </c>
      <c r="M263" s="3">
        <v>5.51</v>
      </c>
    </row>
    <row r="264" spans="2:13" x14ac:dyDescent="0.3">
      <c r="B264" s="4">
        <v>14.29</v>
      </c>
      <c r="C264" s="4">
        <v>49.92</v>
      </c>
      <c r="D264" s="4">
        <v>8.1300000000000008</v>
      </c>
      <c r="E264" s="4">
        <v>16.79</v>
      </c>
      <c r="F264" s="4">
        <v>49.89</v>
      </c>
      <c r="G264" s="4">
        <v>6.99</v>
      </c>
      <c r="H264" s="4">
        <v>16.670000000000002</v>
      </c>
      <c r="I264" s="4">
        <v>49.94</v>
      </c>
      <c r="J264" s="4">
        <v>7.57</v>
      </c>
      <c r="K264" s="4">
        <v>20.010000000000002</v>
      </c>
      <c r="L264" s="4">
        <v>49.87</v>
      </c>
      <c r="M264" s="4">
        <v>7.12</v>
      </c>
    </row>
    <row r="265" spans="2:13" x14ac:dyDescent="0.3">
      <c r="B265" s="3">
        <v>28.49</v>
      </c>
      <c r="C265" s="3">
        <v>65.05</v>
      </c>
      <c r="D265" s="3">
        <v>5.04</v>
      </c>
      <c r="E265" s="3">
        <v>33.700000000000003</v>
      </c>
      <c r="F265" s="3">
        <v>65.5</v>
      </c>
      <c r="G265" s="3">
        <v>4.8600000000000003</v>
      </c>
      <c r="H265" s="3">
        <v>28.3</v>
      </c>
      <c r="I265" s="3">
        <v>50.87</v>
      </c>
      <c r="J265" s="3">
        <v>5.33</v>
      </c>
      <c r="K265" s="3">
        <v>34.25</v>
      </c>
      <c r="L265" s="3">
        <v>72.459999999999994</v>
      </c>
      <c r="M265" s="3">
        <v>5.0199999999999996</v>
      </c>
    </row>
    <row r="266" spans="2:13" x14ac:dyDescent="0.3">
      <c r="B266" s="4">
        <v>8.2200000000000006</v>
      </c>
      <c r="C266" s="4">
        <v>27.49</v>
      </c>
      <c r="D266" s="4">
        <v>10.4</v>
      </c>
      <c r="E266" s="4">
        <v>8.42</v>
      </c>
      <c r="F266" s="4">
        <v>27.47</v>
      </c>
      <c r="G266" s="4">
        <v>10.67</v>
      </c>
      <c r="H266" s="4">
        <v>12.78</v>
      </c>
      <c r="I266" s="4">
        <v>27.56</v>
      </c>
      <c r="J266" s="4">
        <v>8.86</v>
      </c>
      <c r="K266" s="4">
        <v>13.2</v>
      </c>
      <c r="L266" s="4">
        <v>42.51</v>
      </c>
      <c r="M266" s="4">
        <v>8.01</v>
      </c>
    </row>
    <row r="267" spans="2:13" x14ac:dyDescent="0.3">
      <c r="B267" s="3">
        <v>8.5299999999999994</v>
      </c>
      <c r="C267" s="3">
        <v>19.96</v>
      </c>
      <c r="D267" s="3">
        <v>10.23</v>
      </c>
      <c r="E267" s="3">
        <v>7.5</v>
      </c>
      <c r="F267" s="3">
        <v>12.47</v>
      </c>
      <c r="G267" s="3">
        <v>11.69</v>
      </c>
      <c r="H267" s="3">
        <v>9.48</v>
      </c>
      <c r="I267" s="3">
        <v>12.58</v>
      </c>
      <c r="J267" s="3">
        <v>10.16</v>
      </c>
      <c r="K267" s="3">
        <v>12.04</v>
      </c>
      <c r="L267" s="3">
        <v>27.56</v>
      </c>
      <c r="M267" s="3">
        <v>9.4</v>
      </c>
    </row>
    <row r="268" spans="2:13" x14ac:dyDescent="0.3">
      <c r="B268" s="4">
        <v>7.39</v>
      </c>
      <c r="C268" s="4">
        <v>21.33</v>
      </c>
      <c r="D268" s="4">
        <v>11.13</v>
      </c>
      <c r="E268" s="4">
        <v>4.08</v>
      </c>
      <c r="F268" s="4">
        <v>21.28</v>
      </c>
      <c r="G268" s="4">
        <v>13.7</v>
      </c>
      <c r="H268" s="4">
        <v>8.74</v>
      </c>
      <c r="I268" s="4">
        <v>21.11</v>
      </c>
      <c r="J268" s="4">
        <v>10.16</v>
      </c>
      <c r="K268" s="4">
        <v>6.61</v>
      </c>
      <c r="L268" s="4">
        <v>21.61</v>
      </c>
      <c r="M268" s="4">
        <v>11.86</v>
      </c>
    </row>
    <row r="269" spans="2:13" x14ac:dyDescent="0.3">
      <c r="B269" s="3">
        <v>16.46</v>
      </c>
      <c r="C269" s="3">
        <v>49.94</v>
      </c>
      <c r="D269" s="3">
        <v>7.99</v>
      </c>
      <c r="E269" s="3">
        <v>15.54</v>
      </c>
      <c r="F269" s="3">
        <v>50.19</v>
      </c>
      <c r="G269" s="3">
        <v>7.76</v>
      </c>
      <c r="H269" s="3">
        <v>17.23</v>
      </c>
      <c r="I269" s="3">
        <v>49.94</v>
      </c>
      <c r="J269" s="3">
        <v>8.31</v>
      </c>
      <c r="K269" s="3">
        <v>14.48</v>
      </c>
      <c r="L269" s="3">
        <v>50.16</v>
      </c>
      <c r="M269" s="3">
        <v>8.44</v>
      </c>
    </row>
    <row r="270" spans="2:13" x14ac:dyDescent="0.3">
      <c r="B270" s="4">
        <v>23.45</v>
      </c>
      <c r="C270" s="4">
        <v>58.48</v>
      </c>
      <c r="D270" s="4">
        <v>6.1</v>
      </c>
      <c r="E270" s="4">
        <v>23.87</v>
      </c>
      <c r="F270" s="4">
        <v>65.12</v>
      </c>
      <c r="G270" s="4">
        <v>6.07</v>
      </c>
      <c r="H270" s="4">
        <v>22.58</v>
      </c>
      <c r="I270" s="4">
        <v>57.55</v>
      </c>
      <c r="J270" s="4">
        <v>6.25</v>
      </c>
      <c r="K270" s="4">
        <v>20.440000000000001</v>
      </c>
      <c r="L270" s="4">
        <v>57.7</v>
      </c>
      <c r="M270" s="4">
        <v>5.8</v>
      </c>
    </row>
    <row r="271" spans="2:13" x14ac:dyDescent="0.3">
      <c r="B271" s="3">
        <v>13.18</v>
      </c>
      <c r="C271" s="3">
        <v>43.59</v>
      </c>
      <c r="D271" s="3">
        <v>7.54</v>
      </c>
      <c r="E271" s="3">
        <v>17.04</v>
      </c>
      <c r="F271" s="3">
        <v>49.99</v>
      </c>
      <c r="G271" s="3">
        <v>5.71</v>
      </c>
      <c r="H271" s="3">
        <v>17.71</v>
      </c>
      <c r="I271" s="3">
        <v>57.53</v>
      </c>
      <c r="J271" s="3">
        <v>6.01</v>
      </c>
      <c r="K271" s="3">
        <v>18.309999999999999</v>
      </c>
      <c r="L271" s="3">
        <v>57.45</v>
      </c>
      <c r="M271" s="3">
        <v>6.31</v>
      </c>
    </row>
    <row r="272" spans="2:13" x14ac:dyDescent="0.3">
      <c r="B272" s="4">
        <v>6.92</v>
      </c>
      <c r="C272" s="4">
        <v>12.5</v>
      </c>
      <c r="D272" s="4">
        <v>11.01</v>
      </c>
      <c r="E272" s="4">
        <v>6.02</v>
      </c>
      <c r="F272" s="4">
        <v>20</v>
      </c>
      <c r="G272" s="4">
        <v>12.07</v>
      </c>
      <c r="H272" s="4">
        <v>6.99</v>
      </c>
      <c r="I272" s="4">
        <v>12.47</v>
      </c>
      <c r="J272" s="4">
        <v>10.68</v>
      </c>
      <c r="K272" s="4">
        <v>6.41</v>
      </c>
      <c r="L272" s="4">
        <v>19.95</v>
      </c>
      <c r="M272" s="4">
        <v>12.04</v>
      </c>
    </row>
    <row r="273" spans="1:13" x14ac:dyDescent="0.3">
      <c r="B273" s="3">
        <v>3.68</v>
      </c>
      <c r="C273" s="3">
        <v>20.03</v>
      </c>
      <c r="D273" s="3">
        <v>14.28</v>
      </c>
      <c r="E273" s="3">
        <v>7.07</v>
      </c>
      <c r="F273" s="3">
        <v>13.53</v>
      </c>
      <c r="G273" s="3">
        <v>11.81</v>
      </c>
      <c r="H273" s="3">
        <v>2.66</v>
      </c>
      <c r="I273" s="3">
        <v>12.97</v>
      </c>
      <c r="J273" s="3">
        <v>15.52</v>
      </c>
      <c r="K273" s="3">
        <v>3.53</v>
      </c>
      <c r="L273" s="3">
        <v>20.010000000000002</v>
      </c>
      <c r="M273" s="3">
        <v>13.99</v>
      </c>
    </row>
    <row r="274" spans="1:13" x14ac:dyDescent="0.3">
      <c r="B274" s="4">
        <v>12.31</v>
      </c>
      <c r="C274" s="4">
        <v>49.96</v>
      </c>
      <c r="D274" s="4">
        <v>9.6199999999999992</v>
      </c>
      <c r="E274" s="4">
        <v>11.97</v>
      </c>
      <c r="F274" s="4">
        <v>50.5</v>
      </c>
      <c r="G274" s="4">
        <v>9.5399999999999991</v>
      </c>
      <c r="H274" s="4">
        <v>12.28</v>
      </c>
      <c r="I274" s="4">
        <v>50.27</v>
      </c>
      <c r="J274" s="4">
        <v>9.83</v>
      </c>
      <c r="K274" s="4">
        <v>10.27</v>
      </c>
      <c r="L274" s="4">
        <v>42.53</v>
      </c>
      <c r="M274" s="4">
        <v>9.93</v>
      </c>
    </row>
    <row r="275" spans="1:13" x14ac:dyDescent="0.3">
      <c r="B275" s="3">
        <v>24.02</v>
      </c>
      <c r="C275" s="3">
        <v>57.45</v>
      </c>
      <c r="D275" s="3">
        <v>5.48</v>
      </c>
      <c r="E275" s="3">
        <v>21.99</v>
      </c>
      <c r="F275" s="3">
        <v>57.7</v>
      </c>
      <c r="G275" s="3">
        <v>6.24</v>
      </c>
      <c r="H275" s="3">
        <v>26.32</v>
      </c>
      <c r="I275" s="3">
        <v>57.47</v>
      </c>
      <c r="J275" s="3">
        <v>5.43</v>
      </c>
      <c r="K275" s="3">
        <v>22.5</v>
      </c>
      <c r="L275" s="3">
        <v>57.61</v>
      </c>
      <c r="M275" s="3">
        <v>5.73</v>
      </c>
    </row>
    <row r="276" spans="1:13" x14ac:dyDescent="0.3">
      <c r="B276" s="4">
        <v>16.84</v>
      </c>
      <c r="C276" s="4">
        <v>57.45</v>
      </c>
      <c r="D276" s="4">
        <v>7.32</v>
      </c>
      <c r="E276" s="4">
        <v>21</v>
      </c>
      <c r="F276" s="4">
        <v>65.010000000000005</v>
      </c>
      <c r="G276" s="4">
        <v>6.58</v>
      </c>
      <c r="H276" s="4">
        <v>22.34</v>
      </c>
      <c r="I276" s="4">
        <v>57.61</v>
      </c>
      <c r="J276" s="4">
        <v>6.37</v>
      </c>
      <c r="K276" s="4">
        <v>22.92</v>
      </c>
      <c r="L276" s="4">
        <v>57.51</v>
      </c>
      <c r="M276" s="4">
        <v>6.55</v>
      </c>
    </row>
    <row r="278" spans="1:13" x14ac:dyDescent="0.3">
      <c r="A278" s="5" t="s">
        <v>42</v>
      </c>
      <c r="B278" s="5">
        <f>AVERAGE(B253:B276)</f>
        <v>12.97208333333333</v>
      </c>
      <c r="C278" s="5">
        <f t="shared" ref="C278:M278" si="20">AVERAGE(C253:C276)</f>
        <v>37.683750000000011</v>
      </c>
      <c r="D278" s="5">
        <f t="shared" si="20"/>
        <v>9.1174999999999979</v>
      </c>
      <c r="E278" s="5">
        <f t="shared" si="20"/>
        <v>13.507083333333334</v>
      </c>
      <c r="F278" s="5">
        <f t="shared" si="20"/>
        <v>38.642916666666665</v>
      </c>
      <c r="G278" s="5">
        <f t="shared" si="20"/>
        <v>9.1125000000000007</v>
      </c>
      <c r="H278" s="5">
        <f t="shared" si="20"/>
        <v>14.08375</v>
      </c>
      <c r="I278" s="5">
        <f t="shared" si="20"/>
        <v>37.637500000000003</v>
      </c>
      <c r="J278" s="5">
        <f t="shared" si="20"/>
        <v>8.9366666666666674</v>
      </c>
      <c r="K278" s="5">
        <f t="shared" si="20"/>
        <v>14.514166666666666</v>
      </c>
      <c r="L278" s="5">
        <f t="shared" si="20"/>
        <v>41.059583333333336</v>
      </c>
      <c r="M278" s="5">
        <f t="shared" si="20"/>
        <v>8.7504166666666681</v>
      </c>
    </row>
    <row r="279" spans="1:13" x14ac:dyDescent="0.3">
      <c r="A279" s="5" t="s">
        <v>35</v>
      </c>
      <c r="B279" s="5">
        <f>AVERAGE(B278,E278,H278,K278)</f>
        <v>13.769270833333334</v>
      </c>
      <c r="C279" s="5">
        <f t="shared" ref="C279" si="21">AVERAGE(C278,F278,I278,L278)</f>
        <v>38.755937500000002</v>
      </c>
      <c r="D279" s="5">
        <f t="shared" ref="D279" si="22">AVERAGE(D278,G278,J278,M278)</f>
        <v>8.9792708333333326</v>
      </c>
      <c r="E279" s="5"/>
      <c r="F279" s="5"/>
      <c r="G279" s="5"/>
      <c r="H279" s="5"/>
      <c r="I279" s="5"/>
      <c r="J279" s="5"/>
      <c r="K279" s="5"/>
      <c r="L279" s="5"/>
      <c r="M279" s="5"/>
    </row>
  </sheetData>
  <mergeCells count="32">
    <mergeCell ref="K191:M191"/>
    <mergeCell ref="B221:E221"/>
    <mergeCell ref="B223:D223"/>
    <mergeCell ref="E223:G223"/>
    <mergeCell ref="H223:J223"/>
    <mergeCell ref="K223:M223"/>
    <mergeCell ref="K147:M147"/>
    <mergeCell ref="K11:M11"/>
    <mergeCell ref="B53:E53"/>
    <mergeCell ref="B55:D55"/>
    <mergeCell ref="E55:G55"/>
    <mergeCell ref="H55:J55"/>
    <mergeCell ref="K55:M55"/>
    <mergeCell ref="H11:J11"/>
    <mergeCell ref="B115:D115"/>
    <mergeCell ref="E115:G115"/>
    <mergeCell ref="H115:J115"/>
    <mergeCell ref="K115:M115"/>
    <mergeCell ref="B145:E145"/>
    <mergeCell ref="B2:D3"/>
    <mergeCell ref="G5:G8"/>
    <mergeCell ref="B9:E9"/>
    <mergeCell ref="B11:D11"/>
    <mergeCell ref="E11:G11"/>
    <mergeCell ref="B189:E189"/>
    <mergeCell ref="B191:D191"/>
    <mergeCell ref="E191:G191"/>
    <mergeCell ref="H191:J191"/>
    <mergeCell ref="B113:E113"/>
    <mergeCell ref="B147:D147"/>
    <mergeCell ref="E147:G147"/>
    <mergeCell ref="H147:J147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B55A-E1DC-4333-BC63-711B368A0530}">
  <dimension ref="A1:M307"/>
  <sheetViews>
    <sheetView workbookViewId="0">
      <selection activeCell="B2" sqref="B2:D3"/>
    </sheetView>
  </sheetViews>
  <sheetFormatPr baseColWidth="10" defaultRowHeight="14.4" x14ac:dyDescent="0.3"/>
  <cols>
    <col min="2" max="2" width="16.33203125" bestFit="1" customWidth="1"/>
    <col min="5" max="5" width="16.33203125" bestFit="1" customWidth="1"/>
    <col min="8" max="8" width="16.33203125" bestFit="1" customWidth="1"/>
    <col min="11" max="11" width="16.33203125" bestFit="1" customWidth="1"/>
  </cols>
  <sheetData>
    <row r="1" spans="2:13" ht="14.4" customHeight="1" x14ac:dyDescent="0.3"/>
    <row r="2" spans="2:13" x14ac:dyDescent="0.3">
      <c r="B2" s="37" t="s">
        <v>54</v>
      </c>
      <c r="C2" s="37"/>
      <c r="D2" s="37"/>
    </row>
    <row r="3" spans="2:13" x14ac:dyDescent="0.3">
      <c r="B3" s="37"/>
      <c r="C3" s="37"/>
      <c r="D3" s="37"/>
    </row>
    <row r="4" spans="2:13" x14ac:dyDescent="0.3">
      <c r="H4" s="6" t="s">
        <v>25</v>
      </c>
      <c r="I4" s="6" t="s">
        <v>26</v>
      </c>
      <c r="J4" s="6" t="s">
        <v>23</v>
      </c>
    </row>
    <row r="5" spans="2:13" x14ac:dyDescent="0.3">
      <c r="G5" s="43" t="s">
        <v>24</v>
      </c>
      <c r="H5" s="5">
        <v>1</v>
      </c>
      <c r="I5" s="5"/>
      <c r="J5" s="5"/>
    </row>
    <row r="6" spans="2:13" x14ac:dyDescent="0.3">
      <c r="G6" s="43"/>
      <c r="H6" s="5">
        <v>2</v>
      </c>
      <c r="I6" s="5"/>
      <c r="J6" s="5"/>
    </row>
    <row r="7" spans="2:13" x14ac:dyDescent="0.3">
      <c r="G7" s="43"/>
      <c r="H7" s="5">
        <v>3</v>
      </c>
      <c r="I7" s="5"/>
      <c r="J7" s="5"/>
    </row>
    <row r="8" spans="2:13" x14ac:dyDescent="0.3">
      <c r="G8" s="43"/>
      <c r="H8" s="5">
        <v>4</v>
      </c>
      <c r="I8" s="5"/>
      <c r="J8" s="5"/>
    </row>
    <row r="9" spans="2:13" x14ac:dyDescent="0.3">
      <c r="B9" s="38" t="s">
        <v>1</v>
      </c>
      <c r="C9" s="38"/>
      <c r="D9" s="38"/>
      <c r="E9" s="38"/>
    </row>
    <row r="11" spans="2:13" x14ac:dyDescent="0.3">
      <c r="B11" s="39" t="s">
        <v>17</v>
      </c>
      <c r="C11" s="39"/>
      <c r="D11" s="39"/>
      <c r="E11" s="40" t="s">
        <v>18</v>
      </c>
      <c r="F11" s="40"/>
      <c r="G11" s="40"/>
      <c r="H11" s="41" t="s">
        <v>19</v>
      </c>
      <c r="I11" s="41"/>
      <c r="J11" s="41"/>
      <c r="K11" s="42" t="s">
        <v>20</v>
      </c>
      <c r="L11" s="42"/>
      <c r="M11" s="42"/>
    </row>
    <row r="12" spans="2:13" x14ac:dyDescent="0.3">
      <c r="B12" s="1" t="s">
        <v>21</v>
      </c>
      <c r="C12" s="1" t="s">
        <v>22</v>
      </c>
      <c r="D12" s="1" t="s">
        <v>23</v>
      </c>
      <c r="E12" s="1" t="s">
        <v>21</v>
      </c>
      <c r="F12" s="1" t="s">
        <v>22</v>
      </c>
      <c r="G12" s="1" t="s">
        <v>23</v>
      </c>
      <c r="H12" s="1" t="s">
        <v>21</v>
      </c>
      <c r="I12" s="1" t="s">
        <v>22</v>
      </c>
      <c r="J12" s="1" t="s">
        <v>23</v>
      </c>
      <c r="K12" s="1" t="s">
        <v>21</v>
      </c>
      <c r="L12" s="1" t="s">
        <v>22</v>
      </c>
      <c r="M12" s="1" t="s">
        <v>23</v>
      </c>
    </row>
    <row r="13" spans="2:13" x14ac:dyDescent="0.3">
      <c r="B13" s="3">
        <v>11.12</v>
      </c>
      <c r="C13" s="3">
        <v>42.42</v>
      </c>
      <c r="D13" s="3">
        <v>8.85</v>
      </c>
      <c r="E13" s="3">
        <v>11.57</v>
      </c>
      <c r="F13" s="3">
        <v>49.9</v>
      </c>
      <c r="G13" s="3">
        <v>8.73</v>
      </c>
      <c r="H13" s="3">
        <v>10.050000000000001</v>
      </c>
      <c r="I13" s="3">
        <v>34.85</v>
      </c>
      <c r="J13" s="3">
        <v>9.86</v>
      </c>
      <c r="K13" s="3">
        <v>11.66</v>
      </c>
      <c r="L13" s="3">
        <v>41.33</v>
      </c>
      <c r="M13" s="3">
        <v>8.36</v>
      </c>
    </row>
    <row r="14" spans="2:13" x14ac:dyDescent="0.3">
      <c r="B14" s="4">
        <v>12.27</v>
      </c>
      <c r="C14" s="4">
        <v>57.45</v>
      </c>
      <c r="D14" s="4">
        <v>8.09</v>
      </c>
      <c r="E14" s="4">
        <v>9.9600000000000009</v>
      </c>
      <c r="F14" s="4">
        <v>42.47</v>
      </c>
      <c r="G14" s="4">
        <v>8.66</v>
      </c>
      <c r="H14" s="4">
        <v>10.73</v>
      </c>
      <c r="I14" s="4">
        <v>49.9</v>
      </c>
      <c r="J14" s="4">
        <v>8.89</v>
      </c>
      <c r="K14" s="4">
        <v>10.4</v>
      </c>
      <c r="L14" s="4">
        <v>34.92</v>
      </c>
      <c r="M14" s="4">
        <v>8.8000000000000007</v>
      </c>
    </row>
    <row r="15" spans="2:13" x14ac:dyDescent="0.3">
      <c r="B15" s="3">
        <v>12.27</v>
      </c>
      <c r="C15" s="3">
        <v>49.87</v>
      </c>
      <c r="D15" s="3">
        <v>8.41</v>
      </c>
      <c r="E15" s="3">
        <v>11.35</v>
      </c>
      <c r="F15" s="3">
        <v>42.34</v>
      </c>
      <c r="G15" s="3">
        <v>8.77</v>
      </c>
      <c r="H15" s="3">
        <v>13.54</v>
      </c>
      <c r="I15" s="3">
        <v>43.81</v>
      </c>
      <c r="J15" s="3">
        <v>7.6</v>
      </c>
      <c r="K15" s="3">
        <v>16.12</v>
      </c>
      <c r="L15" s="3">
        <v>42.52</v>
      </c>
      <c r="M15" s="3">
        <v>7.19</v>
      </c>
    </row>
    <row r="16" spans="2:13" x14ac:dyDescent="0.3">
      <c r="B16" s="4">
        <v>12.81</v>
      </c>
      <c r="C16" s="4">
        <v>41.29</v>
      </c>
      <c r="D16" s="4">
        <v>7.99</v>
      </c>
      <c r="E16" s="4">
        <v>13.99</v>
      </c>
      <c r="F16" s="4">
        <v>48.8</v>
      </c>
      <c r="G16" s="4">
        <v>7.45</v>
      </c>
      <c r="H16" s="4">
        <v>13.24</v>
      </c>
      <c r="I16" s="4">
        <v>42.53</v>
      </c>
      <c r="J16" s="4">
        <v>7.9</v>
      </c>
      <c r="K16" s="4">
        <v>13.29</v>
      </c>
      <c r="L16" s="4">
        <v>42.44</v>
      </c>
      <c r="M16" s="4">
        <v>7.71</v>
      </c>
    </row>
    <row r="17" spans="2:13" x14ac:dyDescent="0.3">
      <c r="B17" s="3">
        <v>7.83</v>
      </c>
      <c r="C17" s="3">
        <v>34.770000000000003</v>
      </c>
      <c r="D17" s="3">
        <v>11</v>
      </c>
      <c r="E17" s="3">
        <v>10.53</v>
      </c>
      <c r="F17" s="3">
        <v>49.94</v>
      </c>
      <c r="G17" s="3">
        <v>9.3000000000000007</v>
      </c>
      <c r="H17" s="3">
        <v>10</v>
      </c>
      <c r="I17" s="3">
        <v>43.55</v>
      </c>
      <c r="J17" s="3">
        <v>8.7899999999999991</v>
      </c>
      <c r="K17" s="3">
        <v>10.87</v>
      </c>
      <c r="L17" s="3">
        <v>34.79</v>
      </c>
      <c r="M17" s="3">
        <v>11.22</v>
      </c>
    </row>
    <row r="18" spans="2:13" x14ac:dyDescent="0.3">
      <c r="B18" s="4">
        <v>8.81</v>
      </c>
      <c r="C18" s="4">
        <v>34.86</v>
      </c>
      <c r="D18" s="4">
        <v>9.9700000000000006</v>
      </c>
      <c r="E18" s="4">
        <v>10.18</v>
      </c>
      <c r="F18" s="4">
        <v>42.4</v>
      </c>
      <c r="G18" s="4">
        <v>8.77</v>
      </c>
      <c r="H18" s="4">
        <v>15.15</v>
      </c>
      <c r="I18" s="4">
        <v>57.45</v>
      </c>
      <c r="J18" s="4">
        <v>6.5</v>
      </c>
      <c r="K18" s="4">
        <v>11.72</v>
      </c>
      <c r="L18" s="4">
        <v>57.42</v>
      </c>
      <c r="M18" s="4">
        <v>8.24</v>
      </c>
    </row>
    <row r="19" spans="2:13" x14ac:dyDescent="0.3">
      <c r="B19" s="3">
        <v>12.49</v>
      </c>
      <c r="C19" s="3">
        <v>42.28</v>
      </c>
      <c r="D19" s="3">
        <v>8.4499999999999993</v>
      </c>
      <c r="E19" s="3">
        <v>15.19</v>
      </c>
      <c r="F19" s="3">
        <v>49.36</v>
      </c>
      <c r="G19" s="3">
        <v>7.43</v>
      </c>
      <c r="H19" s="3">
        <v>13.53</v>
      </c>
      <c r="I19" s="3">
        <v>42.44</v>
      </c>
      <c r="J19" s="3">
        <v>7.82</v>
      </c>
      <c r="K19" s="3">
        <v>11.51</v>
      </c>
      <c r="L19" s="3">
        <v>42.39</v>
      </c>
      <c r="M19" s="3">
        <v>8.99</v>
      </c>
    </row>
    <row r="20" spans="2:13" x14ac:dyDescent="0.3">
      <c r="B20" s="4">
        <v>11.19</v>
      </c>
      <c r="C20" s="4">
        <v>41.3</v>
      </c>
      <c r="D20" s="4">
        <v>8.77</v>
      </c>
      <c r="E20" s="4">
        <v>11.87</v>
      </c>
      <c r="F20" s="4">
        <v>49.91</v>
      </c>
      <c r="G20" s="4">
        <v>8.0399999999999991</v>
      </c>
      <c r="H20" s="4">
        <v>13.93</v>
      </c>
      <c r="I20" s="4">
        <v>42.27</v>
      </c>
      <c r="J20" s="4">
        <v>7.5</v>
      </c>
      <c r="K20" s="4">
        <v>13.13</v>
      </c>
      <c r="L20" s="4">
        <v>42.35</v>
      </c>
      <c r="M20" s="4">
        <v>8.19</v>
      </c>
    </row>
    <row r="21" spans="2:13" x14ac:dyDescent="0.3">
      <c r="B21" s="3">
        <v>13.95</v>
      </c>
      <c r="C21" s="3">
        <v>34.630000000000003</v>
      </c>
      <c r="D21" s="3">
        <v>5.83</v>
      </c>
      <c r="E21" s="3">
        <v>13.66</v>
      </c>
      <c r="F21" s="3">
        <v>57.39</v>
      </c>
      <c r="G21" s="3">
        <v>9.7200000000000006</v>
      </c>
      <c r="H21" s="3">
        <v>8.26</v>
      </c>
      <c r="I21" s="3">
        <v>42.33</v>
      </c>
      <c r="J21" s="3">
        <v>5.83</v>
      </c>
      <c r="K21" s="3">
        <v>10.33</v>
      </c>
      <c r="L21" s="3">
        <v>42.36</v>
      </c>
      <c r="M21" s="3">
        <v>5.83</v>
      </c>
    </row>
    <row r="22" spans="2:13" x14ac:dyDescent="0.3">
      <c r="B22" s="4">
        <v>13.31</v>
      </c>
      <c r="C22" s="4">
        <v>35.89</v>
      </c>
      <c r="D22" s="4">
        <v>7.85</v>
      </c>
      <c r="E22" s="4">
        <v>10.029999999999999</v>
      </c>
      <c r="F22" s="4">
        <v>34.93</v>
      </c>
      <c r="G22" s="4">
        <v>9.43</v>
      </c>
      <c r="H22" s="4">
        <v>13.83</v>
      </c>
      <c r="I22" s="4">
        <v>49.87</v>
      </c>
      <c r="J22" s="4">
        <v>7.51</v>
      </c>
      <c r="K22" s="4">
        <v>11.82</v>
      </c>
      <c r="L22" s="4">
        <v>43.62</v>
      </c>
      <c r="M22" s="4">
        <v>8.15</v>
      </c>
    </row>
    <row r="23" spans="2:13" x14ac:dyDescent="0.3">
      <c r="B23" s="3">
        <v>14.23</v>
      </c>
      <c r="C23" s="3">
        <v>43.12</v>
      </c>
      <c r="D23" s="3">
        <v>7.64</v>
      </c>
      <c r="E23" s="3">
        <v>15.7</v>
      </c>
      <c r="F23" s="3">
        <v>49.94</v>
      </c>
      <c r="G23" s="3">
        <v>7.11</v>
      </c>
      <c r="H23" s="3">
        <v>14.31</v>
      </c>
      <c r="I23" s="3">
        <v>42.35</v>
      </c>
      <c r="J23" s="3">
        <v>7.75</v>
      </c>
      <c r="K23" s="3">
        <v>14.65</v>
      </c>
      <c r="L23" s="3">
        <v>42.37</v>
      </c>
      <c r="M23" s="3">
        <v>7.5</v>
      </c>
    </row>
    <row r="24" spans="2:13" x14ac:dyDescent="0.3">
      <c r="B24" s="4">
        <v>9.74</v>
      </c>
      <c r="C24" s="4">
        <v>42.36</v>
      </c>
      <c r="D24" s="4">
        <v>9.69</v>
      </c>
      <c r="E24" s="4">
        <v>10.15</v>
      </c>
      <c r="F24" s="4">
        <v>42.33</v>
      </c>
      <c r="G24" s="4">
        <v>9.02</v>
      </c>
      <c r="H24" s="4">
        <v>10.210000000000001</v>
      </c>
      <c r="I24" s="4">
        <v>34.869999999999997</v>
      </c>
      <c r="J24" s="4">
        <v>9.75</v>
      </c>
      <c r="K24" s="4">
        <v>12.87</v>
      </c>
      <c r="L24" s="4">
        <v>42.26</v>
      </c>
      <c r="M24" s="4">
        <v>7.83</v>
      </c>
    </row>
    <row r="25" spans="2:13" x14ac:dyDescent="0.3">
      <c r="B25" s="3">
        <v>13.95</v>
      </c>
      <c r="C25" s="3">
        <v>34.72</v>
      </c>
      <c r="D25" s="3">
        <v>7.03</v>
      </c>
      <c r="E25" s="3">
        <v>14.27</v>
      </c>
      <c r="F25" s="3">
        <v>42.12</v>
      </c>
      <c r="G25" s="3">
        <v>6.04</v>
      </c>
      <c r="H25" s="3">
        <v>9.9</v>
      </c>
      <c r="I25" s="3">
        <v>27.21</v>
      </c>
      <c r="J25" s="3">
        <v>7.7</v>
      </c>
      <c r="K25" s="3">
        <v>10.64</v>
      </c>
      <c r="L25" s="3">
        <v>34.71</v>
      </c>
      <c r="M25" s="3">
        <v>7.57</v>
      </c>
    </row>
    <row r="26" spans="2:13" x14ac:dyDescent="0.3">
      <c r="B26" s="4">
        <v>13.9</v>
      </c>
      <c r="C26" s="4">
        <v>42.1</v>
      </c>
      <c r="D26" s="4">
        <v>6.17</v>
      </c>
      <c r="E26" s="4">
        <v>8.15</v>
      </c>
      <c r="F26" s="4">
        <v>34.6</v>
      </c>
      <c r="G26" s="4">
        <v>8.32</v>
      </c>
      <c r="H26" s="4">
        <v>10.43</v>
      </c>
      <c r="I26" s="4">
        <v>34.65</v>
      </c>
      <c r="J26" s="4">
        <v>7.37</v>
      </c>
      <c r="K26" s="4">
        <v>10.210000000000001</v>
      </c>
      <c r="L26" s="4">
        <v>27.25</v>
      </c>
      <c r="M26" s="4">
        <v>8.5500000000000007</v>
      </c>
    </row>
    <row r="27" spans="2:13" x14ac:dyDescent="0.3">
      <c r="B27" s="3">
        <v>14.1</v>
      </c>
      <c r="C27" s="3">
        <v>34.78</v>
      </c>
      <c r="D27" s="3">
        <v>5.53</v>
      </c>
      <c r="E27" s="3">
        <v>13.66</v>
      </c>
      <c r="F27" s="3">
        <v>34.76</v>
      </c>
      <c r="G27" s="3">
        <v>6.75</v>
      </c>
      <c r="H27" s="3">
        <v>14.01</v>
      </c>
      <c r="I27" s="3">
        <v>34.619999999999997</v>
      </c>
      <c r="J27" s="3">
        <v>5.77</v>
      </c>
      <c r="K27" s="3">
        <v>16.149999999999999</v>
      </c>
      <c r="L27" s="3">
        <v>36.17</v>
      </c>
      <c r="M27" s="3">
        <v>5.84</v>
      </c>
    </row>
    <row r="28" spans="2:13" x14ac:dyDescent="0.3">
      <c r="B28" s="4">
        <v>12.65</v>
      </c>
      <c r="C28" s="4">
        <v>26.17</v>
      </c>
      <c r="D28" s="4">
        <v>6.14</v>
      </c>
      <c r="E28" s="4">
        <v>13.52</v>
      </c>
      <c r="F28" s="4">
        <v>34.64</v>
      </c>
      <c r="G28" s="4">
        <v>5.98</v>
      </c>
      <c r="H28" s="4">
        <v>13.16</v>
      </c>
      <c r="I28" s="4">
        <v>34.630000000000003</v>
      </c>
      <c r="J28" s="4">
        <v>5.57</v>
      </c>
      <c r="K28" s="4">
        <v>11.34</v>
      </c>
      <c r="L28" s="4">
        <v>34.61</v>
      </c>
      <c r="M28" s="4">
        <v>6.62</v>
      </c>
    </row>
    <row r="29" spans="2:13" x14ac:dyDescent="0.3">
      <c r="B29" s="3">
        <v>13.95</v>
      </c>
      <c r="C29" s="3">
        <v>19.73</v>
      </c>
      <c r="D29" s="3">
        <v>5.83</v>
      </c>
      <c r="E29" s="3">
        <v>11.03</v>
      </c>
      <c r="F29" s="3">
        <v>42.18</v>
      </c>
      <c r="G29" s="3">
        <v>7.98</v>
      </c>
      <c r="H29" s="3">
        <v>10.33</v>
      </c>
      <c r="I29" s="3">
        <v>27.34</v>
      </c>
      <c r="J29" s="3">
        <v>8.31</v>
      </c>
      <c r="K29" s="3">
        <v>10.33</v>
      </c>
      <c r="L29" s="3">
        <v>27.27</v>
      </c>
      <c r="M29" s="3">
        <v>8.43</v>
      </c>
    </row>
    <row r="30" spans="2:13" x14ac:dyDescent="0.3">
      <c r="B30" s="4">
        <v>9.52</v>
      </c>
      <c r="C30" s="4">
        <v>34.46</v>
      </c>
      <c r="D30" s="4">
        <v>7.46</v>
      </c>
      <c r="E30" s="4">
        <v>9.7899999999999991</v>
      </c>
      <c r="F30" s="4">
        <v>34.64</v>
      </c>
      <c r="G30" s="4">
        <v>7.66</v>
      </c>
      <c r="H30" s="4">
        <v>12.84</v>
      </c>
      <c r="I30" s="4">
        <v>42.43</v>
      </c>
      <c r="J30" s="4">
        <v>6.17</v>
      </c>
      <c r="K30" s="4">
        <v>12.39</v>
      </c>
      <c r="L30" s="4">
        <v>43.54</v>
      </c>
      <c r="M30" s="4">
        <v>6.15</v>
      </c>
    </row>
    <row r="31" spans="2:13" x14ac:dyDescent="0.3">
      <c r="B31" s="3">
        <v>11.98</v>
      </c>
      <c r="C31" s="3">
        <v>34.65</v>
      </c>
      <c r="D31" s="3">
        <v>6.23</v>
      </c>
      <c r="E31" s="3">
        <v>15.56</v>
      </c>
      <c r="F31" s="3">
        <v>42.28</v>
      </c>
      <c r="G31" s="3">
        <v>5.88</v>
      </c>
      <c r="H31" s="3">
        <v>12.83</v>
      </c>
      <c r="I31" s="3">
        <v>34.72</v>
      </c>
      <c r="J31" s="3">
        <v>6.35</v>
      </c>
      <c r="K31" s="3">
        <v>11.84</v>
      </c>
      <c r="L31" s="3">
        <v>27.31</v>
      </c>
      <c r="M31" s="3">
        <v>6.41</v>
      </c>
    </row>
    <row r="32" spans="2:13" x14ac:dyDescent="0.3">
      <c r="B32" s="4">
        <v>10.15</v>
      </c>
      <c r="C32" s="4">
        <v>42.1</v>
      </c>
      <c r="D32" s="4">
        <v>7.57</v>
      </c>
      <c r="E32" s="4">
        <v>9.7899999999999991</v>
      </c>
      <c r="F32" s="4">
        <v>28.59</v>
      </c>
      <c r="G32" s="4">
        <v>7.48</v>
      </c>
      <c r="H32" s="4">
        <v>12.74</v>
      </c>
      <c r="I32" s="4">
        <v>34.700000000000003</v>
      </c>
      <c r="J32" s="4">
        <v>6.53</v>
      </c>
      <c r="K32" s="4">
        <v>12.05</v>
      </c>
      <c r="L32" s="4">
        <v>34.76</v>
      </c>
      <c r="M32" s="4">
        <v>7.43</v>
      </c>
    </row>
    <row r="33" spans="2:13" x14ac:dyDescent="0.3">
      <c r="B33" s="3">
        <v>13.95</v>
      </c>
      <c r="C33" s="3">
        <v>43.12</v>
      </c>
      <c r="D33" s="3">
        <v>10.119999999999999</v>
      </c>
      <c r="E33" s="3">
        <v>10.33</v>
      </c>
      <c r="F33" s="3">
        <v>42.15</v>
      </c>
      <c r="G33" s="3">
        <v>6.95</v>
      </c>
      <c r="H33" s="3">
        <v>7.55</v>
      </c>
      <c r="I33" s="3">
        <v>27.18</v>
      </c>
      <c r="J33" s="3">
        <v>8.3699999999999992</v>
      </c>
      <c r="K33" s="3">
        <v>10.33</v>
      </c>
      <c r="L33" s="3">
        <v>34.46</v>
      </c>
      <c r="M33" s="3">
        <v>8.39</v>
      </c>
    </row>
    <row r="34" spans="2:13" x14ac:dyDescent="0.3">
      <c r="B34" s="4">
        <v>13.07</v>
      </c>
      <c r="C34" s="4">
        <v>42.1</v>
      </c>
      <c r="D34" s="4">
        <v>5.89</v>
      </c>
      <c r="E34" s="4">
        <v>13.52</v>
      </c>
      <c r="F34" s="4">
        <v>27.16</v>
      </c>
      <c r="G34" s="4">
        <v>7.93</v>
      </c>
      <c r="H34" s="4">
        <v>14.94</v>
      </c>
      <c r="I34" s="4">
        <v>34.76</v>
      </c>
      <c r="J34" s="4">
        <v>5.74</v>
      </c>
      <c r="K34" s="4">
        <v>11.16</v>
      </c>
      <c r="L34" s="4">
        <v>42.17</v>
      </c>
      <c r="M34" s="4">
        <v>7.29</v>
      </c>
    </row>
    <row r="35" spans="2:13" x14ac:dyDescent="0.3">
      <c r="B35" s="3">
        <v>13.65</v>
      </c>
      <c r="C35" s="3">
        <v>34.729999999999997</v>
      </c>
      <c r="D35" s="3">
        <v>5.46</v>
      </c>
      <c r="E35" s="3">
        <v>14.13</v>
      </c>
      <c r="F35" s="3">
        <v>42.12</v>
      </c>
      <c r="G35" s="3">
        <v>6.23</v>
      </c>
      <c r="H35" s="3">
        <v>13.95</v>
      </c>
      <c r="I35" s="3">
        <v>34.659999999999997</v>
      </c>
      <c r="J35" s="3">
        <v>5.52</v>
      </c>
      <c r="K35" s="3">
        <v>13.59</v>
      </c>
      <c r="L35" s="3">
        <v>27.38</v>
      </c>
      <c r="M35" s="3">
        <v>6.27</v>
      </c>
    </row>
    <row r="36" spans="2:13" x14ac:dyDescent="0.3">
      <c r="B36" s="4">
        <v>6.86</v>
      </c>
      <c r="C36" s="4">
        <v>42.1</v>
      </c>
      <c r="D36" s="4">
        <v>9.6</v>
      </c>
      <c r="E36" s="4">
        <v>10.43</v>
      </c>
      <c r="F36" s="4">
        <v>28.47</v>
      </c>
      <c r="G36" s="4">
        <v>7.98</v>
      </c>
      <c r="H36" s="4">
        <v>13.52</v>
      </c>
      <c r="I36" s="4">
        <v>27.11</v>
      </c>
      <c r="J36" s="4">
        <v>8.15</v>
      </c>
      <c r="K36" s="4">
        <v>10.210000000000001</v>
      </c>
      <c r="L36" s="4">
        <v>34.69</v>
      </c>
      <c r="M36" s="4">
        <v>7.4</v>
      </c>
    </row>
    <row r="37" spans="2:13" x14ac:dyDescent="0.3">
      <c r="B37" s="3">
        <v>16.11</v>
      </c>
      <c r="C37" s="3">
        <v>57.42</v>
      </c>
      <c r="D37" s="3">
        <v>7.32</v>
      </c>
      <c r="E37" s="3">
        <v>13.66</v>
      </c>
      <c r="F37" s="3">
        <v>57.24</v>
      </c>
      <c r="G37" s="3">
        <v>8.0399999999999991</v>
      </c>
      <c r="H37" s="3">
        <v>16.27</v>
      </c>
      <c r="I37" s="3">
        <v>62.63</v>
      </c>
      <c r="J37" s="3">
        <v>7.18</v>
      </c>
      <c r="K37" s="3">
        <v>14.23</v>
      </c>
      <c r="L37" s="3">
        <v>57.15</v>
      </c>
      <c r="M37" s="3">
        <v>7.92</v>
      </c>
    </row>
    <row r="38" spans="2:13" x14ac:dyDescent="0.3">
      <c r="B38" s="4">
        <v>11.11</v>
      </c>
      <c r="C38" s="4">
        <v>55.35</v>
      </c>
      <c r="D38" s="4">
        <v>9.17</v>
      </c>
      <c r="E38" s="4">
        <v>14.55</v>
      </c>
      <c r="F38" s="4">
        <v>70.69</v>
      </c>
      <c r="G38" s="4">
        <v>7.23</v>
      </c>
      <c r="H38" s="4">
        <v>12.75</v>
      </c>
      <c r="I38" s="4">
        <v>70.7</v>
      </c>
      <c r="J38" s="4">
        <v>8.42</v>
      </c>
      <c r="K38" s="4">
        <v>18.690000000000001</v>
      </c>
      <c r="L38" s="4">
        <v>85.63</v>
      </c>
      <c r="M38" s="4">
        <v>6.04</v>
      </c>
    </row>
    <row r="39" spans="2:13" x14ac:dyDescent="0.3">
      <c r="B39" s="3">
        <v>21.15</v>
      </c>
      <c r="C39" s="3">
        <v>49.7</v>
      </c>
      <c r="D39" s="3">
        <v>5.83</v>
      </c>
      <c r="E39" s="3">
        <v>22.2</v>
      </c>
      <c r="F39" s="3">
        <v>72.09</v>
      </c>
      <c r="G39" s="3">
        <v>5.6</v>
      </c>
      <c r="H39" s="3">
        <v>21.75</v>
      </c>
      <c r="I39" s="3">
        <v>64.760000000000005</v>
      </c>
      <c r="J39" s="3">
        <v>5.44</v>
      </c>
      <c r="K39" s="3">
        <v>21.23</v>
      </c>
      <c r="L39" s="3">
        <v>72.45</v>
      </c>
      <c r="M39" s="3">
        <v>5.84</v>
      </c>
    </row>
    <row r="40" spans="2:13" x14ac:dyDescent="0.3">
      <c r="B40" s="4">
        <v>19.97</v>
      </c>
      <c r="C40" s="4">
        <v>85.67</v>
      </c>
      <c r="D40" s="4">
        <v>6.25</v>
      </c>
      <c r="E40" s="4">
        <v>17.940000000000001</v>
      </c>
      <c r="F40" s="4">
        <v>70.13</v>
      </c>
      <c r="G40" s="4">
        <v>6.9</v>
      </c>
      <c r="H40" s="4">
        <v>20.239999999999998</v>
      </c>
      <c r="I40" s="4">
        <v>70.290000000000006</v>
      </c>
      <c r="J40" s="4">
        <v>6.02</v>
      </c>
      <c r="K40" s="4">
        <v>19.14</v>
      </c>
      <c r="L40" s="4">
        <v>70.680000000000007</v>
      </c>
      <c r="M40" s="4">
        <v>6.61</v>
      </c>
    </row>
    <row r="41" spans="2:13" x14ac:dyDescent="0.3">
      <c r="B41" s="3">
        <v>14.75</v>
      </c>
      <c r="C41" s="3">
        <v>64.650000000000006</v>
      </c>
      <c r="D41" s="3">
        <v>7.3</v>
      </c>
      <c r="E41" s="3">
        <v>11.17</v>
      </c>
      <c r="F41" s="3">
        <v>70.69</v>
      </c>
      <c r="G41" s="3">
        <v>9.17</v>
      </c>
      <c r="H41" s="3">
        <v>13.51</v>
      </c>
      <c r="I41" s="3">
        <v>72.17</v>
      </c>
      <c r="J41" s="3">
        <v>7.86</v>
      </c>
      <c r="K41" s="3">
        <v>14.97</v>
      </c>
      <c r="L41" s="3">
        <v>64.84</v>
      </c>
      <c r="M41" s="3">
        <v>7.38</v>
      </c>
    </row>
    <row r="42" spans="2:13" x14ac:dyDescent="0.3">
      <c r="B42" s="4">
        <v>16.579999999999998</v>
      </c>
      <c r="C42" s="4">
        <v>93.2</v>
      </c>
      <c r="D42" s="4">
        <v>6.76</v>
      </c>
      <c r="E42" s="4">
        <v>20.9</v>
      </c>
      <c r="F42" s="4">
        <v>78.069999999999993</v>
      </c>
      <c r="G42" s="4">
        <v>5.66</v>
      </c>
      <c r="H42" s="4">
        <v>20.059999999999999</v>
      </c>
      <c r="I42" s="4">
        <v>79.849999999999994</v>
      </c>
      <c r="J42" s="4">
        <v>5.82</v>
      </c>
      <c r="K42" s="4">
        <v>15.23</v>
      </c>
      <c r="L42" s="4">
        <v>85.54</v>
      </c>
      <c r="M42" s="4">
        <v>7.26</v>
      </c>
    </row>
    <row r="43" spans="2:13" x14ac:dyDescent="0.3">
      <c r="B43" s="3">
        <v>29.24</v>
      </c>
      <c r="C43" s="3">
        <v>115.87</v>
      </c>
      <c r="D43" s="3">
        <v>4.62</v>
      </c>
      <c r="E43" s="3">
        <v>23.67</v>
      </c>
      <c r="F43" s="3">
        <v>93.23</v>
      </c>
      <c r="G43" s="3">
        <v>5.52</v>
      </c>
      <c r="H43" s="3">
        <v>17.45</v>
      </c>
      <c r="I43" s="3">
        <v>78.180000000000007</v>
      </c>
      <c r="J43" s="3">
        <v>7.22</v>
      </c>
      <c r="K43" s="3">
        <v>25.39</v>
      </c>
      <c r="L43" s="3">
        <v>93.26</v>
      </c>
      <c r="M43" s="3">
        <v>5.23</v>
      </c>
    </row>
    <row r="44" spans="2:13" x14ac:dyDescent="0.3">
      <c r="B44" s="4">
        <v>20.14</v>
      </c>
      <c r="C44" s="4">
        <v>72.09</v>
      </c>
      <c r="D44" s="4">
        <v>6.04</v>
      </c>
      <c r="E44" s="4">
        <v>15.29</v>
      </c>
      <c r="F44" s="4">
        <v>57.17</v>
      </c>
      <c r="G44" s="4">
        <v>7.56</v>
      </c>
      <c r="H44" s="4">
        <v>16.29</v>
      </c>
      <c r="I44" s="4">
        <v>70.680000000000007</v>
      </c>
      <c r="J44" s="4">
        <v>7.28</v>
      </c>
      <c r="K44" s="4">
        <v>15.08</v>
      </c>
      <c r="L44" s="4">
        <v>63.1</v>
      </c>
      <c r="M44" s="4">
        <v>7.37</v>
      </c>
    </row>
    <row r="45" spans="2:13" x14ac:dyDescent="0.3">
      <c r="B45" s="3">
        <v>14.21</v>
      </c>
      <c r="C45" s="3">
        <v>70.400000000000006</v>
      </c>
      <c r="D45" s="3">
        <v>5.83</v>
      </c>
      <c r="E45" s="3">
        <v>16.03</v>
      </c>
      <c r="F45" s="3">
        <v>73.28</v>
      </c>
      <c r="G45" s="3">
        <v>7.07</v>
      </c>
      <c r="H45" s="3">
        <v>12.4</v>
      </c>
      <c r="I45" s="3">
        <v>70.400000000000006</v>
      </c>
      <c r="J45" s="3">
        <v>8.43</v>
      </c>
      <c r="K45" s="3">
        <v>12.34</v>
      </c>
      <c r="L45" s="3">
        <v>62.9</v>
      </c>
      <c r="M45" s="3">
        <v>8.34</v>
      </c>
    </row>
    <row r="46" spans="2:13" x14ac:dyDescent="0.3">
      <c r="B46" s="4">
        <v>21.95</v>
      </c>
      <c r="C46" s="4">
        <v>71.97</v>
      </c>
      <c r="D46" s="4">
        <v>5.51</v>
      </c>
      <c r="E46" s="4">
        <v>19.62</v>
      </c>
      <c r="F46" s="4">
        <v>78.17</v>
      </c>
      <c r="G46" s="4">
        <v>6.15</v>
      </c>
      <c r="H46" s="4">
        <v>23.56</v>
      </c>
      <c r="I46" s="4">
        <v>78.069999999999993</v>
      </c>
      <c r="J46" s="4">
        <v>5.26</v>
      </c>
      <c r="K46" s="4">
        <v>20.079999999999998</v>
      </c>
      <c r="L46" s="4">
        <v>72.099999999999994</v>
      </c>
      <c r="M46" s="4">
        <v>5.68</v>
      </c>
    </row>
    <row r="47" spans="2:13" x14ac:dyDescent="0.3">
      <c r="B47" s="3">
        <v>19.02</v>
      </c>
      <c r="C47" s="3">
        <v>85.88</v>
      </c>
      <c r="D47" s="3">
        <v>6.43</v>
      </c>
      <c r="E47" s="3">
        <v>20.27</v>
      </c>
      <c r="F47" s="3">
        <v>93.12</v>
      </c>
      <c r="G47" s="3">
        <v>6.04</v>
      </c>
      <c r="H47" s="3">
        <v>18.64</v>
      </c>
      <c r="I47" s="3">
        <v>57.26</v>
      </c>
      <c r="J47" s="3">
        <v>6.57</v>
      </c>
      <c r="K47" s="3">
        <v>19.690000000000001</v>
      </c>
      <c r="L47" s="3">
        <v>79.81</v>
      </c>
      <c r="M47" s="3">
        <v>6.41</v>
      </c>
    </row>
    <row r="48" spans="2:13" x14ac:dyDescent="0.3">
      <c r="B48" s="4">
        <v>11.63</v>
      </c>
      <c r="C48" s="4">
        <v>42.2</v>
      </c>
      <c r="D48" s="4">
        <v>8.8699999999999992</v>
      </c>
      <c r="E48" s="4">
        <v>13.72</v>
      </c>
      <c r="F48" s="4">
        <v>49.64</v>
      </c>
      <c r="G48" s="4">
        <v>7.72</v>
      </c>
      <c r="H48" s="4">
        <v>15.88</v>
      </c>
      <c r="I48" s="4">
        <v>93.07</v>
      </c>
      <c r="J48" s="4">
        <v>7.08</v>
      </c>
      <c r="K48" s="4">
        <v>14.71</v>
      </c>
      <c r="L48" s="4">
        <v>57.33</v>
      </c>
      <c r="M48" s="4">
        <v>7.62</v>
      </c>
    </row>
    <row r="50" spans="1:13" x14ac:dyDescent="0.3">
      <c r="A50" s="5" t="s">
        <v>42</v>
      </c>
      <c r="B50" s="5">
        <f>AVERAGE(B13:B48)</f>
        <v>13.989166666666666</v>
      </c>
      <c r="C50" s="5">
        <f t="shared" ref="C50:M50" si="0">AVERAGE(C13:C48)</f>
        <v>49.872222222222234</v>
      </c>
      <c r="D50" s="5">
        <f t="shared" si="0"/>
        <v>7.3749999999999982</v>
      </c>
      <c r="E50" s="5">
        <f t="shared" si="0"/>
        <v>13.816111111111114</v>
      </c>
      <c r="F50" s="5">
        <f t="shared" si="0"/>
        <v>51.581666666666663</v>
      </c>
      <c r="G50" s="5">
        <f t="shared" si="0"/>
        <v>7.5074999999999976</v>
      </c>
      <c r="H50" s="5">
        <f t="shared" si="0"/>
        <v>13.938333333333334</v>
      </c>
      <c r="I50" s="5">
        <f t="shared" si="0"/>
        <v>49.674722222222222</v>
      </c>
      <c r="J50" s="5">
        <f t="shared" si="0"/>
        <v>7.2175000000000011</v>
      </c>
      <c r="K50" s="5">
        <f t="shared" si="0"/>
        <v>13.871944444444445</v>
      </c>
      <c r="L50" s="5">
        <f t="shared" si="0"/>
        <v>49.385555555555548</v>
      </c>
      <c r="M50" s="5">
        <f t="shared" si="0"/>
        <v>7.3905555555555571</v>
      </c>
    </row>
    <row r="51" spans="1:13" x14ac:dyDescent="0.3">
      <c r="A51" s="5" t="s">
        <v>35</v>
      </c>
      <c r="B51" s="5">
        <f>AVERAGE(B50,E50,H50,K50)</f>
        <v>13.90388888888889</v>
      </c>
      <c r="C51" s="5">
        <f t="shared" ref="C51:D51" si="1">AVERAGE(C50,F50,I50,L50)</f>
        <v>50.128541666666671</v>
      </c>
      <c r="D51" s="5">
        <f t="shared" si="1"/>
        <v>7.372638888888889</v>
      </c>
      <c r="E51" s="5"/>
      <c r="F51" s="5"/>
      <c r="G51" s="5"/>
      <c r="H51" s="5"/>
      <c r="I51" s="5"/>
      <c r="J51" s="5"/>
      <c r="K51" s="5"/>
      <c r="L51" s="5"/>
      <c r="M51" s="5"/>
    </row>
    <row r="53" spans="1:13" x14ac:dyDescent="0.3">
      <c r="B53" s="38" t="s">
        <v>2</v>
      </c>
      <c r="C53" s="38"/>
      <c r="D53" s="38"/>
      <c r="E53" s="38"/>
    </row>
    <row r="55" spans="1:13" x14ac:dyDescent="0.3">
      <c r="B55" s="39" t="s">
        <v>17</v>
      </c>
      <c r="C55" s="39"/>
      <c r="D55" s="39"/>
      <c r="E55" s="40" t="s">
        <v>18</v>
      </c>
      <c r="F55" s="40"/>
      <c r="G55" s="40"/>
      <c r="H55" s="41" t="s">
        <v>19</v>
      </c>
      <c r="I55" s="41"/>
      <c r="J55" s="41"/>
      <c r="K55" s="42" t="s">
        <v>20</v>
      </c>
      <c r="L55" s="42"/>
      <c r="M55" s="42"/>
    </row>
    <row r="56" spans="1:13" x14ac:dyDescent="0.3">
      <c r="B56" s="1" t="s">
        <v>21</v>
      </c>
      <c r="C56" s="1" t="s">
        <v>22</v>
      </c>
      <c r="D56" s="1" t="s">
        <v>23</v>
      </c>
      <c r="E56" s="1" t="s">
        <v>21</v>
      </c>
      <c r="F56" s="1" t="s">
        <v>22</v>
      </c>
      <c r="G56" s="1" t="s">
        <v>23</v>
      </c>
      <c r="H56" s="1" t="s">
        <v>21</v>
      </c>
      <c r="I56" s="1" t="s">
        <v>22</v>
      </c>
      <c r="J56" s="1" t="s">
        <v>23</v>
      </c>
      <c r="K56" s="1" t="s">
        <v>21</v>
      </c>
      <c r="L56" s="1" t="s">
        <v>22</v>
      </c>
      <c r="M56" s="1" t="s">
        <v>23</v>
      </c>
    </row>
    <row r="57" spans="1:13" x14ac:dyDescent="0.3">
      <c r="A57" t="s">
        <v>27</v>
      </c>
      <c r="B57" s="3">
        <v>17.38</v>
      </c>
      <c r="C57" s="3">
        <v>110.07</v>
      </c>
      <c r="D57" s="3">
        <v>7.44</v>
      </c>
      <c r="E57" s="3">
        <v>17.32</v>
      </c>
      <c r="F57" s="3">
        <v>117.89</v>
      </c>
      <c r="G57" s="3">
        <v>7.6</v>
      </c>
      <c r="H57" s="3">
        <v>16.18</v>
      </c>
      <c r="I57" s="3">
        <v>95.18</v>
      </c>
      <c r="J57" s="3">
        <v>7.86</v>
      </c>
      <c r="K57" s="3">
        <v>17.03</v>
      </c>
      <c r="L57" s="3">
        <v>111.67</v>
      </c>
      <c r="M57" s="3">
        <v>7.4</v>
      </c>
    </row>
    <row r="58" spans="1:13" x14ac:dyDescent="0.3">
      <c r="B58" s="4">
        <v>28.96</v>
      </c>
      <c r="C58" s="4">
        <v>140.35</v>
      </c>
      <c r="D58" s="4">
        <v>5.59</v>
      </c>
      <c r="E58" s="4">
        <v>25.44</v>
      </c>
      <c r="F58" s="4">
        <v>132.76</v>
      </c>
      <c r="G58" s="4">
        <v>5.86</v>
      </c>
      <c r="H58" s="4">
        <v>27.91</v>
      </c>
      <c r="I58" s="4">
        <v>132.84</v>
      </c>
      <c r="J58" s="4">
        <v>5.89</v>
      </c>
      <c r="K58" s="4">
        <v>27.15</v>
      </c>
      <c r="L58" s="4">
        <v>140.18</v>
      </c>
      <c r="M58" s="4">
        <v>5.69</v>
      </c>
    </row>
    <row r="59" spans="1:13" x14ac:dyDescent="0.3">
      <c r="B59" s="3">
        <v>28.33</v>
      </c>
      <c r="C59" s="3">
        <v>117.25</v>
      </c>
      <c r="D59" s="3">
        <v>5.93</v>
      </c>
      <c r="E59" s="3">
        <v>30.32</v>
      </c>
      <c r="F59" s="3">
        <v>96.25</v>
      </c>
      <c r="G59" s="3">
        <v>5.68</v>
      </c>
      <c r="H59" s="3">
        <v>34.299999999999997</v>
      </c>
      <c r="I59" s="3">
        <v>147.63999999999999</v>
      </c>
      <c r="J59" s="3">
        <v>5.01</v>
      </c>
      <c r="K59" s="3">
        <v>29.47</v>
      </c>
      <c r="L59" s="3">
        <v>147.27000000000001</v>
      </c>
      <c r="M59" s="3">
        <v>5.71</v>
      </c>
    </row>
    <row r="60" spans="1:13" x14ac:dyDescent="0.3">
      <c r="B60" s="4">
        <v>38.49</v>
      </c>
      <c r="C60" s="4">
        <v>132.55000000000001</v>
      </c>
      <c r="D60" s="4">
        <v>5.09</v>
      </c>
      <c r="E60" s="4">
        <v>32.04</v>
      </c>
      <c r="F60" s="4">
        <v>94.98</v>
      </c>
      <c r="G60" s="4">
        <v>5.75</v>
      </c>
      <c r="H60" s="4">
        <v>33.4</v>
      </c>
      <c r="I60" s="4">
        <v>102.96</v>
      </c>
      <c r="J60" s="4">
        <v>5.78</v>
      </c>
      <c r="K60" s="4">
        <v>36.1</v>
      </c>
      <c r="L60" s="4">
        <v>102.34</v>
      </c>
      <c r="M60" s="4">
        <v>5.19</v>
      </c>
    </row>
    <row r="61" spans="1:13" x14ac:dyDescent="0.3">
      <c r="B61" s="3">
        <v>42.86</v>
      </c>
      <c r="C61" s="3">
        <v>125.49</v>
      </c>
      <c r="D61" s="3">
        <v>5.01</v>
      </c>
      <c r="E61" s="3">
        <v>38.51</v>
      </c>
      <c r="F61" s="3">
        <v>95.75</v>
      </c>
      <c r="G61" s="3">
        <v>5.23</v>
      </c>
      <c r="H61" s="3">
        <v>40.61</v>
      </c>
      <c r="I61" s="3">
        <v>86.55</v>
      </c>
      <c r="J61" s="3">
        <v>4.7300000000000004</v>
      </c>
      <c r="K61" s="3">
        <v>42.72</v>
      </c>
      <c r="L61" s="3">
        <v>103.45</v>
      </c>
      <c r="M61" s="3">
        <v>4.78</v>
      </c>
    </row>
    <row r="62" spans="1:13" x14ac:dyDescent="0.3">
      <c r="B62" s="4">
        <v>27.15</v>
      </c>
      <c r="C62" s="4">
        <v>94.83</v>
      </c>
      <c r="D62" s="4">
        <v>6.03</v>
      </c>
      <c r="E62" s="4">
        <v>27.25</v>
      </c>
      <c r="F62" s="4">
        <v>80.14</v>
      </c>
      <c r="G62" s="4">
        <v>5.84</v>
      </c>
      <c r="H62" s="4">
        <v>18.809999999999999</v>
      </c>
      <c r="I62" s="4">
        <v>42.19</v>
      </c>
      <c r="J62" s="4">
        <v>6.96</v>
      </c>
      <c r="K62" s="4">
        <v>17.37</v>
      </c>
      <c r="L62" s="4">
        <v>42.19</v>
      </c>
      <c r="M62" s="4">
        <v>7.88</v>
      </c>
    </row>
    <row r="63" spans="1:13" x14ac:dyDescent="0.3">
      <c r="B63" s="3">
        <v>24.05</v>
      </c>
      <c r="C63" s="3">
        <v>64.84</v>
      </c>
      <c r="D63" s="3">
        <v>6.51</v>
      </c>
      <c r="E63" s="3">
        <v>34.85</v>
      </c>
      <c r="F63" s="3">
        <v>72.760000000000005</v>
      </c>
      <c r="G63" s="3">
        <v>6.4</v>
      </c>
      <c r="H63" s="3">
        <v>24.82</v>
      </c>
      <c r="I63" s="3">
        <v>57.36</v>
      </c>
      <c r="J63" s="3">
        <v>5.83</v>
      </c>
      <c r="K63" s="3">
        <v>23.19</v>
      </c>
      <c r="L63" s="3">
        <v>50.11</v>
      </c>
      <c r="M63" s="3">
        <v>6.25</v>
      </c>
    </row>
    <row r="64" spans="1:13" x14ac:dyDescent="0.3">
      <c r="B64" s="4">
        <v>13.47</v>
      </c>
      <c r="C64" s="4">
        <v>27.22</v>
      </c>
      <c r="D64" s="4">
        <v>8.9</v>
      </c>
      <c r="E64" s="4">
        <v>28.67</v>
      </c>
      <c r="F64" s="4">
        <v>19.73</v>
      </c>
      <c r="G64" s="4">
        <v>9.93</v>
      </c>
      <c r="H64" s="4">
        <v>28.67</v>
      </c>
      <c r="I64" s="4">
        <v>34.67</v>
      </c>
      <c r="J64" s="4">
        <v>9.6300000000000008</v>
      </c>
      <c r="K64" s="4">
        <v>7.99</v>
      </c>
      <c r="L64" s="4">
        <v>20.64</v>
      </c>
      <c r="M64" s="4">
        <v>9.9600000000000009</v>
      </c>
    </row>
    <row r="65" spans="2:13" x14ac:dyDescent="0.3">
      <c r="B65" s="3">
        <v>19.45</v>
      </c>
      <c r="C65" s="3">
        <v>96.25</v>
      </c>
      <c r="D65" s="3">
        <v>7.75</v>
      </c>
      <c r="E65" s="3">
        <v>19.190000000000001</v>
      </c>
      <c r="F65" s="3">
        <v>88.64</v>
      </c>
      <c r="G65" s="3">
        <v>7.91</v>
      </c>
      <c r="H65" s="3">
        <v>18.43</v>
      </c>
      <c r="I65" s="3">
        <v>103.84</v>
      </c>
      <c r="J65" s="3">
        <v>7.73</v>
      </c>
      <c r="K65" s="3">
        <v>19.36</v>
      </c>
      <c r="L65" s="3">
        <v>103.84</v>
      </c>
      <c r="M65" s="3">
        <v>7.9</v>
      </c>
    </row>
    <row r="66" spans="2:13" x14ac:dyDescent="0.3">
      <c r="B66" s="4">
        <v>17.260000000000002</v>
      </c>
      <c r="C66" s="4">
        <v>94.67</v>
      </c>
      <c r="D66" s="4">
        <v>7.57</v>
      </c>
      <c r="E66" s="4">
        <v>13.41</v>
      </c>
      <c r="F66" s="4">
        <v>72.7</v>
      </c>
      <c r="G66" s="4">
        <v>8.18</v>
      </c>
      <c r="H66" s="4">
        <v>17.77</v>
      </c>
      <c r="I66" s="4">
        <v>103.08</v>
      </c>
      <c r="J66" s="4">
        <v>7.69</v>
      </c>
      <c r="K66" s="4">
        <v>20.95</v>
      </c>
      <c r="L66" s="4">
        <v>117.23</v>
      </c>
      <c r="M66" s="4">
        <v>6.65</v>
      </c>
    </row>
    <row r="67" spans="2:13" x14ac:dyDescent="0.3">
      <c r="B67" s="3">
        <v>19.43</v>
      </c>
      <c r="C67" s="3">
        <v>109.86</v>
      </c>
      <c r="D67" s="3">
        <v>6.75</v>
      </c>
      <c r="E67" s="3">
        <v>17.32</v>
      </c>
      <c r="F67" s="3">
        <v>79.989999999999995</v>
      </c>
      <c r="G67" s="3">
        <v>7.36</v>
      </c>
      <c r="H67" s="3">
        <v>20.309999999999999</v>
      </c>
      <c r="I67" s="3">
        <v>124.84</v>
      </c>
      <c r="J67" s="3">
        <v>7.09</v>
      </c>
      <c r="K67" s="3">
        <v>27.45</v>
      </c>
      <c r="L67" s="3">
        <v>124.84</v>
      </c>
      <c r="M67" s="3">
        <v>6.31</v>
      </c>
    </row>
    <row r="68" spans="2:13" x14ac:dyDescent="0.3">
      <c r="B68" s="4">
        <v>36.47</v>
      </c>
      <c r="C68" s="4">
        <v>147.78</v>
      </c>
      <c r="D68" s="4">
        <v>4.08</v>
      </c>
      <c r="E68" s="4">
        <v>37.18</v>
      </c>
      <c r="F68" s="4">
        <v>155.53</v>
      </c>
      <c r="G68" s="4">
        <v>4.17</v>
      </c>
      <c r="H68" s="4">
        <v>38.11</v>
      </c>
      <c r="I68" s="4">
        <v>109.66</v>
      </c>
      <c r="J68" s="4">
        <v>4.3</v>
      </c>
      <c r="K68" s="4">
        <v>46.57</v>
      </c>
      <c r="L68" s="4">
        <v>124.82</v>
      </c>
      <c r="M68" s="4">
        <v>4.16</v>
      </c>
    </row>
    <row r="69" spans="2:13" x14ac:dyDescent="0.3">
      <c r="B69" s="3">
        <v>17.47</v>
      </c>
      <c r="C69" s="3">
        <v>110.45</v>
      </c>
      <c r="D69" s="3">
        <v>7.68</v>
      </c>
      <c r="E69" s="3">
        <v>17.05</v>
      </c>
      <c r="F69" s="3">
        <v>118.28</v>
      </c>
      <c r="G69" s="3">
        <v>7.65</v>
      </c>
      <c r="H69" s="3">
        <v>18.12</v>
      </c>
      <c r="I69" s="3">
        <v>95.22</v>
      </c>
      <c r="J69" s="3">
        <v>7.54</v>
      </c>
      <c r="K69" s="3">
        <v>18.21</v>
      </c>
      <c r="L69" s="3">
        <v>125.07</v>
      </c>
      <c r="M69" s="3">
        <v>7.4</v>
      </c>
    </row>
    <row r="70" spans="2:13" x14ac:dyDescent="0.3">
      <c r="B70" s="4">
        <v>31.14</v>
      </c>
      <c r="C70" s="4">
        <v>140.6</v>
      </c>
      <c r="D70" s="4">
        <v>5.67</v>
      </c>
      <c r="E70" s="4">
        <v>28.67</v>
      </c>
      <c r="F70" s="4">
        <v>125.57</v>
      </c>
      <c r="G70" s="4">
        <v>5.78</v>
      </c>
      <c r="H70" s="4">
        <v>29.68</v>
      </c>
      <c r="I70" s="4">
        <v>140.63999999999999</v>
      </c>
      <c r="J70" s="4">
        <v>5.78</v>
      </c>
      <c r="K70" s="4">
        <v>28.88</v>
      </c>
      <c r="L70" s="4">
        <v>147.82</v>
      </c>
      <c r="M70" s="4">
        <v>5.53</v>
      </c>
    </row>
    <row r="71" spans="2:13" x14ac:dyDescent="0.3">
      <c r="B71" s="3">
        <v>32.380000000000003</v>
      </c>
      <c r="C71" s="3">
        <v>117.22</v>
      </c>
      <c r="D71" s="3">
        <v>5.04</v>
      </c>
      <c r="E71" s="3">
        <v>33.19</v>
      </c>
      <c r="F71" s="3">
        <v>102.55</v>
      </c>
      <c r="G71" s="3">
        <v>4.93</v>
      </c>
      <c r="H71" s="3">
        <v>34.85</v>
      </c>
      <c r="I71" s="3">
        <v>139.93</v>
      </c>
      <c r="J71" s="3">
        <v>4.8</v>
      </c>
      <c r="K71" s="3">
        <v>33.53</v>
      </c>
      <c r="L71" s="3">
        <v>155.32</v>
      </c>
      <c r="M71" s="3">
        <v>5.37</v>
      </c>
    </row>
    <row r="72" spans="2:13" x14ac:dyDescent="0.3">
      <c r="B72" s="4">
        <v>36.1</v>
      </c>
      <c r="C72" s="4">
        <v>125.14</v>
      </c>
      <c r="D72" s="4">
        <v>5.05</v>
      </c>
      <c r="E72" s="4">
        <v>32.799999999999997</v>
      </c>
      <c r="F72" s="4">
        <v>102.54</v>
      </c>
      <c r="G72" s="4">
        <v>5.67</v>
      </c>
      <c r="H72" s="4">
        <v>30.93</v>
      </c>
      <c r="I72" s="4">
        <v>95.18</v>
      </c>
      <c r="J72" s="4">
        <v>6.04</v>
      </c>
      <c r="K72" s="4">
        <v>36.35</v>
      </c>
      <c r="L72" s="4">
        <v>102.32</v>
      </c>
      <c r="M72" s="4">
        <v>5.24</v>
      </c>
    </row>
    <row r="73" spans="2:13" x14ac:dyDescent="0.3">
      <c r="B73" s="3">
        <v>38.33</v>
      </c>
      <c r="C73" s="3">
        <v>117.62</v>
      </c>
      <c r="D73" s="3">
        <v>5.47</v>
      </c>
      <c r="E73" s="3">
        <v>41.92</v>
      </c>
      <c r="F73" s="3">
        <v>103.07</v>
      </c>
      <c r="G73" s="3">
        <v>5.26</v>
      </c>
      <c r="H73" s="3">
        <v>41.05</v>
      </c>
      <c r="I73" s="3">
        <v>80.44</v>
      </c>
      <c r="J73" s="3">
        <v>4.7699999999999996</v>
      </c>
      <c r="K73" s="3">
        <v>45.67</v>
      </c>
      <c r="L73" s="3">
        <v>110.2</v>
      </c>
      <c r="M73" s="3">
        <v>4.68</v>
      </c>
    </row>
    <row r="74" spans="2:13" x14ac:dyDescent="0.3">
      <c r="B74" s="4">
        <v>26.89</v>
      </c>
      <c r="C74" s="4">
        <v>94.65</v>
      </c>
      <c r="D74" s="4">
        <v>6.24</v>
      </c>
      <c r="E74" s="4">
        <v>26.38</v>
      </c>
      <c r="F74" s="4">
        <v>80.3</v>
      </c>
      <c r="G74" s="4">
        <v>6.25</v>
      </c>
      <c r="H74" s="4">
        <v>17.68</v>
      </c>
      <c r="I74" s="4">
        <v>42.19</v>
      </c>
      <c r="J74" s="4">
        <v>7.29</v>
      </c>
      <c r="K74" s="4">
        <v>15.65</v>
      </c>
      <c r="L74" s="4">
        <v>42.19</v>
      </c>
      <c r="M74" s="4">
        <v>8.36</v>
      </c>
    </row>
    <row r="75" spans="2:13" x14ac:dyDescent="0.3">
      <c r="B75" s="3">
        <v>25.68</v>
      </c>
      <c r="C75" s="3">
        <v>64.739999999999995</v>
      </c>
      <c r="D75" s="3">
        <v>5.98</v>
      </c>
      <c r="E75" s="3">
        <v>31.06</v>
      </c>
      <c r="F75" s="3">
        <v>72.790000000000006</v>
      </c>
      <c r="G75" s="3">
        <v>5.54</v>
      </c>
      <c r="H75" s="3">
        <v>28.26</v>
      </c>
      <c r="I75" s="3">
        <v>86.55</v>
      </c>
      <c r="J75" s="3">
        <v>5.14</v>
      </c>
      <c r="K75" s="3">
        <v>20.170000000000002</v>
      </c>
      <c r="L75" s="3">
        <v>42.21</v>
      </c>
      <c r="M75" s="3">
        <v>7.05</v>
      </c>
    </row>
    <row r="76" spans="2:13" x14ac:dyDescent="0.3">
      <c r="B76" s="4">
        <v>7.36</v>
      </c>
      <c r="C76" s="4">
        <v>12.23</v>
      </c>
      <c r="D76" s="4">
        <v>10.7</v>
      </c>
      <c r="E76" s="4">
        <v>4.79</v>
      </c>
      <c r="F76" s="4">
        <v>12.22</v>
      </c>
      <c r="G76" s="4">
        <v>11.94</v>
      </c>
      <c r="H76" s="4">
        <v>3.47</v>
      </c>
      <c r="I76" s="4">
        <v>34.67</v>
      </c>
      <c r="J76" s="4">
        <v>12.05</v>
      </c>
      <c r="K76" s="4">
        <v>4.8099999999999996</v>
      </c>
      <c r="L76" s="4">
        <v>12.27</v>
      </c>
      <c r="M76" s="4">
        <v>11.72</v>
      </c>
    </row>
    <row r="77" spans="2:13" x14ac:dyDescent="0.3">
      <c r="B77" s="3">
        <v>19.510000000000002</v>
      </c>
      <c r="C77" s="3">
        <v>94.79</v>
      </c>
      <c r="D77" s="3">
        <v>8.0299999999999994</v>
      </c>
      <c r="E77" s="3">
        <v>34.85</v>
      </c>
      <c r="F77" s="3">
        <v>102.53</v>
      </c>
      <c r="G77" s="3">
        <v>7.65</v>
      </c>
      <c r="H77" s="3">
        <v>34.85</v>
      </c>
      <c r="I77" s="3">
        <v>80.84</v>
      </c>
      <c r="J77" s="3">
        <v>8.31</v>
      </c>
      <c r="K77" s="3">
        <v>20.51</v>
      </c>
      <c r="L77" s="3">
        <v>103.19</v>
      </c>
      <c r="M77" s="3">
        <v>7.81</v>
      </c>
    </row>
    <row r="78" spans="2:13" x14ac:dyDescent="0.3">
      <c r="B78" s="4">
        <v>19.579999999999998</v>
      </c>
      <c r="C78" s="4">
        <v>96.12</v>
      </c>
      <c r="D78" s="4">
        <v>6.7</v>
      </c>
      <c r="E78" s="4">
        <v>14.57</v>
      </c>
      <c r="F78" s="4">
        <v>65.180000000000007</v>
      </c>
      <c r="G78" s="4">
        <v>7.62</v>
      </c>
      <c r="H78" s="4">
        <v>18.22</v>
      </c>
      <c r="I78" s="4">
        <v>102.66</v>
      </c>
      <c r="J78" s="4">
        <v>7.53</v>
      </c>
      <c r="K78" s="4">
        <v>18.57</v>
      </c>
      <c r="L78" s="4">
        <v>109.7</v>
      </c>
      <c r="M78" s="4">
        <v>7.14</v>
      </c>
    </row>
    <row r="79" spans="2:13" x14ac:dyDescent="0.3">
      <c r="B79" s="3">
        <v>16.87</v>
      </c>
      <c r="C79" s="3">
        <v>110.79</v>
      </c>
      <c r="D79" s="3">
        <v>7.01</v>
      </c>
      <c r="E79" s="3">
        <v>34.85</v>
      </c>
      <c r="F79" s="3">
        <v>80.06</v>
      </c>
      <c r="G79" s="3">
        <v>6.64</v>
      </c>
      <c r="H79" s="3">
        <v>34.85</v>
      </c>
      <c r="I79" s="3">
        <v>72.19</v>
      </c>
      <c r="J79" s="3">
        <v>6.61</v>
      </c>
      <c r="K79" s="3">
        <v>30.4</v>
      </c>
      <c r="L79" s="3">
        <v>111.38</v>
      </c>
      <c r="M79" s="3">
        <v>5.8</v>
      </c>
    </row>
    <row r="80" spans="2:13" x14ac:dyDescent="0.3">
      <c r="B80" s="4">
        <v>36.47</v>
      </c>
      <c r="C80" s="4">
        <v>154.84</v>
      </c>
      <c r="D80" s="4">
        <v>4.1100000000000003</v>
      </c>
      <c r="E80" s="4">
        <v>37.47</v>
      </c>
      <c r="F80" s="4">
        <v>155.72999999999999</v>
      </c>
      <c r="G80" s="4">
        <v>4.16</v>
      </c>
      <c r="H80" s="4">
        <v>39.159999999999997</v>
      </c>
      <c r="I80" s="4">
        <v>102.83</v>
      </c>
      <c r="J80" s="4">
        <v>4.45</v>
      </c>
      <c r="K80" s="4">
        <v>44.96</v>
      </c>
      <c r="L80" s="4">
        <v>125.56</v>
      </c>
      <c r="M80" s="4">
        <v>4.3600000000000003</v>
      </c>
    </row>
    <row r="82" spans="1:13" x14ac:dyDescent="0.3">
      <c r="A82" s="5" t="s">
        <v>42</v>
      </c>
      <c r="B82" s="5">
        <f>AVERAGE(B57:B80)</f>
        <v>25.878333333333334</v>
      </c>
      <c r="C82" s="5">
        <f t="shared" ref="C82:M82" si="2">AVERAGE(C57:C80)</f>
        <v>104.18125000000002</v>
      </c>
      <c r="D82" s="5">
        <f t="shared" si="2"/>
        <v>6.430416666666666</v>
      </c>
      <c r="E82" s="5">
        <f t="shared" si="2"/>
        <v>27.462500000000006</v>
      </c>
      <c r="F82" s="5">
        <f t="shared" si="2"/>
        <v>92.830833333333331</v>
      </c>
      <c r="G82" s="5">
        <f t="shared" si="2"/>
        <v>6.6250000000000009</v>
      </c>
      <c r="H82" s="5">
        <f t="shared" si="2"/>
        <v>27.101666666666674</v>
      </c>
      <c r="I82" s="5">
        <f t="shared" si="2"/>
        <v>92.256250000000009</v>
      </c>
      <c r="J82" s="5">
        <f t="shared" si="2"/>
        <v>6.6170833333333343</v>
      </c>
      <c r="K82" s="5">
        <f t="shared" si="2"/>
        <v>26.377499999999998</v>
      </c>
      <c r="L82" s="5">
        <f t="shared" si="2"/>
        <v>98.992083333333326</v>
      </c>
      <c r="M82" s="5">
        <f t="shared" si="2"/>
        <v>6.597500000000001</v>
      </c>
    </row>
    <row r="83" spans="1:13" x14ac:dyDescent="0.3">
      <c r="A83" s="5" t="s">
        <v>35</v>
      </c>
      <c r="B83" s="5">
        <f>AVERAGE(B82,E82,H82,K82)</f>
        <v>26.705000000000002</v>
      </c>
      <c r="C83" s="5">
        <f t="shared" ref="C83:D83" si="3">AVERAGE(C82,F82,I82,L82)</f>
        <v>97.065104166666671</v>
      </c>
      <c r="D83" s="5">
        <f t="shared" si="3"/>
        <v>6.5674999999999999</v>
      </c>
      <c r="E83" s="5"/>
      <c r="F83" s="5"/>
      <c r="G83" s="5"/>
      <c r="H83" s="5"/>
      <c r="I83" s="5"/>
      <c r="J83" s="5"/>
      <c r="K83" s="5"/>
      <c r="L83" s="5"/>
      <c r="M83" s="5"/>
    </row>
    <row r="85" spans="1:13" x14ac:dyDescent="0.3">
      <c r="A85" t="s">
        <v>28</v>
      </c>
      <c r="B85" s="3">
        <v>14.62</v>
      </c>
      <c r="C85" s="3">
        <v>87.95</v>
      </c>
      <c r="D85" s="3">
        <v>7.72</v>
      </c>
      <c r="E85" s="3">
        <v>12.74</v>
      </c>
      <c r="F85" s="3">
        <v>65</v>
      </c>
      <c r="G85" s="3">
        <v>8.19</v>
      </c>
      <c r="H85" s="3">
        <v>12.09</v>
      </c>
      <c r="I85" s="3">
        <v>64.81</v>
      </c>
      <c r="J85" s="3">
        <v>8.4700000000000006</v>
      </c>
      <c r="K85" s="3">
        <v>13.64</v>
      </c>
      <c r="L85" s="3">
        <v>72.53</v>
      </c>
      <c r="M85" s="3">
        <v>7.91</v>
      </c>
    </row>
    <row r="86" spans="1:13" x14ac:dyDescent="0.3">
      <c r="B86" s="4">
        <v>21.22</v>
      </c>
      <c r="C86" s="4">
        <v>108.32</v>
      </c>
      <c r="D86" s="4">
        <v>6.28</v>
      </c>
      <c r="E86" s="4">
        <v>24.01</v>
      </c>
      <c r="F86" s="4">
        <v>108.2</v>
      </c>
      <c r="G86" s="4">
        <v>6.08</v>
      </c>
      <c r="H86" s="4">
        <v>26.9</v>
      </c>
      <c r="I86" s="4">
        <v>114.22</v>
      </c>
      <c r="J86" s="4">
        <v>5.8</v>
      </c>
      <c r="K86" s="4">
        <v>23.27</v>
      </c>
      <c r="L86" s="4">
        <v>123.41</v>
      </c>
      <c r="M86" s="4">
        <v>6.16</v>
      </c>
    </row>
    <row r="87" spans="1:13" x14ac:dyDescent="0.3">
      <c r="B87" s="3">
        <v>25.75</v>
      </c>
      <c r="C87" s="3">
        <v>79.86</v>
      </c>
      <c r="D87" s="3">
        <v>5.38</v>
      </c>
      <c r="E87" s="3">
        <v>29.79</v>
      </c>
      <c r="F87" s="3">
        <v>87.26</v>
      </c>
      <c r="G87" s="3">
        <v>5.17</v>
      </c>
      <c r="H87" s="3">
        <v>25.83</v>
      </c>
      <c r="I87" s="3">
        <v>87.32</v>
      </c>
      <c r="J87" s="3">
        <v>5.45</v>
      </c>
      <c r="K87" s="3">
        <v>32.130000000000003</v>
      </c>
      <c r="L87" s="3">
        <v>79.849999999999994</v>
      </c>
      <c r="M87" s="3">
        <v>4.7699999999999996</v>
      </c>
    </row>
    <row r="88" spans="1:13" x14ac:dyDescent="0.3">
      <c r="B88" s="4">
        <v>30.88</v>
      </c>
      <c r="C88" s="4">
        <v>72.27</v>
      </c>
      <c r="D88" s="4">
        <v>5.66</v>
      </c>
      <c r="E88" s="4">
        <v>39.99</v>
      </c>
      <c r="F88" s="4">
        <v>102.29</v>
      </c>
      <c r="G88" s="4">
        <v>5.07</v>
      </c>
      <c r="H88" s="4">
        <v>28.86</v>
      </c>
      <c r="I88" s="4">
        <v>72.3</v>
      </c>
      <c r="J88" s="4">
        <v>5.95</v>
      </c>
      <c r="K88" s="4">
        <v>28.4</v>
      </c>
      <c r="L88" s="4">
        <v>79.760000000000005</v>
      </c>
      <c r="M88" s="4">
        <v>6.11</v>
      </c>
    </row>
    <row r="89" spans="1:13" x14ac:dyDescent="0.3">
      <c r="B89" s="3">
        <v>31.59</v>
      </c>
      <c r="C89" s="3">
        <v>93.5</v>
      </c>
      <c r="D89" s="3">
        <v>5.3</v>
      </c>
      <c r="E89" s="3">
        <v>23.51</v>
      </c>
      <c r="F89" s="3">
        <v>63.52</v>
      </c>
      <c r="G89" s="3">
        <v>6.57</v>
      </c>
      <c r="H89" s="3">
        <v>29.13</v>
      </c>
      <c r="I89" s="3">
        <v>57.28</v>
      </c>
      <c r="J89" s="3">
        <v>5.31</v>
      </c>
      <c r="K89" s="3">
        <v>24.93</v>
      </c>
      <c r="L89" s="3">
        <v>57.39</v>
      </c>
      <c r="M89" s="3">
        <v>5.59</v>
      </c>
    </row>
    <row r="90" spans="1:13" x14ac:dyDescent="0.3">
      <c r="B90" s="4">
        <v>17.93</v>
      </c>
      <c r="C90" s="4">
        <v>33.380000000000003</v>
      </c>
      <c r="D90" s="4">
        <v>7.3</v>
      </c>
      <c r="E90" s="4">
        <v>22.8</v>
      </c>
      <c r="F90" s="4">
        <v>48.05</v>
      </c>
      <c r="G90" s="4">
        <v>6.56</v>
      </c>
      <c r="H90" s="4">
        <v>17.440000000000001</v>
      </c>
      <c r="I90" s="4">
        <v>34.64</v>
      </c>
      <c r="J90" s="4">
        <v>7.16</v>
      </c>
      <c r="K90" s="4">
        <v>13.71</v>
      </c>
      <c r="L90" s="4">
        <v>33.36</v>
      </c>
      <c r="M90" s="4">
        <v>8.59</v>
      </c>
    </row>
    <row r="91" spans="1:13" x14ac:dyDescent="0.3">
      <c r="B91" s="3">
        <v>18.64</v>
      </c>
      <c r="C91" s="3">
        <v>34.81</v>
      </c>
      <c r="D91" s="3">
        <v>7.03</v>
      </c>
      <c r="E91" s="3">
        <v>13.5</v>
      </c>
      <c r="F91" s="3">
        <v>27.42</v>
      </c>
      <c r="G91" s="3">
        <v>7.79</v>
      </c>
      <c r="H91" s="3">
        <v>18.149999999999999</v>
      </c>
      <c r="I91" s="3">
        <v>34.89</v>
      </c>
      <c r="J91" s="3">
        <v>7.58</v>
      </c>
      <c r="K91" s="3">
        <v>12.13</v>
      </c>
      <c r="L91" s="3">
        <v>33.26</v>
      </c>
      <c r="M91" s="3">
        <v>8.6</v>
      </c>
    </row>
    <row r="92" spans="1:13" x14ac:dyDescent="0.3">
      <c r="B92" s="4">
        <v>11.29</v>
      </c>
      <c r="C92" s="4">
        <v>27.34</v>
      </c>
      <c r="D92" s="4">
        <v>9.16</v>
      </c>
      <c r="E92" s="4">
        <v>12.4</v>
      </c>
      <c r="F92" s="4">
        <v>29.78</v>
      </c>
      <c r="G92" s="4">
        <v>8.82</v>
      </c>
      <c r="H92" s="4">
        <v>7.11</v>
      </c>
      <c r="I92" s="4">
        <v>19.71</v>
      </c>
      <c r="J92" s="4">
        <v>10.29</v>
      </c>
      <c r="K92" s="4">
        <v>7.13</v>
      </c>
      <c r="L92" s="4">
        <v>46.55</v>
      </c>
      <c r="M92" s="4">
        <v>10.06</v>
      </c>
    </row>
    <row r="93" spans="1:13" x14ac:dyDescent="0.3">
      <c r="B93" s="3">
        <v>14.62</v>
      </c>
      <c r="C93" s="3">
        <v>58.55</v>
      </c>
      <c r="D93" s="3">
        <v>8.18</v>
      </c>
      <c r="E93" s="3">
        <v>14.69</v>
      </c>
      <c r="F93" s="3">
        <v>64.87</v>
      </c>
      <c r="G93" s="3">
        <v>8.5500000000000007</v>
      </c>
      <c r="H93" s="3">
        <v>16.03</v>
      </c>
      <c r="I93" s="3">
        <v>75.41</v>
      </c>
      <c r="J93" s="3">
        <v>8.4600000000000009</v>
      </c>
      <c r="K93" s="3">
        <v>16.309999999999999</v>
      </c>
      <c r="L93" s="3">
        <v>73.62</v>
      </c>
      <c r="M93" s="3">
        <v>8.01</v>
      </c>
    </row>
    <row r="94" spans="1:13" x14ac:dyDescent="0.3">
      <c r="B94" s="4">
        <v>18.57</v>
      </c>
      <c r="C94" s="4">
        <v>80.09</v>
      </c>
      <c r="D94" s="4">
        <v>7.14</v>
      </c>
      <c r="E94" s="4">
        <v>12.7</v>
      </c>
      <c r="F94" s="4">
        <v>64.77</v>
      </c>
      <c r="G94" s="4">
        <v>8.4</v>
      </c>
      <c r="H94" s="4">
        <v>17.47</v>
      </c>
      <c r="I94" s="4">
        <v>64.97</v>
      </c>
      <c r="J94" s="4">
        <v>7.67</v>
      </c>
      <c r="K94" s="4">
        <v>12.22</v>
      </c>
      <c r="L94" s="4">
        <v>49.82</v>
      </c>
      <c r="M94" s="4">
        <v>8.34</v>
      </c>
    </row>
    <row r="95" spans="1:13" x14ac:dyDescent="0.3">
      <c r="B95" s="3">
        <v>18.13</v>
      </c>
      <c r="C95" s="3">
        <v>49.85</v>
      </c>
      <c r="D95" s="3">
        <v>7.4</v>
      </c>
      <c r="E95" s="3">
        <v>17.329999999999998</v>
      </c>
      <c r="F95" s="3">
        <v>57.32</v>
      </c>
      <c r="G95" s="3">
        <v>7.23</v>
      </c>
      <c r="H95" s="3">
        <v>19.239999999999998</v>
      </c>
      <c r="I95" s="3">
        <v>79.78</v>
      </c>
      <c r="J95" s="3">
        <v>6.77</v>
      </c>
      <c r="K95" s="3">
        <v>19.59</v>
      </c>
      <c r="L95" s="3">
        <v>87.9</v>
      </c>
      <c r="M95" s="3">
        <v>6.56</v>
      </c>
    </row>
    <row r="96" spans="1:13" x14ac:dyDescent="0.3">
      <c r="B96" s="4">
        <v>42.15</v>
      </c>
      <c r="C96" s="4">
        <v>108.25</v>
      </c>
      <c r="D96" s="4">
        <v>4.22</v>
      </c>
      <c r="E96" s="4">
        <v>34.5</v>
      </c>
      <c r="F96" s="4">
        <v>87.32</v>
      </c>
      <c r="G96" s="4">
        <v>4.66</v>
      </c>
      <c r="H96" s="4">
        <v>35.229999999999997</v>
      </c>
      <c r="I96" s="4">
        <v>72.3</v>
      </c>
      <c r="J96" s="4">
        <v>4.47</v>
      </c>
      <c r="K96" s="4">
        <v>44.08</v>
      </c>
      <c r="L96" s="4">
        <v>102.78</v>
      </c>
      <c r="M96" s="4">
        <v>4.09</v>
      </c>
    </row>
    <row r="97" spans="1:13" x14ac:dyDescent="0.3">
      <c r="B97" s="3">
        <v>11.96</v>
      </c>
      <c r="C97" s="3">
        <v>80.7</v>
      </c>
      <c r="D97" s="3">
        <v>8.15</v>
      </c>
      <c r="E97" s="3">
        <v>10.69</v>
      </c>
      <c r="F97" s="3">
        <v>65.2</v>
      </c>
      <c r="G97" s="3">
        <v>8.48</v>
      </c>
      <c r="H97" s="3">
        <v>11.2</v>
      </c>
      <c r="I97" s="3">
        <v>65.08</v>
      </c>
      <c r="J97" s="3">
        <v>8.3699999999999992</v>
      </c>
      <c r="K97" s="3">
        <v>11.34</v>
      </c>
      <c r="L97" s="3">
        <v>72.430000000000007</v>
      </c>
      <c r="M97" s="3">
        <v>7.9</v>
      </c>
    </row>
    <row r="98" spans="1:13" x14ac:dyDescent="0.3">
      <c r="B98" s="4">
        <v>24.55</v>
      </c>
      <c r="C98" s="4">
        <v>102.2</v>
      </c>
      <c r="D98" s="4">
        <v>5.58</v>
      </c>
      <c r="E98" s="4">
        <v>24.78</v>
      </c>
      <c r="F98" s="4">
        <v>96.07</v>
      </c>
      <c r="G98" s="4">
        <v>5.53</v>
      </c>
      <c r="H98" s="4">
        <v>25.85</v>
      </c>
      <c r="I98" s="4">
        <v>103.54</v>
      </c>
      <c r="J98" s="4">
        <v>5.4</v>
      </c>
      <c r="K98" s="4">
        <v>22.3</v>
      </c>
      <c r="L98" s="4">
        <v>103.94</v>
      </c>
      <c r="M98" s="4">
        <v>5.82</v>
      </c>
    </row>
    <row r="99" spans="1:13" x14ac:dyDescent="0.3">
      <c r="B99" s="3">
        <v>26.3</v>
      </c>
      <c r="C99" s="3">
        <v>81.13</v>
      </c>
      <c r="D99" s="3">
        <v>4.51</v>
      </c>
      <c r="E99" s="3">
        <v>28.61</v>
      </c>
      <c r="F99" s="3">
        <v>79.760000000000005</v>
      </c>
      <c r="G99" s="3">
        <v>4.53</v>
      </c>
      <c r="H99" s="3">
        <v>23.71</v>
      </c>
      <c r="I99" s="3">
        <v>79.819999999999993</v>
      </c>
      <c r="J99" s="3">
        <v>4.8099999999999996</v>
      </c>
      <c r="K99" s="3">
        <v>32.69</v>
      </c>
      <c r="L99" s="3">
        <v>79.86</v>
      </c>
      <c r="M99" s="3">
        <v>4.6900000000000004</v>
      </c>
    </row>
    <row r="100" spans="1:13" x14ac:dyDescent="0.3">
      <c r="B100" s="4">
        <v>35.97</v>
      </c>
      <c r="C100" s="4">
        <v>78.2</v>
      </c>
      <c r="D100" s="4">
        <v>4.82</v>
      </c>
      <c r="E100" s="4">
        <v>37.53</v>
      </c>
      <c r="F100" s="4">
        <v>115.79</v>
      </c>
      <c r="G100" s="4">
        <v>4.7699999999999996</v>
      </c>
      <c r="H100" s="4">
        <v>26.64</v>
      </c>
      <c r="I100" s="4">
        <v>113.31</v>
      </c>
      <c r="J100" s="4">
        <v>6.02</v>
      </c>
      <c r="K100" s="4">
        <v>27.41</v>
      </c>
      <c r="L100" s="4">
        <v>79.58</v>
      </c>
      <c r="M100" s="4">
        <v>5.6</v>
      </c>
    </row>
    <row r="101" spans="1:13" x14ac:dyDescent="0.3">
      <c r="B101" s="3">
        <v>32.32</v>
      </c>
      <c r="C101" s="3">
        <v>87.72</v>
      </c>
      <c r="D101" s="3">
        <v>4.7699999999999996</v>
      </c>
      <c r="E101" s="3">
        <v>19.54</v>
      </c>
      <c r="F101" s="3">
        <v>57.42</v>
      </c>
      <c r="G101" s="3">
        <v>6.31</v>
      </c>
      <c r="H101" s="3">
        <v>25.4</v>
      </c>
      <c r="I101" s="3">
        <v>70.81</v>
      </c>
      <c r="J101" s="3">
        <v>5.42</v>
      </c>
      <c r="K101" s="3">
        <v>23.18</v>
      </c>
      <c r="L101" s="3">
        <v>63.37</v>
      </c>
      <c r="M101" s="3">
        <v>5.7</v>
      </c>
    </row>
    <row r="102" spans="1:13" x14ac:dyDescent="0.3">
      <c r="B102" s="4">
        <v>17.77</v>
      </c>
      <c r="C102" s="4">
        <v>34.74</v>
      </c>
      <c r="D102" s="4">
        <v>7.16</v>
      </c>
      <c r="E102" s="4">
        <v>23.94</v>
      </c>
      <c r="F102" s="4">
        <v>42.42</v>
      </c>
      <c r="G102" s="4">
        <v>6.24</v>
      </c>
      <c r="H102" s="4">
        <v>16.13</v>
      </c>
      <c r="I102" s="4">
        <v>34.950000000000003</v>
      </c>
      <c r="J102" s="4">
        <v>7.07</v>
      </c>
      <c r="K102" s="4">
        <v>18.670000000000002</v>
      </c>
      <c r="L102" s="4">
        <v>27.64</v>
      </c>
      <c r="M102" s="4">
        <v>7.07</v>
      </c>
    </row>
    <row r="103" spans="1:13" x14ac:dyDescent="0.3">
      <c r="B103" s="3">
        <v>25.1</v>
      </c>
      <c r="C103" s="3">
        <v>48.34</v>
      </c>
      <c r="D103" s="3">
        <v>5.9</v>
      </c>
      <c r="E103" s="3">
        <v>13.28</v>
      </c>
      <c r="F103" s="3">
        <v>33.22</v>
      </c>
      <c r="G103" s="3">
        <v>7.86</v>
      </c>
      <c r="H103" s="3">
        <v>28.24</v>
      </c>
      <c r="I103" s="3">
        <v>55.71</v>
      </c>
      <c r="J103" s="3">
        <v>6.1</v>
      </c>
      <c r="K103" s="3">
        <v>11.19</v>
      </c>
      <c r="L103" s="3">
        <v>19.79</v>
      </c>
      <c r="M103" s="3">
        <v>8.65</v>
      </c>
    </row>
    <row r="104" spans="1:13" x14ac:dyDescent="0.3">
      <c r="B104" s="4">
        <v>14.64</v>
      </c>
      <c r="C104" s="4">
        <v>20.57</v>
      </c>
      <c r="D104" s="4">
        <v>8.32</v>
      </c>
      <c r="E104" s="4">
        <v>7.66</v>
      </c>
      <c r="F104" s="4">
        <v>20.41</v>
      </c>
      <c r="G104" s="4">
        <v>9.91</v>
      </c>
      <c r="H104" s="4">
        <v>2</v>
      </c>
      <c r="I104" s="4">
        <v>13.14</v>
      </c>
      <c r="J104" s="4">
        <v>12.66</v>
      </c>
      <c r="K104" s="4">
        <v>6.15</v>
      </c>
      <c r="L104" s="4">
        <v>13.38</v>
      </c>
      <c r="M104" s="4">
        <v>10.1</v>
      </c>
    </row>
    <row r="105" spans="1:13" x14ac:dyDescent="0.3">
      <c r="B105" s="3">
        <v>10.84</v>
      </c>
      <c r="C105" s="3">
        <v>49.9</v>
      </c>
      <c r="D105" s="3">
        <v>8.7899999999999991</v>
      </c>
      <c r="E105" s="3">
        <v>13.78</v>
      </c>
      <c r="F105" s="3">
        <v>72.42</v>
      </c>
      <c r="G105" s="3">
        <v>8.3699999999999992</v>
      </c>
      <c r="H105" s="3">
        <v>14.49</v>
      </c>
      <c r="I105" s="3">
        <v>64.97</v>
      </c>
      <c r="J105" s="3">
        <v>8.56</v>
      </c>
      <c r="K105" s="3">
        <v>14.87</v>
      </c>
      <c r="L105" s="3">
        <v>72.94</v>
      </c>
      <c r="M105" s="3">
        <v>8.39</v>
      </c>
    </row>
    <row r="106" spans="1:13" x14ac:dyDescent="0.3">
      <c r="B106" s="4">
        <v>16.36</v>
      </c>
      <c r="C106" s="4">
        <v>79.739999999999995</v>
      </c>
      <c r="D106" s="4">
        <v>7</v>
      </c>
      <c r="E106" s="4">
        <v>11.74</v>
      </c>
      <c r="F106" s="4">
        <v>71.69</v>
      </c>
      <c r="G106" s="4">
        <v>8.02</v>
      </c>
      <c r="H106" s="4">
        <v>18.12</v>
      </c>
      <c r="I106" s="4">
        <v>72.3</v>
      </c>
      <c r="J106" s="4">
        <v>7.72</v>
      </c>
      <c r="K106" s="4">
        <v>11.05</v>
      </c>
      <c r="L106" s="4">
        <v>50.02</v>
      </c>
      <c r="M106" s="4">
        <v>8.9700000000000006</v>
      </c>
    </row>
    <row r="107" spans="1:13" x14ac:dyDescent="0.3">
      <c r="B107" s="3">
        <v>20.77</v>
      </c>
      <c r="C107" s="3">
        <v>43.53</v>
      </c>
      <c r="D107" s="3">
        <v>5.61</v>
      </c>
      <c r="E107" s="3">
        <v>18.2</v>
      </c>
      <c r="F107" s="3">
        <v>57.32</v>
      </c>
      <c r="G107" s="3">
        <v>6.37</v>
      </c>
      <c r="H107" s="3">
        <v>17.079999999999998</v>
      </c>
      <c r="I107" s="3">
        <v>72.400000000000006</v>
      </c>
      <c r="J107" s="3">
        <v>6.54</v>
      </c>
      <c r="K107" s="3">
        <v>19.25</v>
      </c>
      <c r="L107" s="3">
        <v>85.99</v>
      </c>
      <c r="M107" s="3">
        <v>6.13</v>
      </c>
    </row>
    <row r="108" spans="1:13" x14ac:dyDescent="0.3">
      <c r="B108" s="4">
        <v>37.799999999999997</v>
      </c>
      <c r="C108" s="4">
        <v>108.45</v>
      </c>
      <c r="D108" s="4">
        <v>4.43</v>
      </c>
      <c r="E108" s="4">
        <v>33.24</v>
      </c>
      <c r="F108" s="4">
        <v>79.81</v>
      </c>
      <c r="G108" s="4">
        <v>4.1500000000000004</v>
      </c>
      <c r="H108" s="4">
        <v>36.15</v>
      </c>
      <c r="I108" s="4">
        <v>102.94</v>
      </c>
      <c r="J108" s="4">
        <v>4.08</v>
      </c>
      <c r="K108" s="4">
        <v>34.21</v>
      </c>
      <c r="L108" s="4">
        <v>99.22</v>
      </c>
      <c r="M108" s="4">
        <v>4.6100000000000003</v>
      </c>
    </row>
    <row r="110" spans="1:13" x14ac:dyDescent="0.3">
      <c r="A110" s="5" t="s">
        <v>42</v>
      </c>
      <c r="B110" s="5">
        <f>AVERAGE(B85:B108)</f>
        <v>22.490416666666661</v>
      </c>
      <c r="C110" s="5">
        <f t="shared" ref="C110:M110" si="4">AVERAGE(C85:C108)</f>
        <v>68.724583333333342</v>
      </c>
      <c r="D110" s="5">
        <f t="shared" si="4"/>
        <v>6.4920833333333343</v>
      </c>
      <c r="E110" s="5">
        <f t="shared" si="4"/>
        <v>20.872916666666665</v>
      </c>
      <c r="F110" s="5">
        <f t="shared" si="4"/>
        <v>66.555416666666673</v>
      </c>
      <c r="G110" s="5">
        <f t="shared" si="4"/>
        <v>6.817916666666668</v>
      </c>
      <c r="H110" s="5">
        <f t="shared" si="4"/>
        <v>20.770416666666666</v>
      </c>
      <c r="I110" s="5">
        <f t="shared" si="4"/>
        <v>67.775000000000006</v>
      </c>
      <c r="J110" s="5">
        <f t="shared" si="4"/>
        <v>6.9220833333333331</v>
      </c>
      <c r="K110" s="5">
        <f t="shared" si="4"/>
        <v>19.993750000000002</v>
      </c>
      <c r="L110" s="5">
        <f t="shared" si="4"/>
        <v>67.016249999999999</v>
      </c>
      <c r="M110" s="5">
        <f t="shared" si="4"/>
        <v>7.0175000000000018</v>
      </c>
    </row>
    <row r="111" spans="1:13" x14ac:dyDescent="0.3">
      <c r="A111" s="5" t="s">
        <v>35</v>
      </c>
      <c r="B111" s="5">
        <f>AVERAGE(B110,E110,H110,K110)</f>
        <v>21.031874999999999</v>
      </c>
      <c r="C111" s="5">
        <f t="shared" ref="C111:D111" si="5">AVERAGE(C110,F110,I110,L110)</f>
        <v>67.517812500000005</v>
      </c>
      <c r="D111" s="5">
        <f t="shared" si="5"/>
        <v>6.8123958333333343</v>
      </c>
      <c r="E111" s="5"/>
      <c r="F111" s="5"/>
      <c r="G111" s="5"/>
      <c r="H111" s="5"/>
      <c r="I111" s="5"/>
      <c r="J111" s="5"/>
      <c r="K111" s="5"/>
      <c r="L111" s="5"/>
      <c r="M111" s="5"/>
    </row>
    <row r="113" spans="1:13" x14ac:dyDescent="0.3">
      <c r="B113" s="38" t="s">
        <v>29</v>
      </c>
      <c r="C113" s="38"/>
      <c r="D113" s="38"/>
      <c r="E113" s="38"/>
    </row>
    <row r="115" spans="1:13" x14ac:dyDescent="0.3">
      <c r="B115" s="39" t="s">
        <v>17</v>
      </c>
      <c r="C115" s="39"/>
      <c r="D115" s="39"/>
      <c r="E115" s="40" t="s">
        <v>18</v>
      </c>
      <c r="F115" s="40"/>
      <c r="G115" s="40"/>
      <c r="H115" s="41" t="s">
        <v>19</v>
      </c>
      <c r="I115" s="41"/>
      <c r="J115" s="41"/>
      <c r="K115" s="42" t="s">
        <v>20</v>
      </c>
      <c r="L115" s="42"/>
      <c r="M115" s="42"/>
    </row>
    <row r="116" spans="1:13" x14ac:dyDescent="0.3">
      <c r="B116" s="1" t="s">
        <v>21</v>
      </c>
      <c r="C116" s="1" t="s">
        <v>22</v>
      </c>
      <c r="D116" s="1" t="s">
        <v>23</v>
      </c>
      <c r="E116" s="1" t="s">
        <v>21</v>
      </c>
      <c r="F116" s="1" t="s">
        <v>22</v>
      </c>
      <c r="G116" s="1" t="s">
        <v>23</v>
      </c>
      <c r="H116" s="1" t="s">
        <v>21</v>
      </c>
      <c r="I116" s="1" t="s">
        <v>22</v>
      </c>
      <c r="J116" s="1" t="s">
        <v>23</v>
      </c>
      <c r="K116" s="1" t="s">
        <v>21</v>
      </c>
      <c r="L116" s="1" t="s">
        <v>22</v>
      </c>
      <c r="M116" s="1" t="s">
        <v>23</v>
      </c>
    </row>
    <row r="117" spans="1:13" x14ac:dyDescent="0.3">
      <c r="A117" t="s">
        <v>27</v>
      </c>
      <c r="B117" s="3">
        <v>6.68</v>
      </c>
      <c r="C117" s="3">
        <v>64.81</v>
      </c>
      <c r="D117" s="3">
        <v>9.7100000000000009</v>
      </c>
      <c r="E117" s="3">
        <v>9.43</v>
      </c>
      <c r="F117" s="3">
        <v>94.95</v>
      </c>
      <c r="G117" s="3">
        <v>9.65</v>
      </c>
      <c r="H117" s="3">
        <v>9.99</v>
      </c>
      <c r="I117" s="3">
        <v>80.36</v>
      </c>
      <c r="J117" s="3">
        <v>9.83</v>
      </c>
      <c r="K117" s="3">
        <v>9.48</v>
      </c>
      <c r="L117" s="3">
        <v>57.86</v>
      </c>
      <c r="M117" s="3">
        <v>9.43</v>
      </c>
    </row>
    <row r="118" spans="1:13" x14ac:dyDescent="0.3">
      <c r="B118" s="4">
        <v>30.82</v>
      </c>
      <c r="C118" s="4">
        <v>110.73</v>
      </c>
      <c r="D118" s="4">
        <v>5.31</v>
      </c>
      <c r="E118" s="4">
        <v>33.6</v>
      </c>
      <c r="F118" s="4">
        <v>117.97</v>
      </c>
      <c r="G118" s="4">
        <v>5.0599999999999996</v>
      </c>
      <c r="H118" s="4">
        <v>27.15</v>
      </c>
      <c r="I118" s="4">
        <v>95.49</v>
      </c>
      <c r="J118" s="4">
        <v>5.34</v>
      </c>
      <c r="K118" s="4">
        <v>31.6</v>
      </c>
      <c r="L118" s="4">
        <v>124.87</v>
      </c>
      <c r="M118" s="4">
        <v>5.31</v>
      </c>
    </row>
    <row r="119" spans="1:13" x14ac:dyDescent="0.3">
      <c r="B119" s="3">
        <v>10.62</v>
      </c>
      <c r="C119" s="3">
        <v>29.44</v>
      </c>
      <c r="D119" s="3">
        <v>9.42</v>
      </c>
      <c r="E119" s="3">
        <v>8.32</v>
      </c>
      <c r="F119" s="3">
        <v>13.45</v>
      </c>
      <c r="G119" s="3">
        <v>10.11</v>
      </c>
      <c r="H119" s="3">
        <v>12.74</v>
      </c>
      <c r="I119" s="3">
        <v>42.68</v>
      </c>
      <c r="J119" s="3">
        <v>7.29</v>
      </c>
      <c r="K119" s="3">
        <v>11.51</v>
      </c>
      <c r="L119" s="3">
        <v>19.84</v>
      </c>
      <c r="M119" s="3">
        <v>9.02</v>
      </c>
    </row>
    <row r="120" spans="1:13" x14ac:dyDescent="0.3">
      <c r="B120" s="4">
        <v>38.229999999999997</v>
      </c>
      <c r="C120" s="4">
        <v>185.01</v>
      </c>
      <c r="D120" s="4">
        <v>5.0599999999999996</v>
      </c>
      <c r="E120" s="4">
        <v>31.59</v>
      </c>
      <c r="F120" s="4">
        <v>102.89</v>
      </c>
      <c r="G120" s="4">
        <v>5.53</v>
      </c>
      <c r="H120" s="4">
        <v>39.409999999999997</v>
      </c>
      <c r="I120" s="4">
        <v>184.7</v>
      </c>
      <c r="J120" s="4">
        <v>5.16</v>
      </c>
      <c r="K120" s="4">
        <v>56.66</v>
      </c>
      <c r="L120" s="4">
        <v>207.44</v>
      </c>
      <c r="M120" s="4">
        <v>4.13</v>
      </c>
    </row>
    <row r="121" spans="1:13" x14ac:dyDescent="0.3">
      <c r="B121" s="3">
        <v>17.010000000000002</v>
      </c>
      <c r="C121" s="3">
        <v>58.53</v>
      </c>
      <c r="D121" s="3">
        <v>7.69</v>
      </c>
      <c r="E121" s="3">
        <v>9.75</v>
      </c>
      <c r="F121" s="3">
        <v>42.44</v>
      </c>
      <c r="G121" s="3">
        <v>7.69</v>
      </c>
      <c r="H121" s="3">
        <v>8.35</v>
      </c>
      <c r="I121" s="3">
        <v>67.3</v>
      </c>
      <c r="J121" s="3">
        <v>7.69</v>
      </c>
      <c r="K121" s="3">
        <v>10.3</v>
      </c>
      <c r="L121" s="3">
        <v>60.24</v>
      </c>
      <c r="M121" s="3">
        <v>7.69</v>
      </c>
    </row>
    <row r="122" spans="1:13" x14ac:dyDescent="0.3">
      <c r="B122" s="4">
        <v>24.84</v>
      </c>
      <c r="C122" s="4">
        <v>89.83</v>
      </c>
      <c r="D122" s="4">
        <v>6.18</v>
      </c>
      <c r="E122" s="4">
        <v>29.2</v>
      </c>
      <c r="F122" s="4">
        <v>94.7</v>
      </c>
      <c r="G122" s="4">
        <v>5.83</v>
      </c>
      <c r="H122" s="4">
        <v>27.44</v>
      </c>
      <c r="I122" s="4">
        <v>87.68</v>
      </c>
      <c r="J122" s="4">
        <v>5.8</v>
      </c>
      <c r="K122" s="4">
        <v>26.96</v>
      </c>
      <c r="L122" s="4">
        <v>87.31</v>
      </c>
      <c r="M122" s="4">
        <v>5.93</v>
      </c>
    </row>
    <row r="123" spans="1:13" x14ac:dyDescent="0.3">
      <c r="B123" s="3">
        <v>15.83</v>
      </c>
      <c r="C123" s="3">
        <v>139.84</v>
      </c>
      <c r="D123" s="3">
        <v>7.04</v>
      </c>
      <c r="E123" s="3">
        <v>12.15</v>
      </c>
      <c r="F123" s="3">
        <v>58.16</v>
      </c>
      <c r="G123" s="3">
        <v>8.16</v>
      </c>
      <c r="H123" s="3">
        <v>8.98</v>
      </c>
      <c r="I123" s="3">
        <v>87.19</v>
      </c>
      <c r="J123" s="3">
        <v>8.98</v>
      </c>
      <c r="K123" s="3">
        <v>11.75</v>
      </c>
      <c r="L123" s="3">
        <v>57.14</v>
      </c>
      <c r="M123" s="3">
        <v>8.4700000000000006</v>
      </c>
    </row>
    <row r="124" spans="1:13" x14ac:dyDescent="0.3">
      <c r="B124" s="4">
        <v>29.25</v>
      </c>
      <c r="C124" s="4">
        <v>147.19999999999999</v>
      </c>
      <c r="D124" s="4">
        <v>4.8899999999999997</v>
      </c>
      <c r="E124" s="4">
        <v>25.02</v>
      </c>
      <c r="F124" s="4">
        <v>125.67</v>
      </c>
      <c r="G124" s="4">
        <v>5.7</v>
      </c>
      <c r="H124" s="4">
        <v>29.79</v>
      </c>
      <c r="I124" s="4">
        <v>109.93</v>
      </c>
      <c r="J124" s="4">
        <v>5.28</v>
      </c>
      <c r="K124" s="4">
        <v>23.85</v>
      </c>
      <c r="L124" s="4">
        <v>95.45</v>
      </c>
      <c r="M124" s="4">
        <v>5.86</v>
      </c>
    </row>
    <row r="125" spans="1:13" x14ac:dyDescent="0.3">
      <c r="B125" s="3">
        <v>23.75</v>
      </c>
      <c r="C125" s="3">
        <v>87.32</v>
      </c>
      <c r="D125" s="3">
        <v>6.93</v>
      </c>
      <c r="E125" s="3">
        <v>25.69</v>
      </c>
      <c r="F125" s="3">
        <v>72.17</v>
      </c>
      <c r="G125" s="3">
        <v>6.42</v>
      </c>
      <c r="H125" s="3">
        <v>22.87</v>
      </c>
      <c r="I125" s="3">
        <v>73.38</v>
      </c>
      <c r="J125" s="3">
        <v>7</v>
      </c>
      <c r="K125" s="3">
        <v>23.72</v>
      </c>
      <c r="L125" s="3">
        <v>79.760000000000005</v>
      </c>
      <c r="M125" s="3">
        <v>6.09</v>
      </c>
    </row>
    <row r="126" spans="1:13" x14ac:dyDescent="0.3">
      <c r="B126" s="4">
        <v>35.18</v>
      </c>
      <c r="C126" s="4">
        <v>117.39</v>
      </c>
      <c r="D126" s="4">
        <v>5.18</v>
      </c>
      <c r="E126" s="4">
        <v>36.47</v>
      </c>
      <c r="F126" s="4">
        <v>132.81</v>
      </c>
      <c r="G126" s="4">
        <v>5.26</v>
      </c>
      <c r="H126" s="4">
        <v>40.520000000000003</v>
      </c>
      <c r="I126" s="4">
        <v>133.06</v>
      </c>
      <c r="J126" s="4">
        <v>5.04</v>
      </c>
      <c r="K126" s="4">
        <v>33.9</v>
      </c>
      <c r="L126" s="4">
        <v>141.25</v>
      </c>
      <c r="M126" s="4">
        <v>5.23</v>
      </c>
    </row>
    <row r="127" spans="1:13" x14ac:dyDescent="0.3">
      <c r="B127" s="3">
        <v>29.25</v>
      </c>
      <c r="C127" s="3">
        <v>110.7</v>
      </c>
      <c r="D127" s="3">
        <v>6.42</v>
      </c>
      <c r="E127" s="3">
        <v>29.29</v>
      </c>
      <c r="F127" s="3">
        <v>87.58</v>
      </c>
      <c r="G127" s="3">
        <v>6.42</v>
      </c>
      <c r="H127" s="3">
        <v>23.48</v>
      </c>
      <c r="I127" s="3">
        <v>72.84</v>
      </c>
      <c r="J127" s="3">
        <v>6.42</v>
      </c>
      <c r="K127" s="3">
        <v>13.22</v>
      </c>
      <c r="L127" s="3">
        <v>34.92</v>
      </c>
      <c r="M127" s="3">
        <v>6.42</v>
      </c>
    </row>
    <row r="128" spans="1:13" x14ac:dyDescent="0.3">
      <c r="B128" s="4">
        <v>14.77</v>
      </c>
      <c r="C128" s="4">
        <v>57.28</v>
      </c>
      <c r="D128" s="4">
        <v>7.89</v>
      </c>
      <c r="E128" s="4">
        <v>32.46</v>
      </c>
      <c r="F128" s="4">
        <v>126.36</v>
      </c>
      <c r="G128" s="4">
        <v>5.71</v>
      </c>
      <c r="H128" s="4">
        <v>19.350000000000001</v>
      </c>
      <c r="I128" s="4">
        <v>87.26</v>
      </c>
      <c r="J128" s="4">
        <v>7.3</v>
      </c>
      <c r="K128" s="4">
        <v>28.82</v>
      </c>
      <c r="L128" s="4">
        <v>148.05000000000001</v>
      </c>
      <c r="M128" s="4">
        <v>6.44</v>
      </c>
    </row>
    <row r="129" spans="1:13" x14ac:dyDescent="0.3">
      <c r="B129" s="3">
        <v>15.83</v>
      </c>
      <c r="C129" s="3">
        <v>87.32</v>
      </c>
      <c r="D129" s="3">
        <v>10.4</v>
      </c>
      <c r="E129" s="3">
        <v>15.83</v>
      </c>
      <c r="F129" s="3">
        <v>87.75</v>
      </c>
      <c r="G129" s="3">
        <v>10.27</v>
      </c>
      <c r="H129" s="3">
        <v>15.83</v>
      </c>
      <c r="I129" s="3">
        <v>72.38</v>
      </c>
      <c r="J129" s="3">
        <v>10.17</v>
      </c>
      <c r="K129" s="3">
        <v>15.83</v>
      </c>
      <c r="L129" s="3">
        <v>87.32</v>
      </c>
      <c r="M129" s="3">
        <v>10.68</v>
      </c>
    </row>
    <row r="130" spans="1:13" x14ac:dyDescent="0.3">
      <c r="B130" s="4">
        <v>29.4</v>
      </c>
      <c r="C130" s="4">
        <v>110.18</v>
      </c>
      <c r="D130" s="4">
        <v>5.45</v>
      </c>
      <c r="E130" s="4">
        <v>28.88</v>
      </c>
      <c r="F130" s="4">
        <v>109.77</v>
      </c>
      <c r="G130" s="4">
        <v>5.27</v>
      </c>
      <c r="H130" s="4">
        <v>23.3</v>
      </c>
      <c r="I130" s="4">
        <v>95.14</v>
      </c>
      <c r="J130" s="4">
        <v>5.77</v>
      </c>
      <c r="K130" s="4">
        <v>25.44</v>
      </c>
      <c r="L130" s="4">
        <v>117.22</v>
      </c>
      <c r="M130" s="4">
        <v>5.77</v>
      </c>
    </row>
    <row r="131" spans="1:13" x14ac:dyDescent="0.3">
      <c r="B131" s="3">
        <v>15.83</v>
      </c>
      <c r="C131" s="3">
        <v>42.44</v>
      </c>
      <c r="D131" s="3">
        <v>9.7100000000000009</v>
      </c>
      <c r="E131" s="3">
        <v>15.83</v>
      </c>
      <c r="F131" s="3">
        <v>42.44</v>
      </c>
      <c r="G131" s="3">
        <v>9.7100000000000009</v>
      </c>
      <c r="H131" s="3">
        <v>15.83</v>
      </c>
      <c r="I131" s="3">
        <v>42.44</v>
      </c>
      <c r="J131" s="3">
        <v>9.7100000000000009</v>
      </c>
      <c r="K131" s="3">
        <v>15.83</v>
      </c>
      <c r="L131" s="3">
        <v>42.44</v>
      </c>
      <c r="M131" s="3">
        <v>9.7100000000000009</v>
      </c>
    </row>
    <row r="132" spans="1:13" x14ac:dyDescent="0.3">
      <c r="B132" s="4">
        <v>32.96</v>
      </c>
      <c r="C132" s="4">
        <v>185.22</v>
      </c>
      <c r="D132" s="4">
        <v>5.28</v>
      </c>
      <c r="E132" s="4">
        <v>27.41</v>
      </c>
      <c r="F132" s="4">
        <v>94.78</v>
      </c>
      <c r="G132" s="4">
        <v>5.96</v>
      </c>
      <c r="H132" s="4">
        <v>40.46</v>
      </c>
      <c r="I132" s="4">
        <v>177.35</v>
      </c>
      <c r="J132" s="4">
        <v>4.9000000000000004</v>
      </c>
      <c r="K132" s="4">
        <v>45.52</v>
      </c>
      <c r="L132" s="4">
        <v>207.44</v>
      </c>
      <c r="M132" s="4">
        <v>4.6100000000000003</v>
      </c>
    </row>
    <row r="133" spans="1:13" x14ac:dyDescent="0.3">
      <c r="B133" s="3">
        <v>17.059999999999999</v>
      </c>
      <c r="C133" s="3">
        <v>58.04</v>
      </c>
      <c r="D133" s="3">
        <v>7.67</v>
      </c>
      <c r="E133" s="3">
        <v>15.83</v>
      </c>
      <c r="F133" s="3">
        <v>43.78</v>
      </c>
      <c r="G133" s="3">
        <v>10.67</v>
      </c>
      <c r="H133" s="3">
        <v>15.83</v>
      </c>
      <c r="I133" s="3">
        <v>27.14</v>
      </c>
      <c r="J133" s="3">
        <v>10.71</v>
      </c>
      <c r="K133" s="3">
        <v>15.83</v>
      </c>
      <c r="L133" s="3">
        <v>36.76</v>
      </c>
      <c r="M133" s="3">
        <v>9.98</v>
      </c>
    </row>
    <row r="134" spans="1:13" x14ac:dyDescent="0.3">
      <c r="B134" s="4">
        <v>19.059999999999999</v>
      </c>
      <c r="C134" s="4">
        <v>79.64</v>
      </c>
      <c r="D134" s="4">
        <v>6.83</v>
      </c>
      <c r="E134" s="4">
        <v>25.72</v>
      </c>
      <c r="F134" s="4">
        <v>94.64</v>
      </c>
      <c r="G134" s="4">
        <v>6.16</v>
      </c>
      <c r="H134" s="4">
        <v>23.49</v>
      </c>
      <c r="I134" s="4">
        <v>88.09</v>
      </c>
      <c r="J134" s="4">
        <v>5.96</v>
      </c>
      <c r="K134" s="4">
        <v>21.25</v>
      </c>
      <c r="L134" s="4">
        <v>79.739999999999995</v>
      </c>
      <c r="M134" s="4">
        <v>6.11</v>
      </c>
    </row>
    <row r="135" spans="1:13" x14ac:dyDescent="0.3">
      <c r="B135" s="3">
        <v>13.18</v>
      </c>
      <c r="C135" s="3">
        <v>117.25</v>
      </c>
      <c r="D135" s="3">
        <v>7.67</v>
      </c>
      <c r="E135" s="3">
        <v>10.02</v>
      </c>
      <c r="F135" s="3">
        <v>49.85</v>
      </c>
      <c r="G135" s="3">
        <v>8.4600000000000009</v>
      </c>
      <c r="H135" s="3">
        <v>15.83</v>
      </c>
      <c r="I135" s="3">
        <v>72.510000000000005</v>
      </c>
      <c r="J135" s="3">
        <v>9.81</v>
      </c>
      <c r="K135" s="3">
        <v>15.83</v>
      </c>
      <c r="L135" s="3">
        <v>42.74</v>
      </c>
      <c r="M135" s="3">
        <v>9.19</v>
      </c>
    </row>
    <row r="136" spans="1:13" x14ac:dyDescent="0.3">
      <c r="B136" s="4">
        <v>20.74</v>
      </c>
      <c r="C136" s="4">
        <v>139.68</v>
      </c>
      <c r="D136" s="4">
        <v>7.32</v>
      </c>
      <c r="E136" s="4">
        <v>18.47</v>
      </c>
      <c r="F136" s="4">
        <v>87.33</v>
      </c>
      <c r="G136" s="4">
        <v>6.43</v>
      </c>
      <c r="H136" s="4">
        <v>21.55</v>
      </c>
      <c r="I136" s="4">
        <v>102.34</v>
      </c>
      <c r="J136" s="4">
        <v>6.03</v>
      </c>
      <c r="K136" s="4">
        <v>18.5</v>
      </c>
      <c r="L136" s="4">
        <v>73.62</v>
      </c>
      <c r="M136" s="4">
        <v>6.04</v>
      </c>
    </row>
    <row r="137" spans="1:13" x14ac:dyDescent="0.3">
      <c r="B137" s="3">
        <v>21.96</v>
      </c>
      <c r="C137" s="3">
        <v>79.73</v>
      </c>
      <c r="D137" s="3">
        <v>6.97</v>
      </c>
      <c r="E137" s="3">
        <v>20.77</v>
      </c>
      <c r="F137" s="3">
        <v>64.599999999999994</v>
      </c>
      <c r="G137" s="3">
        <v>6.94</v>
      </c>
      <c r="H137" s="3">
        <v>23.14</v>
      </c>
      <c r="I137" s="3">
        <v>57.08</v>
      </c>
      <c r="J137" s="3">
        <v>6.96</v>
      </c>
      <c r="K137" s="3">
        <v>23.75</v>
      </c>
      <c r="L137" s="3">
        <v>72.209999999999994</v>
      </c>
      <c r="M137" s="3">
        <v>6.7</v>
      </c>
    </row>
    <row r="138" spans="1:13" x14ac:dyDescent="0.3">
      <c r="B138" s="4">
        <v>24.46</v>
      </c>
      <c r="C138" s="4">
        <v>117.13</v>
      </c>
      <c r="D138" s="4">
        <v>6.31</v>
      </c>
      <c r="E138" s="4">
        <v>28.05</v>
      </c>
      <c r="F138" s="4">
        <v>119.81</v>
      </c>
      <c r="G138" s="4">
        <v>6.33</v>
      </c>
      <c r="H138" s="4">
        <v>30.58</v>
      </c>
      <c r="I138" s="4">
        <v>132.6</v>
      </c>
      <c r="J138" s="4">
        <v>5.91</v>
      </c>
      <c r="K138" s="4">
        <v>25.55</v>
      </c>
      <c r="L138" s="4">
        <v>109.67</v>
      </c>
      <c r="M138" s="4">
        <v>6.33</v>
      </c>
    </row>
    <row r="139" spans="1:13" x14ac:dyDescent="0.3">
      <c r="B139" s="3">
        <v>24.17</v>
      </c>
      <c r="C139" s="3">
        <v>109.95</v>
      </c>
      <c r="D139" s="3">
        <v>6.28</v>
      </c>
      <c r="E139" s="3">
        <v>23.27</v>
      </c>
      <c r="F139" s="3">
        <v>79.64</v>
      </c>
      <c r="G139" s="3">
        <v>6.17</v>
      </c>
      <c r="H139" s="3">
        <v>17.239999999999998</v>
      </c>
      <c r="I139" s="3">
        <v>64.72</v>
      </c>
      <c r="J139" s="3">
        <v>7</v>
      </c>
      <c r="K139" s="3">
        <v>6.24</v>
      </c>
      <c r="L139" s="3">
        <v>34.840000000000003</v>
      </c>
      <c r="M139" s="3">
        <v>10.68</v>
      </c>
    </row>
    <row r="140" spans="1:13" x14ac:dyDescent="0.3">
      <c r="B140" s="4">
        <v>11.78</v>
      </c>
      <c r="C140" s="4">
        <v>43.53</v>
      </c>
      <c r="D140" s="4">
        <v>8.7100000000000009</v>
      </c>
      <c r="E140" s="4">
        <v>25.77</v>
      </c>
      <c r="F140" s="4">
        <v>125.23</v>
      </c>
      <c r="G140" s="4">
        <v>6.86</v>
      </c>
      <c r="H140" s="4">
        <v>19.75</v>
      </c>
      <c r="I140" s="4">
        <v>88.68</v>
      </c>
      <c r="J140" s="4">
        <v>7.56</v>
      </c>
      <c r="K140" s="4">
        <v>26.4</v>
      </c>
      <c r="L140" s="4">
        <v>148.15</v>
      </c>
      <c r="M140" s="4">
        <v>6.66</v>
      </c>
    </row>
    <row r="142" spans="1:13" x14ac:dyDescent="0.3">
      <c r="A142" s="5" t="s">
        <v>42</v>
      </c>
      <c r="B142" s="5">
        <f>AVERAGE(B117:B140)</f>
        <v>21.7775</v>
      </c>
      <c r="C142" s="5">
        <f t="shared" ref="C142:M142" si="6">AVERAGE(C117:C140)</f>
        <v>98.674583333333359</v>
      </c>
      <c r="D142" s="5">
        <f t="shared" si="6"/>
        <v>7.0966666666666667</v>
      </c>
      <c r="E142" s="5">
        <f t="shared" si="6"/>
        <v>22.450833333333332</v>
      </c>
      <c r="F142" s="5">
        <f t="shared" si="6"/>
        <v>86.198749999999976</v>
      </c>
      <c r="G142" s="5">
        <f t="shared" si="6"/>
        <v>7.1154166666666674</v>
      </c>
      <c r="H142" s="5">
        <f t="shared" si="6"/>
        <v>22.204166666666662</v>
      </c>
      <c r="I142" s="5">
        <f t="shared" si="6"/>
        <v>89.264166666666654</v>
      </c>
      <c r="J142" s="5">
        <f t="shared" si="6"/>
        <v>7.1508333333333347</v>
      </c>
      <c r="K142" s="5">
        <f t="shared" si="6"/>
        <v>22.40583333333333</v>
      </c>
      <c r="L142" s="5">
        <f t="shared" si="6"/>
        <v>90.261666666666656</v>
      </c>
      <c r="M142" s="5">
        <f t="shared" si="6"/>
        <v>7.1866666666666665</v>
      </c>
    </row>
    <row r="143" spans="1:13" x14ac:dyDescent="0.3">
      <c r="A143" s="5" t="s">
        <v>35</v>
      </c>
      <c r="B143" s="5">
        <f>AVERAGE(B142,E142,H142,K142)</f>
        <v>22.209583333333331</v>
      </c>
      <c r="C143" s="5">
        <f t="shared" ref="C143:D143" si="7">AVERAGE(C142,F142,I142,L142)</f>
        <v>91.099791666666661</v>
      </c>
      <c r="D143" s="5">
        <f t="shared" si="7"/>
        <v>7.1373958333333345</v>
      </c>
      <c r="E143" s="5"/>
      <c r="F143" s="5"/>
      <c r="G143" s="5"/>
      <c r="H143" s="5"/>
      <c r="I143" s="5"/>
      <c r="J143" s="5"/>
      <c r="K143" s="5"/>
      <c r="L143" s="5"/>
      <c r="M143" s="5"/>
    </row>
    <row r="145" spans="1:13" x14ac:dyDescent="0.3">
      <c r="A145" t="s">
        <v>28</v>
      </c>
      <c r="B145" s="3">
        <v>24.37</v>
      </c>
      <c r="C145" s="3">
        <v>49.89</v>
      </c>
      <c r="D145" s="3">
        <v>6.16</v>
      </c>
      <c r="E145" s="3">
        <v>29.44</v>
      </c>
      <c r="F145" s="3">
        <v>73.56</v>
      </c>
      <c r="G145" s="3">
        <v>5.4</v>
      </c>
      <c r="H145" s="3">
        <v>22.15</v>
      </c>
      <c r="I145" s="3">
        <v>57.12</v>
      </c>
      <c r="J145" s="3">
        <v>6.12</v>
      </c>
      <c r="K145" s="3">
        <v>23.06</v>
      </c>
      <c r="L145" s="3">
        <v>79.62</v>
      </c>
      <c r="M145" s="3">
        <v>5.89</v>
      </c>
    </row>
    <row r="146" spans="1:13" x14ac:dyDescent="0.3">
      <c r="B146" s="4">
        <v>52.03</v>
      </c>
      <c r="C146" s="4">
        <v>91.36</v>
      </c>
      <c r="D146" s="4">
        <v>3.48</v>
      </c>
      <c r="E146" s="4">
        <v>47.32</v>
      </c>
      <c r="F146" s="4">
        <v>79.849999999999994</v>
      </c>
      <c r="G146" s="4">
        <v>3.35</v>
      </c>
      <c r="H146" s="4">
        <v>49.7</v>
      </c>
      <c r="I146" s="4">
        <v>79.900000000000006</v>
      </c>
      <c r="J146" s="4">
        <v>4.18</v>
      </c>
      <c r="K146" s="4">
        <v>49.54</v>
      </c>
      <c r="L146" s="4">
        <v>89.73</v>
      </c>
      <c r="M146" s="4">
        <v>3.96</v>
      </c>
    </row>
    <row r="147" spans="1:13" x14ac:dyDescent="0.3">
      <c r="B147" s="3">
        <v>22.6</v>
      </c>
      <c r="C147" s="3">
        <v>64.78</v>
      </c>
      <c r="D147" s="3">
        <v>6.05</v>
      </c>
      <c r="E147" s="3">
        <v>27.32</v>
      </c>
      <c r="F147" s="3">
        <v>64.48</v>
      </c>
      <c r="G147" s="3">
        <v>5.42</v>
      </c>
      <c r="H147" s="3">
        <v>21.78</v>
      </c>
      <c r="I147" s="3">
        <v>75.69</v>
      </c>
      <c r="J147" s="3">
        <v>6.19</v>
      </c>
      <c r="K147" s="3">
        <v>23.4</v>
      </c>
      <c r="L147" s="3">
        <v>64.459999999999994</v>
      </c>
      <c r="M147" s="3">
        <v>6.02</v>
      </c>
    </row>
    <row r="148" spans="1:13" x14ac:dyDescent="0.3">
      <c r="B148" s="4">
        <v>46.72</v>
      </c>
      <c r="C148" s="4">
        <v>94.7</v>
      </c>
      <c r="D148" s="4">
        <v>4.32</v>
      </c>
      <c r="E148" s="4">
        <v>46.89</v>
      </c>
      <c r="F148" s="4">
        <v>101.27</v>
      </c>
      <c r="G148" s="4">
        <v>3.82</v>
      </c>
      <c r="H148" s="4">
        <v>32.99</v>
      </c>
      <c r="I148" s="4">
        <v>65.989999999999995</v>
      </c>
      <c r="J148" s="4">
        <v>4.8499999999999996</v>
      </c>
      <c r="K148" s="4">
        <v>51.6</v>
      </c>
      <c r="L148" s="4">
        <v>102.13</v>
      </c>
      <c r="M148" s="4">
        <v>3.85</v>
      </c>
    </row>
    <row r="149" spans="1:13" x14ac:dyDescent="0.3">
      <c r="B149" s="3">
        <v>19.71</v>
      </c>
      <c r="C149" s="3">
        <v>42.72</v>
      </c>
      <c r="D149" s="3">
        <v>6.82</v>
      </c>
      <c r="E149" s="3">
        <v>17.96</v>
      </c>
      <c r="F149" s="3">
        <v>63.44</v>
      </c>
      <c r="G149" s="3">
        <v>7.33</v>
      </c>
      <c r="H149" s="3">
        <v>20.97</v>
      </c>
      <c r="I149" s="3">
        <v>85.95</v>
      </c>
      <c r="J149" s="3">
        <v>6.92</v>
      </c>
      <c r="K149" s="3">
        <v>20.85</v>
      </c>
      <c r="L149" s="3">
        <v>57.37</v>
      </c>
      <c r="M149" s="3">
        <v>6.54</v>
      </c>
    </row>
    <row r="150" spans="1:13" x14ac:dyDescent="0.3">
      <c r="B150" s="4">
        <v>30.54</v>
      </c>
      <c r="C150" s="4">
        <v>101.82</v>
      </c>
      <c r="D150" s="4">
        <v>5.04</v>
      </c>
      <c r="E150" s="4">
        <v>37.56</v>
      </c>
      <c r="F150" s="4">
        <v>79.650000000000006</v>
      </c>
      <c r="G150" s="4">
        <v>4.53</v>
      </c>
      <c r="H150" s="4">
        <v>35.72</v>
      </c>
      <c r="I150" s="4">
        <v>79.87</v>
      </c>
      <c r="J150" s="4">
        <v>4.28</v>
      </c>
      <c r="K150" s="4">
        <v>30.96</v>
      </c>
      <c r="L150" s="4">
        <v>72.2</v>
      </c>
      <c r="M150" s="4">
        <v>4.7300000000000004</v>
      </c>
    </row>
    <row r="151" spans="1:13" x14ac:dyDescent="0.3">
      <c r="B151" s="3">
        <v>26.61</v>
      </c>
      <c r="C151" s="3">
        <v>64.77</v>
      </c>
      <c r="D151" s="3">
        <v>4.99</v>
      </c>
      <c r="E151" s="3">
        <v>25.33</v>
      </c>
      <c r="F151" s="3">
        <v>55.84</v>
      </c>
      <c r="G151" s="3">
        <v>5.53</v>
      </c>
      <c r="H151" s="3">
        <v>17.850000000000001</v>
      </c>
      <c r="I151" s="3">
        <v>64.709999999999994</v>
      </c>
      <c r="J151" s="3">
        <v>6.77</v>
      </c>
      <c r="K151" s="3">
        <v>22.86</v>
      </c>
      <c r="L151" s="3">
        <v>72.16</v>
      </c>
      <c r="M151" s="3">
        <v>5.34</v>
      </c>
    </row>
    <row r="152" spans="1:13" x14ac:dyDescent="0.3">
      <c r="B152" s="4">
        <v>48.85</v>
      </c>
      <c r="C152" s="4">
        <v>85.69</v>
      </c>
      <c r="D152" s="4">
        <v>3.53</v>
      </c>
      <c r="E152" s="4">
        <v>48.84</v>
      </c>
      <c r="F152" s="4">
        <v>85.84</v>
      </c>
      <c r="G152" s="4">
        <v>3.59</v>
      </c>
      <c r="H152" s="4">
        <v>35.49</v>
      </c>
      <c r="I152" s="4">
        <v>85.61</v>
      </c>
      <c r="J152" s="4">
        <v>4.6100000000000003</v>
      </c>
      <c r="K152" s="4">
        <v>43.07</v>
      </c>
      <c r="L152" s="4">
        <v>102.18</v>
      </c>
      <c r="M152" s="4">
        <v>3.64</v>
      </c>
    </row>
    <row r="153" spans="1:13" x14ac:dyDescent="0.3">
      <c r="B153" s="3">
        <v>24.31</v>
      </c>
      <c r="C153" s="3">
        <v>65.92</v>
      </c>
      <c r="D153" s="3">
        <v>5.61</v>
      </c>
      <c r="E153" s="3">
        <v>26.49</v>
      </c>
      <c r="F153" s="3">
        <v>72.28</v>
      </c>
      <c r="G153" s="3">
        <v>5.53</v>
      </c>
      <c r="H153" s="3">
        <v>21.37</v>
      </c>
      <c r="I153" s="3">
        <v>64.569999999999993</v>
      </c>
      <c r="J153" s="3">
        <v>6</v>
      </c>
      <c r="K153" s="3">
        <v>20.69</v>
      </c>
      <c r="L153" s="3">
        <v>71.959999999999994</v>
      </c>
      <c r="M153" s="3">
        <v>6.03</v>
      </c>
    </row>
    <row r="154" spans="1:13" x14ac:dyDescent="0.3">
      <c r="B154" s="4">
        <v>38.5</v>
      </c>
      <c r="C154" s="4">
        <v>96.98</v>
      </c>
      <c r="D154" s="4">
        <v>4.12</v>
      </c>
      <c r="E154" s="4">
        <v>38.07</v>
      </c>
      <c r="F154" s="4">
        <v>99.12</v>
      </c>
      <c r="G154" s="4">
        <v>3.99</v>
      </c>
      <c r="H154" s="4">
        <v>44.34</v>
      </c>
      <c r="I154" s="4">
        <v>79.650000000000006</v>
      </c>
      <c r="J154" s="4">
        <v>4.3899999999999997</v>
      </c>
      <c r="K154" s="4">
        <v>38.93</v>
      </c>
      <c r="L154" s="4">
        <v>94.67</v>
      </c>
      <c r="M154" s="4">
        <v>4.4400000000000004</v>
      </c>
    </row>
    <row r="155" spans="1:13" x14ac:dyDescent="0.3">
      <c r="B155" s="3">
        <v>28.36</v>
      </c>
      <c r="C155" s="3">
        <v>49.74</v>
      </c>
      <c r="D155" s="3">
        <v>5.65</v>
      </c>
      <c r="E155" s="3">
        <v>24.24</v>
      </c>
      <c r="F155" s="3">
        <v>49.61</v>
      </c>
      <c r="G155" s="3">
        <v>6.28</v>
      </c>
      <c r="H155" s="3">
        <v>35.9</v>
      </c>
      <c r="I155" s="3">
        <v>78.290000000000006</v>
      </c>
      <c r="J155" s="3">
        <v>5.27</v>
      </c>
      <c r="K155" s="3">
        <v>29.4</v>
      </c>
      <c r="L155" s="3">
        <v>49.74</v>
      </c>
      <c r="M155" s="3">
        <v>5.85</v>
      </c>
    </row>
    <row r="156" spans="1:13" x14ac:dyDescent="0.3">
      <c r="B156" s="4">
        <v>48.94</v>
      </c>
      <c r="C156" s="4">
        <v>92.95</v>
      </c>
      <c r="D156" s="4">
        <v>3.72</v>
      </c>
      <c r="E156" s="4">
        <v>26.59</v>
      </c>
      <c r="F156" s="4">
        <v>93.23</v>
      </c>
      <c r="G156" s="4">
        <v>5.31</v>
      </c>
      <c r="H156" s="4">
        <v>35.619999999999997</v>
      </c>
      <c r="I156" s="4">
        <v>72.2</v>
      </c>
      <c r="J156" s="4">
        <v>4.16</v>
      </c>
      <c r="K156" s="4">
        <v>30.39</v>
      </c>
      <c r="L156" s="4">
        <v>100.64</v>
      </c>
      <c r="M156" s="4">
        <v>5.13</v>
      </c>
    </row>
    <row r="157" spans="1:13" x14ac:dyDescent="0.3">
      <c r="B157" s="3">
        <v>6.22</v>
      </c>
      <c r="C157" s="3">
        <v>34.770000000000003</v>
      </c>
      <c r="D157" s="3">
        <v>10.1</v>
      </c>
      <c r="E157" s="3">
        <v>6.78</v>
      </c>
      <c r="F157" s="3">
        <v>42.31</v>
      </c>
      <c r="G157" s="3">
        <v>10.09</v>
      </c>
      <c r="H157" s="3">
        <v>6.47</v>
      </c>
      <c r="I157" s="3">
        <v>34.9</v>
      </c>
      <c r="J157" s="3">
        <v>10</v>
      </c>
      <c r="K157" s="3">
        <v>5.82</v>
      </c>
      <c r="L157" s="3">
        <v>36.4</v>
      </c>
      <c r="M157" s="3">
        <v>10.17</v>
      </c>
    </row>
    <row r="158" spans="1:13" x14ac:dyDescent="0.3">
      <c r="B158" s="4">
        <v>24.72</v>
      </c>
      <c r="C158" s="4">
        <v>79.77</v>
      </c>
      <c r="D158" s="4">
        <v>5.78</v>
      </c>
      <c r="E158" s="4">
        <v>22.44</v>
      </c>
      <c r="F158" s="4">
        <v>70.84</v>
      </c>
      <c r="G158" s="4">
        <v>5.71</v>
      </c>
      <c r="H158" s="4">
        <v>24.83</v>
      </c>
      <c r="I158" s="4">
        <v>72.239999999999995</v>
      </c>
      <c r="J158" s="4">
        <v>6.07</v>
      </c>
      <c r="K158" s="4">
        <v>25.12</v>
      </c>
      <c r="L158" s="4">
        <v>93.26</v>
      </c>
      <c r="M158" s="4">
        <v>5.65</v>
      </c>
    </row>
    <row r="159" spans="1:13" x14ac:dyDescent="0.3">
      <c r="B159" s="3">
        <v>6.9</v>
      </c>
      <c r="C159" s="3">
        <v>26.98</v>
      </c>
      <c r="D159" s="3">
        <v>10.31</v>
      </c>
      <c r="E159" s="3">
        <v>7.59</v>
      </c>
      <c r="F159" s="3">
        <v>26.47</v>
      </c>
      <c r="G159" s="3">
        <v>10.55</v>
      </c>
      <c r="H159" s="3">
        <v>4.4800000000000004</v>
      </c>
      <c r="I159" s="3">
        <v>13.08</v>
      </c>
      <c r="J159" s="3">
        <v>11.49</v>
      </c>
      <c r="K159" s="3">
        <v>6.53</v>
      </c>
      <c r="L159" s="3">
        <v>18</v>
      </c>
      <c r="M159" s="3">
        <v>10.64</v>
      </c>
    </row>
    <row r="160" spans="1:13" x14ac:dyDescent="0.3">
      <c r="B160" s="4">
        <v>24.99</v>
      </c>
      <c r="C160" s="4">
        <v>102.22</v>
      </c>
      <c r="D160" s="4">
        <v>5.87</v>
      </c>
      <c r="E160" s="4">
        <v>21.05</v>
      </c>
      <c r="F160" s="4">
        <v>94.75</v>
      </c>
      <c r="G160" s="4">
        <v>6.6</v>
      </c>
      <c r="H160" s="4">
        <v>18.309999999999999</v>
      </c>
      <c r="I160" s="4">
        <v>70.88</v>
      </c>
      <c r="J160" s="4">
        <v>6.64</v>
      </c>
      <c r="K160" s="4">
        <v>24.61</v>
      </c>
      <c r="L160" s="4">
        <v>102.46</v>
      </c>
      <c r="M160" s="4">
        <v>6</v>
      </c>
    </row>
    <row r="161" spans="1:13" x14ac:dyDescent="0.3">
      <c r="B161" s="3">
        <v>10.9</v>
      </c>
      <c r="C161" s="3">
        <v>34.82</v>
      </c>
      <c r="D161" s="3">
        <v>8.74</v>
      </c>
      <c r="E161" s="3">
        <v>8.36</v>
      </c>
      <c r="F161" s="3">
        <v>50.09</v>
      </c>
      <c r="G161" s="3">
        <v>9.56</v>
      </c>
      <c r="H161" s="3">
        <v>6.52</v>
      </c>
      <c r="I161" s="3">
        <v>28.68</v>
      </c>
      <c r="J161" s="3">
        <v>10.17</v>
      </c>
      <c r="K161" s="3">
        <v>6.22</v>
      </c>
      <c r="L161" s="3">
        <v>36.14</v>
      </c>
      <c r="M161" s="3">
        <v>10.41</v>
      </c>
    </row>
    <row r="162" spans="1:13" x14ac:dyDescent="0.3">
      <c r="B162" s="4">
        <v>16.22</v>
      </c>
      <c r="C162" s="4">
        <v>85.73</v>
      </c>
      <c r="D162" s="4">
        <v>7.06</v>
      </c>
      <c r="E162" s="4">
        <v>16.93</v>
      </c>
      <c r="F162" s="4">
        <v>72.2</v>
      </c>
      <c r="G162" s="4">
        <v>7.03</v>
      </c>
      <c r="H162" s="4">
        <v>18.329999999999998</v>
      </c>
      <c r="I162" s="4">
        <v>71.09</v>
      </c>
      <c r="J162" s="4">
        <v>6.66</v>
      </c>
      <c r="K162" s="4">
        <v>18.399999999999999</v>
      </c>
      <c r="L162" s="4">
        <v>70.73</v>
      </c>
      <c r="M162" s="4">
        <v>6.26</v>
      </c>
    </row>
    <row r="163" spans="1:13" x14ac:dyDescent="0.3">
      <c r="B163" s="3">
        <v>8</v>
      </c>
      <c r="C163" s="3">
        <v>64.680000000000007</v>
      </c>
      <c r="D163" s="3">
        <v>9.52</v>
      </c>
      <c r="E163" s="3">
        <v>9.32</v>
      </c>
      <c r="F163" s="3">
        <v>78.28</v>
      </c>
      <c r="G163" s="3">
        <v>9.15</v>
      </c>
      <c r="H163" s="3">
        <v>7.1</v>
      </c>
      <c r="I163" s="3">
        <v>35.020000000000003</v>
      </c>
      <c r="J163" s="3">
        <v>9.91</v>
      </c>
      <c r="K163" s="3">
        <v>9.7100000000000009</v>
      </c>
      <c r="L163" s="3">
        <v>63.64</v>
      </c>
      <c r="M163" s="3">
        <v>8.66</v>
      </c>
    </row>
    <row r="164" spans="1:13" x14ac:dyDescent="0.3">
      <c r="B164" s="4">
        <v>20.440000000000001</v>
      </c>
      <c r="C164" s="4">
        <v>93.36</v>
      </c>
      <c r="D164" s="4">
        <v>6.06</v>
      </c>
      <c r="E164" s="4">
        <v>20.82</v>
      </c>
      <c r="F164" s="4">
        <v>85.7</v>
      </c>
      <c r="G164" s="4">
        <v>6.51</v>
      </c>
      <c r="H164" s="4">
        <v>16.79</v>
      </c>
      <c r="I164" s="4">
        <v>64.819999999999993</v>
      </c>
      <c r="J164" s="4">
        <v>7.17</v>
      </c>
      <c r="K164" s="4">
        <v>17.940000000000001</v>
      </c>
      <c r="L164" s="4">
        <v>106.83</v>
      </c>
      <c r="M164" s="4">
        <v>6.09</v>
      </c>
    </row>
    <row r="165" spans="1:13" x14ac:dyDescent="0.3">
      <c r="B165" s="3">
        <v>13.52</v>
      </c>
      <c r="C165" s="3">
        <v>56.22</v>
      </c>
      <c r="D165" s="3">
        <v>8.18</v>
      </c>
      <c r="E165" s="3">
        <v>14.79</v>
      </c>
      <c r="F165" s="3">
        <v>63.3</v>
      </c>
      <c r="G165" s="3">
        <v>7.98</v>
      </c>
      <c r="H165" s="3">
        <v>10.38</v>
      </c>
      <c r="I165" s="3">
        <v>40.24</v>
      </c>
      <c r="J165" s="3">
        <v>9.4600000000000009</v>
      </c>
      <c r="K165" s="3">
        <v>15.29</v>
      </c>
      <c r="L165" s="3">
        <v>49.72</v>
      </c>
      <c r="M165" s="3">
        <v>7.91</v>
      </c>
    </row>
    <row r="166" spans="1:13" x14ac:dyDescent="0.3">
      <c r="B166" s="4">
        <v>17.87</v>
      </c>
      <c r="C166" s="4">
        <v>79.739999999999995</v>
      </c>
      <c r="D166" s="4">
        <v>6.64</v>
      </c>
      <c r="E166" s="4">
        <v>19.63</v>
      </c>
      <c r="F166" s="4">
        <v>87.29</v>
      </c>
      <c r="G166" s="4">
        <v>6.27</v>
      </c>
      <c r="H166" s="4">
        <v>19.809999999999999</v>
      </c>
      <c r="I166" s="4">
        <v>87.34</v>
      </c>
      <c r="J166" s="4">
        <v>6.53</v>
      </c>
      <c r="K166" s="4">
        <v>20.67</v>
      </c>
      <c r="L166" s="4">
        <v>87.54</v>
      </c>
      <c r="M166" s="4">
        <v>6.2</v>
      </c>
    </row>
    <row r="167" spans="1:13" x14ac:dyDescent="0.3">
      <c r="B167" s="3">
        <v>12.13</v>
      </c>
      <c r="C167" s="3">
        <v>49.74</v>
      </c>
      <c r="D167" s="3">
        <v>8.0399999999999991</v>
      </c>
      <c r="E167" s="3">
        <v>15.31</v>
      </c>
      <c r="F167" s="3">
        <v>72.31</v>
      </c>
      <c r="G167" s="3">
        <v>7.3</v>
      </c>
      <c r="H167" s="3">
        <v>14.79</v>
      </c>
      <c r="I167" s="3">
        <v>64.81</v>
      </c>
      <c r="J167" s="3">
        <v>7.86</v>
      </c>
      <c r="K167" s="3">
        <v>11</v>
      </c>
      <c r="L167" s="3">
        <v>42.48</v>
      </c>
      <c r="M167" s="3">
        <v>8.8000000000000007</v>
      </c>
    </row>
    <row r="168" spans="1:13" x14ac:dyDescent="0.3">
      <c r="B168" s="4">
        <v>17.829999999999998</v>
      </c>
      <c r="C168" s="4">
        <v>85.85</v>
      </c>
      <c r="D168" s="4">
        <v>7.06</v>
      </c>
      <c r="E168" s="4">
        <v>15.43</v>
      </c>
      <c r="F168" s="4">
        <v>57.24</v>
      </c>
      <c r="G168" s="4">
        <v>6.87</v>
      </c>
      <c r="H168" s="4">
        <v>16.68</v>
      </c>
      <c r="I168" s="4">
        <v>72.31</v>
      </c>
      <c r="J168" s="4">
        <v>6.93</v>
      </c>
      <c r="K168" s="4">
        <v>15.1</v>
      </c>
      <c r="L168" s="4">
        <v>73.17</v>
      </c>
      <c r="M168" s="4">
        <v>7.05</v>
      </c>
    </row>
    <row r="170" spans="1:13" x14ac:dyDescent="0.3">
      <c r="A170" s="5" t="s">
        <v>42</v>
      </c>
      <c r="B170" s="5">
        <f>AVERAGE(B145:B168)</f>
        <v>24.63666666666667</v>
      </c>
      <c r="C170" s="5">
        <f t="shared" ref="C170:M170" si="8">AVERAGE(C145:C168)</f>
        <v>70.633333333333326</v>
      </c>
      <c r="D170" s="5">
        <f t="shared" si="8"/>
        <v>6.3687499999999986</v>
      </c>
      <c r="E170" s="5">
        <f t="shared" si="8"/>
        <v>23.937499999999996</v>
      </c>
      <c r="F170" s="5">
        <f t="shared" si="8"/>
        <v>71.622916666666654</v>
      </c>
      <c r="G170" s="5">
        <f t="shared" si="8"/>
        <v>6.4041666666666677</v>
      </c>
      <c r="H170" s="5">
        <f t="shared" si="8"/>
        <v>22.432083333333335</v>
      </c>
      <c r="I170" s="5">
        <f t="shared" si="8"/>
        <v>64.373333333333321</v>
      </c>
      <c r="J170" s="5">
        <f t="shared" si="8"/>
        <v>6.776250000000001</v>
      </c>
      <c r="K170" s="5">
        <f t="shared" si="8"/>
        <v>23.381666666666661</v>
      </c>
      <c r="L170" s="5">
        <f t="shared" si="8"/>
        <v>72.384583333333339</v>
      </c>
      <c r="M170" s="5">
        <f t="shared" si="8"/>
        <v>6.4691666666666672</v>
      </c>
    </row>
    <row r="171" spans="1:13" x14ac:dyDescent="0.3">
      <c r="A171" s="5" t="s">
        <v>35</v>
      </c>
      <c r="B171" s="5">
        <f>AVERAGE(B170,E170,H170,K170)</f>
        <v>23.596979166666667</v>
      </c>
      <c r="C171" s="5">
        <f t="shared" ref="C171:D171" si="9">AVERAGE(C170,F170,I170,L170)</f>
        <v>69.753541666666663</v>
      </c>
      <c r="D171" s="5">
        <f t="shared" si="9"/>
        <v>6.5045833333333336</v>
      </c>
      <c r="E171" s="5"/>
      <c r="F171" s="5"/>
      <c r="G171" s="5"/>
      <c r="H171" s="5"/>
      <c r="I171" s="5"/>
      <c r="J171" s="5"/>
      <c r="K171" s="5"/>
      <c r="L171" s="5"/>
      <c r="M171" s="5"/>
    </row>
    <row r="173" spans="1:13" x14ac:dyDescent="0.3">
      <c r="B173" s="38" t="s">
        <v>4</v>
      </c>
      <c r="C173" s="38"/>
      <c r="D173" s="38"/>
      <c r="E173" s="38"/>
    </row>
    <row r="175" spans="1:13" x14ac:dyDescent="0.3">
      <c r="B175" s="39" t="s">
        <v>17</v>
      </c>
      <c r="C175" s="39"/>
      <c r="D175" s="39"/>
      <c r="E175" s="40" t="s">
        <v>18</v>
      </c>
      <c r="F175" s="40"/>
      <c r="G175" s="40"/>
      <c r="H175" s="41" t="s">
        <v>19</v>
      </c>
      <c r="I175" s="41"/>
      <c r="J175" s="41"/>
      <c r="K175" s="42" t="s">
        <v>20</v>
      </c>
      <c r="L175" s="42"/>
      <c r="M175" s="42"/>
    </row>
    <row r="176" spans="1:13" x14ac:dyDescent="0.3">
      <c r="B176" s="1" t="s">
        <v>21</v>
      </c>
      <c r="C176" s="1" t="s">
        <v>22</v>
      </c>
      <c r="D176" s="1" t="s">
        <v>23</v>
      </c>
      <c r="E176" s="1" t="s">
        <v>21</v>
      </c>
      <c r="F176" s="1" t="s">
        <v>22</v>
      </c>
      <c r="G176" s="1" t="s">
        <v>23</v>
      </c>
      <c r="H176" s="1" t="s">
        <v>21</v>
      </c>
      <c r="I176" s="1" t="s">
        <v>22</v>
      </c>
      <c r="J176" s="1" t="s">
        <v>23</v>
      </c>
      <c r="K176" s="1" t="s">
        <v>21</v>
      </c>
      <c r="L176" s="1" t="s">
        <v>22</v>
      </c>
      <c r="M176" s="1" t="s">
        <v>23</v>
      </c>
    </row>
    <row r="177" spans="2:13" x14ac:dyDescent="0.3">
      <c r="B177" s="3">
        <v>30.97</v>
      </c>
      <c r="C177" s="3">
        <v>87.07</v>
      </c>
      <c r="D177" s="3">
        <v>4.8499999999999996</v>
      </c>
      <c r="E177" s="3">
        <v>26.21</v>
      </c>
      <c r="F177" s="3">
        <v>64.72</v>
      </c>
      <c r="G177" s="3">
        <v>4.87</v>
      </c>
      <c r="H177" s="3">
        <v>28.24</v>
      </c>
      <c r="I177" s="3">
        <v>64.349999999999994</v>
      </c>
      <c r="J177" s="3">
        <v>5.21</v>
      </c>
      <c r="K177" s="3">
        <v>27.87</v>
      </c>
      <c r="L177" s="3">
        <v>57.05</v>
      </c>
      <c r="M177" s="3">
        <v>4.9400000000000004</v>
      </c>
    </row>
    <row r="178" spans="2:13" x14ac:dyDescent="0.3">
      <c r="B178" s="4">
        <v>33.54</v>
      </c>
      <c r="C178" s="4">
        <v>116.04</v>
      </c>
      <c r="D178" s="4">
        <v>4.26</v>
      </c>
      <c r="E178" s="4">
        <v>35.72</v>
      </c>
      <c r="F178" s="4">
        <v>123.32</v>
      </c>
      <c r="G178" s="4">
        <v>3.94</v>
      </c>
      <c r="H178" s="4">
        <v>41.1</v>
      </c>
      <c r="I178" s="4">
        <v>169.4</v>
      </c>
      <c r="J178" s="4">
        <v>3.35</v>
      </c>
      <c r="K178" s="4">
        <v>45.45</v>
      </c>
      <c r="L178" s="4">
        <v>175.25</v>
      </c>
      <c r="M178" s="4">
        <v>3.39</v>
      </c>
    </row>
    <row r="179" spans="2:13" x14ac:dyDescent="0.3">
      <c r="B179" s="3">
        <v>46.98</v>
      </c>
      <c r="C179" s="3">
        <v>205.36</v>
      </c>
      <c r="D179" s="3">
        <v>2.78</v>
      </c>
      <c r="E179" s="3">
        <v>44.97</v>
      </c>
      <c r="F179" s="3">
        <v>182.93</v>
      </c>
      <c r="G179" s="3">
        <v>2.84</v>
      </c>
      <c r="H179" s="3">
        <v>51.46</v>
      </c>
      <c r="I179" s="3">
        <v>169.56</v>
      </c>
      <c r="J179" s="3">
        <v>2.75</v>
      </c>
      <c r="K179" s="3">
        <v>53.45</v>
      </c>
      <c r="L179" s="3">
        <v>197.68</v>
      </c>
      <c r="M179" s="3">
        <v>2.59</v>
      </c>
    </row>
    <row r="180" spans="2:13" x14ac:dyDescent="0.3">
      <c r="B180" s="4">
        <v>38.83</v>
      </c>
      <c r="C180" s="4">
        <v>187.4</v>
      </c>
      <c r="D180" s="4">
        <v>3.07</v>
      </c>
      <c r="E180" s="4">
        <v>38.630000000000003</v>
      </c>
      <c r="F180" s="4">
        <v>171.96</v>
      </c>
      <c r="G180" s="4">
        <v>2.77</v>
      </c>
      <c r="H180" s="4">
        <v>38.51</v>
      </c>
      <c r="I180" s="4">
        <v>154.57</v>
      </c>
      <c r="J180" s="4">
        <v>3.84</v>
      </c>
      <c r="K180" s="4">
        <v>48.57</v>
      </c>
      <c r="L180" s="4">
        <v>176.92</v>
      </c>
      <c r="M180" s="4">
        <v>2.56</v>
      </c>
    </row>
    <row r="181" spans="2:13" x14ac:dyDescent="0.3">
      <c r="B181" s="3">
        <v>35.729999999999997</v>
      </c>
      <c r="C181" s="3">
        <v>77.680000000000007</v>
      </c>
      <c r="D181" s="3">
        <v>5.72</v>
      </c>
      <c r="E181" s="3">
        <v>36.61</v>
      </c>
      <c r="F181" s="3">
        <v>115.67</v>
      </c>
      <c r="G181" s="3">
        <v>5.14</v>
      </c>
      <c r="H181" s="3">
        <v>36.57</v>
      </c>
      <c r="I181" s="3">
        <v>77.62</v>
      </c>
      <c r="J181" s="3">
        <v>4.79</v>
      </c>
      <c r="K181" s="3">
        <v>36.64</v>
      </c>
      <c r="L181" s="3">
        <v>85.16</v>
      </c>
      <c r="M181" s="3">
        <v>5.36</v>
      </c>
    </row>
    <row r="182" spans="2:13" x14ac:dyDescent="0.3">
      <c r="B182" s="4">
        <v>36.909999999999997</v>
      </c>
      <c r="C182" s="4">
        <v>102.2</v>
      </c>
      <c r="D182" s="4">
        <v>5.0599999999999996</v>
      </c>
      <c r="E182" s="4">
        <v>35.57</v>
      </c>
      <c r="F182" s="4">
        <v>77.91</v>
      </c>
      <c r="G182" s="4">
        <v>5.01</v>
      </c>
      <c r="H182" s="4">
        <v>35.94</v>
      </c>
      <c r="I182" s="4">
        <v>77.69</v>
      </c>
      <c r="J182" s="4">
        <v>4.8099999999999996</v>
      </c>
      <c r="K182" s="4">
        <v>38.89</v>
      </c>
      <c r="L182" s="4">
        <v>85.25</v>
      </c>
      <c r="M182" s="4">
        <v>4.5199999999999996</v>
      </c>
    </row>
    <row r="183" spans="2:13" x14ac:dyDescent="0.3">
      <c r="B183" s="3">
        <v>49.02</v>
      </c>
      <c r="C183" s="3">
        <v>250</v>
      </c>
      <c r="D183" s="3">
        <v>3.13</v>
      </c>
      <c r="E183" s="3">
        <v>46.48</v>
      </c>
      <c r="F183" s="3">
        <v>249.13</v>
      </c>
      <c r="G183" s="3">
        <v>3.13</v>
      </c>
      <c r="H183" s="3">
        <v>47.26</v>
      </c>
      <c r="I183" s="3">
        <v>218.94</v>
      </c>
      <c r="J183" s="3">
        <v>2.94</v>
      </c>
      <c r="K183" s="3">
        <v>47.24</v>
      </c>
      <c r="L183" s="3">
        <v>230.19</v>
      </c>
      <c r="M183" s="3">
        <v>3.1</v>
      </c>
    </row>
    <row r="184" spans="2:13" x14ac:dyDescent="0.3">
      <c r="B184" s="4">
        <v>48.15</v>
      </c>
      <c r="C184" s="4">
        <v>167.8</v>
      </c>
      <c r="D184" s="4">
        <v>2.68</v>
      </c>
      <c r="E184" s="4">
        <v>54.66</v>
      </c>
      <c r="F184" s="4">
        <v>162.03</v>
      </c>
      <c r="G184" s="4">
        <v>2.4900000000000002</v>
      </c>
      <c r="H184" s="4">
        <v>50.52</v>
      </c>
      <c r="I184" s="4">
        <v>169.59</v>
      </c>
      <c r="J184" s="4">
        <v>2.63</v>
      </c>
      <c r="K184" s="4">
        <v>61.61</v>
      </c>
      <c r="L184" s="4">
        <v>177.58</v>
      </c>
      <c r="M184" s="4">
        <v>2.35</v>
      </c>
    </row>
    <row r="185" spans="2:13" x14ac:dyDescent="0.3">
      <c r="B185" s="3">
        <v>59.46</v>
      </c>
      <c r="C185" s="3">
        <v>182.67</v>
      </c>
      <c r="D185" s="3">
        <v>2.4500000000000002</v>
      </c>
      <c r="E185" s="3">
        <v>59.36</v>
      </c>
      <c r="F185" s="3">
        <v>242.76</v>
      </c>
      <c r="G185" s="3">
        <v>2.48</v>
      </c>
      <c r="H185" s="3">
        <v>62.73</v>
      </c>
      <c r="I185" s="3">
        <v>205.55</v>
      </c>
      <c r="J185" s="3">
        <v>2.5099999999999998</v>
      </c>
      <c r="K185" s="3">
        <v>58.87</v>
      </c>
      <c r="L185" s="3">
        <v>190.13</v>
      </c>
      <c r="M185" s="3">
        <v>2.58</v>
      </c>
    </row>
    <row r="186" spans="2:13" x14ac:dyDescent="0.3">
      <c r="B186" s="4">
        <v>36.72</v>
      </c>
      <c r="C186" s="4">
        <v>100.27</v>
      </c>
      <c r="D186" s="4">
        <v>3.22</v>
      </c>
      <c r="E186" s="4">
        <v>40.159999999999997</v>
      </c>
      <c r="F186" s="4">
        <v>122.88</v>
      </c>
      <c r="G186" s="4">
        <v>3.04</v>
      </c>
      <c r="H186" s="4">
        <v>42.11</v>
      </c>
      <c r="I186" s="4">
        <v>130.58000000000001</v>
      </c>
      <c r="J186" s="4">
        <v>3.25</v>
      </c>
      <c r="K186" s="4">
        <v>41.52</v>
      </c>
      <c r="L186" s="4">
        <v>100.64</v>
      </c>
      <c r="M186" s="4">
        <v>3.52</v>
      </c>
    </row>
    <row r="187" spans="2:13" x14ac:dyDescent="0.3">
      <c r="B187" s="3">
        <v>36.909999999999997</v>
      </c>
      <c r="C187" s="3">
        <v>139.22</v>
      </c>
      <c r="D187" s="3">
        <v>3.41</v>
      </c>
      <c r="E187" s="3">
        <v>37.75</v>
      </c>
      <c r="F187" s="3">
        <v>137.69</v>
      </c>
      <c r="G187" s="3">
        <v>3.45</v>
      </c>
      <c r="H187" s="3">
        <v>38.57</v>
      </c>
      <c r="I187" s="3">
        <v>130.24</v>
      </c>
      <c r="J187" s="3">
        <v>3.55</v>
      </c>
      <c r="K187" s="3">
        <v>43.45</v>
      </c>
      <c r="L187" s="3">
        <v>153.16</v>
      </c>
      <c r="M187" s="3">
        <v>3.14</v>
      </c>
    </row>
    <row r="188" spans="2:13" x14ac:dyDescent="0.3">
      <c r="B188" s="4">
        <v>34.57</v>
      </c>
      <c r="C188" s="4">
        <v>114.94</v>
      </c>
      <c r="D188" s="4">
        <v>3.38</v>
      </c>
      <c r="E188" s="4">
        <v>38.82</v>
      </c>
      <c r="F188" s="4">
        <v>100.26</v>
      </c>
      <c r="G188" s="4">
        <v>3.79</v>
      </c>
      <c r="H188" s="4">
        <v>37.229999999999997</v>
      </c>
      <c r="I188" s="4">
        <v>99.15</v>
      </c>
      <c r="J188" s="4">
        <v>3.61</v>
      </c>
      <c r="K188" s="4">
        <v>39.369999999999997</v>
      </c>
      <c r="L188" s="4">
        <v>114.35</v>
      </c>
      <c r="M188" s="4">
        <v>3.41</v>
      </c>
    </row>
    <row r="189" spans="2:13" x14ac:dyDescent="0.3">
      <c r="B189" s="3">
        <v>37.65</v>
      </c>
      <c r="C189" s="3">
        <v>79.430000000000007</v>
      </c>
      <c r="D189" s="3">
        <v>3.32</v>
      </c>
      <c r="E189" s="3">
        <v>38.11</v>
      </c>
      <c r="F189" s="3">
        <v>64.42</v>
      </c>
      <c r="G189" s="3">
        <v>3.31</v>
      </c>
      <c r="H189" s="3">
        <v>36.409999999999997</v>
      </c>
      <c r="I189" s="3">
        <v>71.930000000000007</v>
      </c>
      <c r="J189" s="3">
        <v>3.52</v>
      </c>
      <c r="K189" s="3">
        <v>37.04</v>
      </c>
      <c r="L189" s="3">
        <v>64.22</v>
      </c>
      <c r="M189" s="3">
        <v>4.17</v>
      </c>
    </row>
    <row r="190" spans="2:13" x14ac:dyDescent="0.3">
      <c r="B190" s="4">
        <v>36.28</v>
      </c>
      <c r="C190" s="4">
        <v>96.07</v>
      </c>
      <c r="D190" s="4">
        <v>3.96</v>
      </c>
      <c r="E190" s="4">
        <v>30.78</v>
      </c>
      <c r="F190" s="4">
        <v>107.85</v>
      </c>
      <c r="G190" s="4">
        <v>3.47</v>
      </c>
      <c r="H190" s="4">
        <v>35.130000000000003</v>
      </c>
      <c r="I190" s="4">
        <v>145.76</v>
      </c>
      <c r="J190" s="4">
        <v>3.07</v>
      </c>
      <c r="K190" s="4">
        <v>43.14</v>
      </c>
      <c r="L190" s="4">
        <v>146.77000000000001</v>
      </c>
      <c r="M190" s="4">
        <v>2.68</v>
      </c>
    </row>
    <row r="191" spans="2:13" x14ac:dyDescent="0.3">
      <c r="B191" s="3">
        <v>42.34</v>
      </c>
      <c r="C191" s="3">
        <v>148.72</v>
      </c>
      <c r="D191" s="3">
        <v>2.64</v>
      </c>
      <c r="E191" s="3">
        <v>42.02</v>
      </c>
      <c r="F191" s="3">
        <v>147.07</v>
      </c>
      <c r="G191" s="3">
        <v>2.75</v>
      </c>
      <c r="H191" s="3">
        <v>38.18</v>
      </c>
      <c r="I191" s="3">
        <v>133.57</v>
      </c>
      <c r="J191" s="3">
        <v>2.63</v>
      </c>
      <c r="K191" s="3">
        <v>42.49</v>
      </c>
      <c r="L191" s="3">
        <v>154.4</v>
      </c>
      <c r="M191" s="3">
        <v>2.46</v>
      </c>
    </row>
    <row r="192" spans="2:13" x14ac:dyDescent="0.3">
      <c r="B192" s="4">
        <v>39.049999999999997</v>
      </c>
      <c r="C192" s="4">
        <v>157.71</v>
      </c>
      <c r="D192" s="4">
        <v>2.65</v>
      </c>
      <c r="E192" s="4">
        <v>34.229999999999997</v>
      </c>
      <c r="F192" s="4">
        <v>161.65</v>
      </c>
      <c r="G192" s="4">
        <v>2.68</v>
      </c>
      <c r="H192" s="4">
        <v>37.93</v>
      </c>
      <c r="I192" s="4">
        <v>146.63</v>
      </c>
      <c r="J192" s="4">
        <v>3.03</v>
      </c>
      <c r="K192" s="4">
        <v>44.87</v>
      </c>
      <c r="L192" s="4">
        <v>169.16</v>
      </c>
      <c r="M192" s="4">
        <v>2.3199999999999998</v>
      </c>
    </row>
    <row r="193" spans="2:13" x14ac:dyDescent="0.3">
      <c r="B193" s="3">
        <v>35.18</v>
      </c>
      <c r="C193" s="3">
        <v>56.84</v>
      </c>
      <c r="D193" s="3">
        <v>3.25</v>
      </c>
      <c r="E193" s="3">
        <v>37.15</v>
      </c>
      <c r="F193" s="3">
        <v>101.71</v>
      </c>
      <c r="G193" s="3">
        <v>3.41</v>
      </c>
      <c r="H193" s="3">
        <v>38.76</v>
      </c>
      <c r="I193" s="3">
        <v>72.400000000000006</v>
      </c>
      <c r="J193" s="3">
        <v>5.01</v>
      </c>
      <c r="K193" s="3">
        <v>38.549999999999997</v>
      </c>
      <c r="L193" s="3">
        <v>83.58</v>
      </c>
      <c r="M193" s="3">
        <v>2.54</v>
      </c>
    </row>
    <row r="194" spans="2:13" x14ac:dyDescent="0.3">
      <c r="B194" s="4">
        <v>36.51</v>
      </c>
      <c r="C194" s="4">
        <v>79.2</v>
      </c>
      <c r="D194" s="4">
        <v>3.44</v>
      </c>
      <c r="E194" s="4">
        <v>35.25</v>
      </c>
      <c r="F194" s="4">
        <v>56.62</v>
      </c>
      <c r="G194" s="4">
        <v>3.11</v>
      </c>
      <c r="H194" s="4">
        <v>36.770000000000003</v>
      </c>
      <c r="I194" s="4">
        <v>49.47</v>
      </c>
      <c r="J194" s="4">
        <v>3.29</v>
      </c>
      <c r="K194" s="4">
        <v>37.159999999999997</v>
      </c>
      <c r="L194" s="4">
        <v>72.099999999999994</v>
      </c>
      <c r="M194" s="4">
        <v>3.88</v>
      </c>
    </row>
    <row r="195" spans="2:13" x14ac:dyDescent="0.3">
      <c r="B195" s="3">
        <v>33.01</v>
      </c>
      <c r="C195" s="3">
        <v>206.86</v>
      </c>
      <c r="D195" s="3">
        <v>2.83</v>
      </c>
      <c r="E195" s="3">
        <v>49.55</v>
      </c>
      <c r="F195" s="3">
        <v>191.78</v>
      </c>
      <c r="G195" s="3">
        <v>3.24</v>
      </c>
      <c r="H195" s="3">
        <v>46.65</v>
      </c>
      <c r="I195" s="3">
        <v>176.64</v>
      </c>
      <c r="J195" s="3">
        <v>2.93</v>
      </c>
      <c r="K195" s="3">
        <v>42.37</v>
      </c>
      <c r="L195" s="3">
        <v>199.35</v>
      </c>
      <c r="M195" s="3">
        <v>3.12</v>
      </c>
    </row>
    <row r="196" spans="2:13" x14ac:dyDescent="0.3">
      <c r="B196" s="4">
        <v>38.51</v>
      </c>
      <c r="C196" s="4">
        <v>131.69</v>
      </c>
      <c r="D196" s="4">
        <v>2.29</v>
      </c>
      <c r="E196" s="4">
        <v>38.090000000000003</v>
      </c>
      <c r="F196" s="4">
        <v>146.79</v>
      </c>
      <c r="G196" s="4">
        <v>1.92</v>
      </c>
      <c r="H196" s="4">
        <v>42.27</v>
      </c>
      <c r="I196" s="4">
        <v>118.61</v>
      </c>
      <c r="J196" s="4">
        <v>2.19</v>
      </c>
      <c r="K196" s="4">
        <v>42.18</v>
      </c>
      <c r="L196" s="4">
        <v>148.22999999999999</v>
      </c>
      <c r="M196" s="4">
        <v>2.0499999999999998</v>
      </c>
    </row>
    <row r="197" spans="2:13" x14ac:dyDescent="0.3">
      <c r="B197" s="3">
        <v>32.11</v>
      </c>
      <c r="C197" s="3">
        <v>176.8</v>
      </c>
      <c r="D197" s="3">
        <v>2.2400000000000002</v>
      </c>
      <c r="E197" s="3">
        <v>33.51</v>
      </c>
      <c r="F197" s="3">
        <v>161.96</v>
      </c>
      <c r="G197" s="3">
        <v>2.42</v>
      </c>
      <c r="H197" s="3">
        <v>35.43</v>
      </c>
      <c r="I197" s="3">
        <v>176.66</v>
      </c>
      <c r="J197" s="3">
        <v>2.5499999999999998</v>
      </c>
      <c r="K197" s="3">
        <v>36.479999999999997</v>
      </c>
      <c r="L197" s="3">
        <v>141.30000000000001</v>
      </c>
      <c r="M197" s="3">
        <v>2.48</v>
      </c>
    </row>
    <row r="198" spans="2:13" x14ac:dyDescent="0.3">
      <c r="B198" s="4">
        <v>41.49</v>
      </c>
      <c r="C198" s="4">
        <v>88.47</v>
      </c>
      <c r="D198" s="4">
        <v>3.29</v>
      </c>
      <c r="E198" s="4">
        <v>42.21</v>
      </c>
      <c r="F198" s="4">
        <v>117.03</v>
      </c>
      <c r="G198" s="4">
        <v>2.8</v>
      </c>
      <c r="H198" s="4">
        <v>42.31</v>
      </c>
      <c r="I198" s="4">
        <v>101.74</v>
      </c>
      <c r="J198" s="4">
        <v>2.88</v>
      </c>
      <c r="K198" s="4">
        <v>41.19</v>
      </c>
      <c r="L198" s="4">
        <v>86.86</v>
      </c>
      <c r="M198" s="4">
        <v>3.38</v>
      </c>
    </row>
    <row r="199" spans="2:13" x14ac:dyDescent="0.3">
      <c r="B199" s="3">
        <v>42.31</v>
      </c>
      <c r="C199" s="3">
        <v>124.3</v>
      </c>
      <c r="D199" s="3">
        <v>3.27</v>
      </c>
      <c r="E199" s="3">
        <v>45.28</v>
      </c>
      <c r="F199" s="3">
        <v>124.11</v>
      </c>
      <c r="G199" s="3">
        <v>3.26</v>
      </c>
      <c r="H199" s="3">
        <v>41.88</v>
      </c>
      <c r="I199" s="3">
        <v>124.43</v>
      </c>
      <c r="J199" s="3">
        <v>3.29</v>
      </c>
      <c r="K199" s="3">
        <v>39.729999999999997</v>
      </c>
      <c r="L199" s="3">
        <v>131.66999999999999</v>
      </c>
      <c r="M199" s="3">
        <v>3.19</v>
      </c>
    </row>
    <row r="200" spans="2:13" x14ac:dyDescent="0.3">
      <c r="B200" s="4">
        <v>41.75</v>
      </c>
      <c r="C200" s="4">
        <v>86.45</v>
      </c>
      <c r="D200" s="4">
        <v>3.13</v>
      </c>
      <c r="E200" s="4">
        <v>41.41</v>
      </c>
      <c r="F200" s="4">
        <v>79.22</v>
      </c>
      <c r="G200" s="4">
        <v>3.03</v>
      </c>
      <c r="H200" s="4">
        <v>46.34</v>
      </c>
      <c r="I200" s="4">
        <v>86.45</v>
      </c>
      <c r="J200" s="4">
        <v>3.95</v>
      </c>
      <c r="K200" s="4">
        <v>42.82</v>
      </c>
      <c r="L200" s="4">
        <v>108.97</v>
      </c>
      <c r="M200" s="4">
        <v>2.78</v>
      </c>
    </row>
    <row r="201" spans="2:13" x14ac:dyDescent="0.3">
      <c r="B201" s="3">
        <v>38.99</v>
      </c>
      <c r="C201" s="3">
        <v>79.489999999999995</v>
      </c>
      <c r="D201" s="3">
        <v>3.27</v>
      </c>
      <c r="E201" s="3">
        <v>39.86</v>
      </c>
      <c r="F201" s="3">
        <v>64.45</v>
      </c>
      <c r="G201" s="3">
        <v>3.28</v>
      </c>
      <c r="H201" s="3">
        <v>39.409999999999997</v>
      </c>
      <c r="I201" s="3">
        <v>72</v>
      </c>
      <c r="J201" s="3">
        <v>3.07</v>
      </c>
      <c r="K201" s="3">
        <v>41.79</v>
      </c>
      <c r="L201" s="3">
        <v>65.03</v>
      </c>
      <c r="M201" s="3">
        <v>3.84</v>
      </c>
    </row>
    <row r="202" spans="2:13" x14ac:dyDescent="0.3">
      <c r="B202" s="4">
        <v>41.73</v>
      </c>
      <c r="C202" s="4">
        <v>71.91</v>
      </c>
      <c r="D202" s="4">
        <v>3.19</v>
      </c>
      <c r="E202" s="4">
        <v>42.99</v>
      </c>
      <c r="F202" s="4">
        <v>102.04</v>
      </c>
      <c r="G202" s="4">
        <v>3.72</v>
      </c>
      <c r="H202" s="4">
        <v>42.16</v>
      </c>
      <c r="I202" s="4">
        <v>118.64</v>
      </c>
      <c r="J202" s="4">
        <v>3.45</v>
      </c>
      <c r="K202" s="4">
        <v>42.99</v>
      </c>
      <c r="L202" s="4">
        <v>139.47999999999999</v>
      </c>
      <c r="M202" s="4">
        <v>2.9</v>
      </c>
    </row>
    <row r="203" spans="2:13" x14ac:dyDescent="0.3">
      <c r="B203" s="3">
        <v>43.24</v>
      </c>
      <c r="C203" s="3">
        <v>141.22999999999999</v>
      </c>
      <c r="D203" s="3">
        <v>2.58</v>
      </c>
      <c r="E203" s="3">
        <v>42.11</v>
      </c>
      <c r="F203" s="3">
        <v>154.88</v>
      </c>
      <c r="G203" s="3">
        <v>2.77</v>
      </c>
      <c r="H203" s="3">
        <v>41.59</v>
      </c>
      <c r="I203" s="3">
        <v>132.12</v>
      </c>
      <c r="J203" s="3">
        <v>2.67</v>
      </c>
      <c r="K203" s="3">
        <v>41.61</v>
      </c>
      <c r="L203" s="3">
        <v>156.32</v>
      </c>
      <c r="M203" s="3">
        <v>2.3199999999999998</v>
      </c>
    </row>
    <row r="204" spans="2:13" x14ac:dyDescent="0.3">
      <c r="B204" s="4">
        <v>43.52</v>
      </c>
      <c r="C204" s="4">
        <v>147.06</v>
      </c>
      <c r="D204" s="4">
        <v>2.68</v>
      </c>
      <c r="E204" s="4">
        <v>44.89</v>
      </c>
      <c r="F204" s="4">
        <v>139.83000000000001</v>
      </c>
      <c r="G204" s="4">
        <v>3.02</v>
      </c>
      <c r="H204" s="4">
        <v>41.72</v>
      </c>
      <c r="I204" s="4">
        <v>132.31</v>
      </c>
      <c r="J204" s="4">
        <v>3.39</v>
      </c>
      <c r="K204" s="4">
        <v>40.380000000000003</v>
      </c>
      <c r="L204" s="4">
        <v>169.44</v>
      </c>
      <c r="M204" s="4">
        <v>2.35</v>
      </c>
    </row>
    <row r="205" spans="2:13" x14ac:dyDescent="0.3">
      <c r="B205" s="3">
        <v>41.45</v>
      </c>
      <c r="C205" s="3">
        <v>64.39</v>
      </c>
      <c r="D205" s="3">
        <v>3.33</v>
      </c>
      <c r="E205" s="3">
        <v>42.85</v>
      </c>
      <c r="F205" s="3">
        <v>94.42</v>
      </c>
      <c r="G205" s="3">
        <v>3.45</v>
      </c>
      <c r="H205" s="3">
        <v>43.12</v>
      </c>
      <c r="I205" s="3">
        <v>49.42</v>
      </c>
      <c r="J205" s="3">
        <v>3.18</v>
      </c>
      <c r="K205" s="3">
        <v>42.02</v>
      </c>
      <c r="L205" s="3">
        <v>57.07</v>
      </c>
      <c r="M205" s="3">
        <v>3.21</v>
      </c>
    </row>
    <row r="206" spans="2:13" x14ac:dyDescent="0.3">
      <c r="B206" s="4">
        <v>45.41</v>
      </c>
      <c r="C206" s="4">
        <v>71.989999999999995</v>
      </c>
      <c r="D206" s="4">
        <v>3.79</v>
      </c>
      <c r="E206" s="4">
        <v>41.56</v>
      </c>
      <c r="F206" s="4">
        <v>56.92</v>
      </c>
      <c r="G206" s="4">
        <v>3.55</v>
      </c>
      <c r="H206" s="4">
        <v>41.04</v>
      </c>
      <c r="I206" s="4">
        <v>49.42</v>
      </c>
      <c r="J206" s="4">
        <v>3.97</v>
      </c>
      <c r="K206" s="4">
        <v>40.25</v>
      </c>
      <c r="L206" s="4">
        <v>64.61</v>
      </c>
      <c r="M206" s="4">
        <v>3.07</v>
      </c>
    </row>
    <row r="207" spans="2:13" x14ac:dyDescent="0.3">
      <c r="B207" s="3">
        <v>36.18</v>
      </c>
      <c r="C207" s="3">
        <v>199.55</v>
      </c>
      <c r="D207" s="3">
        <v>2.71</v>
      </c>
      <c r="E207" s="3">
        <v>37.54</v>
      </c>
      <c r="F207" s="3">
        <v>176.98</v>
      </c>
      <c r="G207" s="3">
        <v>3.04</v>
      </c>
      <c r="H207" s="3">
        <v>35.659999999999997</v>
      </c>
      <c r="I207" s="3">
        <v>177.06</v>
      </c>
      <c r="J207" s="3">
        <v>2.71</v>
      </c>
      <c r="K207" s="3">
        <v>37.11</v>
      </c>
      <c r="L207" s="3">
        <v>192.09</v>
      </c>
      <c r="M207" s="3">
        <v>2.86</v>
      </c>
    </row>
    <row r="208" spans="2:13" x14ac:dyDescent="0.3">
      <c r="B208" s="4">
        <v>38.659999999999997</v>
      </c>
      <c r="C208" s="4">
        <v>124.53</v>
      </c>
      <c r="D208" s="4">
        <v>2.5099999999999998</v>
      </c>
      <c r="E208" s="4">
        <v>38.520000000000003</v>
      </c>
      <c r="F208" s="4">
        <v>133.41</v>
      </c>
      <c r="G208" s="4">
        <v>2.16</v>
      </c>
      <c r="H208" s="4">
        <v>37.869999999999997</v>
      </c>
      <c r="I208" s="4">
        <v>117.06</v>
      </c>
      <c r="J208" s="4">
        <v>2.34</v>
      </c>
      <c r="K208" s="4">
        <v>37.979999999999997</v>
      </c>
      <c r="L208" s="4">
        <v>141.29</v>
      </c>
      <c r="M208" s="4">
        <v>2</v>
      </c>
    </row>
    <row r="209" spans="1:13" x14ac:dyDescent="0.3">
      <c r="B209" s="3">
        <v>36.81</v>
      </c>
      <c r="C209" s="3">
        <v>169.57</v>
      </c>
      <c r="D209" s="3">
        <v>2.4700000000000002</v>
      </c>
      <c r="E209" s="3">
        <v>37.020000000000003</v>
      </c>
      <c r="F209" s="3">
        <v>147.97999999999999</v>
      </c>
      <c r="G209" s="3">
        <v>2.73</v>
      </c>
      <c r="H209" s="3">
        <v>40.26</v>
      </c>
      <c r="I209" s="3">
        <v>169.48</v>
      </c>
      <c r="J209" s="3">
        <v>2.4700000000000002</v>
      </c>
      <c r="K209" s="3">
        <v>38.51</v>
      </c>
      <c r="L209" s="3">
        <v>133.54</v>
      </c>
      <c r="M209" s="3">
        <v>2.5299999999999998</v>
      </c>
    </row>
    <row r="210" spans="1:13" x14ac:dyDescent="0.3">
      <c r="B210" s="4">
        <v>38.130000000000003</v>
      </c>
      <c r="C210" s="4">
        <v>87.12</v>
      </c>
      <c r="D210" s="4">
        <v>3.07</v>
      </c>
      <c r="E210" s="4">
        <v>40.43</v>
      </c>
      <c r="F210" s="4">
        <v>109.54</v>
      </c>
      <c r="G210" s="4">
        <v>2.78</v>
      </c>
      <c r="H210" s="4">
        <v>39.35</v>
      </c>
      <c r="I210" s="4">
        <v>101.97</v>
      </c>
      <c r="J210" s="4">
        <v>3.04</v>
      </c>
      <c r="K210" s="4">
        <v>40.74</v>
      </c>
      <c r="L210" s="4">
        <v>79.459999999999994</v>
      </c>
      <c r="M210" s="4">
        <v>3.8</v>
      </c>
    </row>
    <row r="211" spans="1:13" x14ac:dyDescent="0.3">
      <c r="B211" s="3">
        <v>36.14</v>
      </c>
      <c r="C211" s="3">
        <v>117.01</v>
      </c>
      <c r="D211" s="3">
        <v>3.14</v>
      </c>
      <c r="E211" s="3">
        <v>38.11</v>
      </c>
      <c r="F211" s="3">
        <v>116.94</v>
      </c>
      <c r="G211" s="3">
        <v>3.34</v>
      </c>
      <c r="H211" s="3">
        <v>40.69</v>
      </c>
      <c r="I211" s="3">
        <v>117</v>
      </c>
      <c r="J211" s="3">
        <v>3.19</v>
      </c>
      <c r="K211" s="3">
        <v>39.75</v>
      </c>
      <c r="L211" s="3">
        <v>124.53</v>
      </c>
      <c r="M211" s="3">
        <v>3.09</v>
      </c>
    </row>
    <row r="212" spans="1:13" x14ac:dyDescent="0.3">
      <c r="B212" s="4">
        <v>35.369999999999997</v>
      </c>
      <c r="C212" s="4">
        <v>79.22</v>
      </c>
      <c r="D212" s="4">
        <v>3.16</v>
      </c>
      <c r="E212" s="4">
        <v>36.89</v>
      </c>
      <c r="F212" s="4">
        <v>71.72</v>
      </c>
      <c r="G212" s="4">
        <v>3.35</v>
      </c>
      <c r="H212" s="4">
        <v>35.590000000000003</v>
      </c>
      <c r="I212" s="4">
        <v>86.72</v>
      </c>
      <c r="J212" s="4">
        <v>3.77</v>
      </c>
      <c r="K212" s="4">
        <v>36.75</v>
      </c>
      <c r="L212" s="4">
        <v>101.72</v>
      </c>
      <c r="M212" s="4">
        <v>3.11</v>
      </c>
    </row>
    <row r="214" spans="1:13" x14ac:dyDescent="0.3">
      <c r="A214" s="5" t="s">
        <v>42</v>
      </c>
      <c r="B214" s="5">
        <f>AVERAGE(B177:B212)</f>
        <v>39.433611111111112</v>
      </c>
      <c r="C214" s="5">
        <f t="shared" ref="C214:M214" si="10">AVERAGE(C177:C212)</f>
        <v>125.45166666666667</v>
      </c>
      <c r="D214" s="5">
        <f t="shared" si="10"/>
        <v>3.2283333333333331</v>
      </c>
      <c r="E214" s="5">
        <f t="shared" si="10"/>
        <v>40.147222222222211</v>
      </c>
      <c r="F214" s="5">
        <f t="shared" si="10"/>
        <v>127.23833333333333</v>
      </c>
      <c r="G214" s="5">
        <f t="shared" si="10"/>
        <v>3.2094444444444443</v>
      </c>
      <c r="H214" s="5">
        <f t="shared" si="10"/>
        <v>40.743333333333318</v>
      </c>
      <c r="I214" s="5">
        <f t="shared" si="10"/>
        <v>122.07583333333332</v>
      </c>
      <c r="J214" s="5">
        <f t="shared" si="10"/>
        <v>3.3008333333333333</v>
      </c>
      <c r="K214" s="5">
        <f t="shared" si="10"/>
        <v>41.967499999999994</v>
      </c>
      <c r="L214" s="5">
        <f t="shared" si="10"/>
        <v>129.84861111111115</v>
      </c>
      <c r="M214" s="5">
        <f t="shared" si="10"/>
        <v>3.0997222222222218</v>
      </c>
    </row>
    <row r="215" spans="1:13" x14ac:dyDescent="0.3">
      <c r="A215" s="5" t="s">
        <v>35</v>
      </c>
      <c r="B215" s="5">
        <f>AVERAGE(B214,E214,H214,K214)</f>
        <v>40.572916666666657</v>
      </c>
      <c r="C215" s="5">
        <f t="shared" ref="C215:D215" si="11">AVERAGE(C214,F214,I214,L214)</f>
        <v>126.15361111111112</v>
      </c>
      <c r="D215" s="5">
        <f t="shared" si="11"/>
        <v>3.2095833333333328</v>
      </c>
      <c r="E215" s="5"/>
      <c r="F215" s="5"/>
      <c r="G215" s="5"/>
      <c r="H215" s="5"/>
      <c r="I215" s="5"/>
      <c r="J215" s="5"/>
      <c r="K215" s="5"/>
      <c r="L215" s="5"/>
      <c r="M215" s="5"/>
    </row>
    <row r="217" spans="1:13" x14ac:dyDescent="0.3">
      <c r="B217" s="38" t="s">
        <v>6</v>
      </c>
      <c r="C217" s="38"/>
      <c r="D217" s="38"/>
      <c r="E217" s="38"/>
    </row>
    <row r="219" spans="1:13" x14ac:dyDescent="0.3">
      <c r="B219" s="39" t="s">
        <v>17</v>
      </c>
      <c r="C219" s="39"/>
      <c r="D219" s="39"/>
      <c r="E219" s="40" t="s">
        <v>18</v>
      </c>
      <c r="F219" s="40"/>
      <c r="G219" s="40"/>
      <c r="H219" s="41" t="s">
        <v>19</v>
      </c>
      <c r="I219" s="41"/>
      <c r="J219" s="41"/>
      <c r="K219" s="42" t="s">
        <v>20</v>
      </c>
      <c r="L219" s="42"/>
      <c r="M219" s="42"/>
    </row>
    <row r="220" spans="1:13" x14ac:dyDescent="0.3">
      <c r="B220" s="1" t="s">
        <v>21</v>
      </c>
      <c r="C220" s="1" t="s">
        <v>22</v>
      </c>
      <c r="D220" s="1" t="s">
        <v>23</v>
      </c>
      <c r="E220" s="1" t="s">
        <v>21</v>
      </c>
      <c r="F220" s="1" t="s">
        <v>22</v>
      </c>
      <c r="G220" s="1" t="s">
        <v>23</v>
      </c>
      <c r="H220" s="1" t="s">
        <v>21</v>
      </c>
      <c r="I220" s="1" t="s">
        <v>22</v>
      </c>
      <c r="J220" s="1" t="s">
        <v>23</v>
      </c>
      <c r="K220" s="1" t="s">
        <v>21</v>
      </c>
      <c r="L220" s="1" t="s">
        <v>22</v>
      </c>
      <c r="M220" s="1" t="s">
        <v>23</v>
      </c>
    </row>
    <row r="221" spans="1:13" x14ac:dyDescent="0.3">
      <c r="B221" s="3">
        <v>53.09</v>
      </c>
      <c r="C221" s="3">
        <v>86.67</v>
      </c>
      <c r="D221" s="3">
        <v>1.86</v>
      </c>
      <c r="E221" s="3">
        <v>44.64</v>
      </c>
      <c r="F221" s="3">
        <v>64.14</v>
      </c>
      <c r="G221" s="3">
        <v>1.96</v>
      </c>
      <c r="H221" s="3">
        <v>45.15</v>
      </c>
      <c r="I221" s="3">
        <v>71.59</v>
      </c>
      <c r="J221" s="3">
        <v>2</v>
      </c>
      <c r="K221" s="3">
        <v>49.77</v>
      </c>
      <c r="L221" s="3">
        <v>94.17</v>
      </c>
      <c r="M221" s="3">
        <v>1.84</v>
      </c>
    </row>
    <row r="222" spans="1:13" x14ac:dyDescent="0.3">
      <c r="B222" s="4">
        <v>45.04</v>
      </c>
      <c r="C222" s="4">
        <v>56.78</v>
      </c>
      <c r="D222" s="4">
        <v>2.13</v>
      </c>
      <c r="E222" s="4">
        <v>40.98</v>
      </c>
      <c r="F222" s="4">
        <v>56.66</v>
      </c>
      <c r="G222" s="4">
        <v>2.2999999999999998</v>
      </c>
      <c r="H222" s="4">
        <v>42.13</v>
      </c>
      <c r="I222" s="4">
        <v>49.27</v>
      </c>
      <c r="J222" s="4">
        <v>2.39</v>
      </c>
      <c r="K222" s="4">
        <v>44.09</v>
      </c>
      <c r="L222" s="4">
        <v>56.61</v>
      </c>
      <c r="M222" s="4">
        <v>2.12</v>
      </c>
    </row>
    <row r="223" spans="1:13" x14ac:dyDescent="0.3">
      <c r="B223" s="3">
        <v>36.86</v>
      </c>
      <c r="C223" s="3">
        <v>64.22</v>
      </c>
      <c r="D223" s="3">
        <v>2.5099999999999998</v>
      </c>
      <c r="E223" s="3">
        <v>36.090000000000003</v>
      </c>
      <c r="F223" s="3">
        <v>79.290000000000006</v>
      </c>
      <c r="G223" s="3">
        <v>2.5</v>
      </c>
      <c r="H223" s="3">
        <v>35.380000000000003</v>
      </c>
      <c r="I223" s="3">
        <v>64.3</v>
      </c>
      <c r="J223" s="3">
        <v>2.52</v>
      </c>
      <c r="K223" s="3">
        <v>34.68</v>
      </c>
      <c r="L223" s="3">
        <v>56.81</v>
      </c>
      <c r="M223" s="3">
        <v>2.61</v>
      </c>
    </row>
    <row r="224" spans="1:13" x14ac:dyDescent="0.3">
      <c r="B224" s="4">
        <v>53.56</v>
      </c>
      <c r="C224" s="4">
        <v>116.03</v>
      </c>
      <c r="D224" s="4">
        <v>1.51</v>
      </c>
      <c r="E224" s="4">
        <v>54.71</v>
      </c>
      <c r="F224" s="4">
        <v>124.25</v>
      </c>
      <c r="G224" s="4">
        <v>1.46</v>
      </c>
      <c r="H224" s="4">
        <v>52.45</v>
      </c>
      <c r="I224" s="4">
        <v>100.57</v>
      </c>
      <c r="J224" s="4">
        <v>1.62</v>
      </c>
      <c r="K224" s="4">
        <v>40.18</v>
      </c>
      <c r="L224" s="4">
        <v>131.41999999999999</v>
      </c>
      <c r="M224" s="4">
        <v>2.0099999999999998</v>
      </c>
    </row>
    <row r="225" spans="2:13" x14ac:dyDescent="0.3">
      <c r="B225" s="3">
        <v>39.42</v>
      </c>
      <c r="C225" s="3">
        <v>93.1</v>
      </c>
      <c r="D225" s="3">
        <v>2.1</v>
      </c>
      <c r="E225" s="3">
        <v>39.61</v>
      </c>
      <c r="F225" s="3">
        <v>86.68</v>
      </c>
      <c r="G225" s="3">
        <v>2.02</v>
      </c>
      <c r="H225" s="3">
        <v>41.68</v>
      </c>
      <c r="I225" s="3">
        <v>93.24</v>
      </c>
      <c r="J225" s="3">
        <v>1.93</v>
      </c>
      <c r="K225" s="3">
        <v>42.69</v>
      </c>
      <c r="L225" s="3">
        <v>109.29</v>
      </c>
      <c r="M225" s="3">
        <v>1.1299999999999999</v>
      </c>
    </row>
    <row r="226" spans="2:13" x14ac:dyDescent="0.3">
      <c r="B226" s="4">
        <v>53.55</v>
      </c>
      <c r="C226" s="4">
        <v>110.73</v>
      </c>
      <c r="D226" s="4">
        <v>1.75</v>
      </c>
      <c r="E226" s="4">
        <v>51.51</v>
      </c>
      <c r="F226" s="4">
        <v>110.65</v>
      </c>
      <c r="G226" s="4">
        <v>1.73</v>
      </c>
      <c r="H226" s="4">
        <v>54.32</v>
      </c>
      <c r="I226" s="4">
        <v>139.37</v>
      </c>
      <c r="J226" s="4">
        <v>1.21</v>
      </c>
      <c r="K226" s="4">
        <v>69.31</v>
      </c>
      <c r="L226" s="4">
        <v>148.88</v>
      </c>
      <c r="M226" s="4">
        <v>1.1299999999999999</v>
      </c>
    </row>
    <row r="227" spans="2:13" x14ac:dyDescent="0.3">
      <c r="B227" s="3">
        <v>48.88</v>
      </c>
      <c r="C227" s="3">
        <v>86.69</v>
      </c>
      <c r="D227" s="3">
        <v>1.7</v>
      </c>
      <c r="E227" s="3">
        <v>48.83</v>
      </c>
      <c r="F227" s="3">
        <v>102.13</v>
      </c>
      <c r="G227" s="3">
        <v>1.69</v>
      </c>
      <c r="H227" s="3">
        <v>47.24</v>
      </c>
      <c r="I227" s="3">
        <v>116.83</v>
      </c>
      <c r="J227" s="3">
        <v>1.21</v>
      </c>
      <c r="K227" s="3">
        <v>45.52</v>
      </c>
      <c r="L227" s="3">
        <v>124.11</v>
      </c>
      <c r="M227" s="3">
        <v>1.1399999999999999</v>
      </c>
    </row>
    <row r="228" spans="2:13" x14ac:dyDescent="0.3">
      <c r="B228" s="4">
        <v>45.77</v>
      </c>
      <c r="C228" s="4">
        <v>71.989999999999995</v>
      </c>
      <c r="D228" s="4">
        <v>1.82</v>
      </c>
      <c r="E228" s="4">
        <v>51.19</v>
      </c>
      <c r="F228" s="4">
        <v>86.69</v>
      </c>
      <c r="G228" s="4">
        <v>1.74</v>
      </c>
      <c r="H228" s="4">
        <v>48.68</v>
      </c>
      <c r="I228" s="4">
        <v>85.28</v>
      </c>
      <c r="J228" s="4">
        <v>1.78</v>
      </c>
      <c r="K228" s="4">
        <v>46.11</v>
      </c>
      <c r="L228" s="4">
        <v>94.25</v>
      </c>
      <c r="M228" s="4">
        <v>1.85</v>
      </c>
    </row>
    <row r="229" spans="2:13" x14ac:dyDescent="0.3">
      <c r="B229" s="3">
        <v>42.06</v>
      </c>
      <c r="C229" s="3">
        <v>87.35</v>
      </c>
      <c r="D229" s="3">
        <v>1.99</v>
      </c>
      <c r="E229" s="3">
        <v>45.54</v>
      </c>
      <c r="F229" s="3">
        <v>101.74</v>
      </c>
      <c r="G229" s="3">
        <v>1.98</v>
      </c>
      <c r="H229" s="3">
        <v>69.72</v>
      </c>
      <c r="I229" s="3">
        <v>150</v>
      </c>
      <c r="J229" s="3">
        <v>1.19</v>
      </c>
      <c r="K229" s="3">
        <v>43.94</v>
      </c>
      <c r="L229" s="3">
        <v>115.12</v>
      </c>
      <c r="M229" s="3">
        <v>2.0299999999999998</v>
      </c>
    </row>
    <row r="230" spans="2:13" x14ac:dyDescent="0.3">
      <c r="B230" s="4">
        <v>54.79</v>
      </c>
      <c r="C230" s="4">
        <v>92.64</v>
      </c>
      <c r="D230" s="4">
        <v>1.84</v>
      </c>
      <c r="E230" s="4">
        <v>56.22</v>
      </c>
      <c r="F230" s="4">
        <v>71.72</v>
      </c>
      <c r="G230" s="4">
        <v>2.0099999999999998</v>
      </c>
      <c r="H230" s="4">
        <v>55.62</v>
      </c>
      <c r="I230" s="4">
        <v>132.43</v>
      </c>
      <c r="J230" s="4">
        <v>1.1000000000000001</v>
      </c>
      <c r="K230" s="4">
        <v>55.7</v>
      </c>
      <c r="L230" s="4">
        <v>79.28</v>
      </c>
      <c r="M230" s="4">
        <v>1.84</v>
      </c>
    </row>
    <row r="231" spans="2:13" x14ac:dyDescent="0.3">
      <c r="B231" s="3">
        <v>50.25</v>
      </c>
      <c r="C231" s="3">
        <v>85.22</v>
      </c>
      <c r="D231" s="3">
        <v>1.9</v>
      </c>
      <c r="E231" s="3">
        <v>48.15</v>
      </c>
      <c r="F231" s="3">
        <v>80.319999999999993</v>
      </c>
      <c r="G231" s="3">
        <v>1.92</v>
      </c>
      <c r="H231" s="3">
        <v>48.06</v>
      </c>
      <c r="I231" s="3">
        <v>79.25</v>
      </c>
      <c r="J231" s="3">
        <v>2.09</v>
      </c>
      <c r="K231" s="3">
        <v>48.71</v>
      </c>
      <c r="L231" s="3">
        <v>92.66</v>
      </c>
      <c r="M231" s="3">
        <v>1.88</v>
      </c>
    </row>
    <row r="232" spans="2:13" x14ac:dyDescent="0.3">
      <c r="B232" s="4">
        <v>45.65</v>
      </c>
      <c r="C232" s="4">
        <v>86.62</v>
      </c>
      <c r="D232" s="4">
        <v>2.2599999999999998</v>
      </c>
      <c r="E232" s="4">
        <v>52.33</v>
      </c>
      <c r="F232" s="4">
        <v>85.44</v>
      </c>
      <c r="G232" s="4">
        <v>2.16</v>
      </c>
      <c r="H232" s="4">
        <v>44.92</v>
      </c>
      <c r="I232" s="4">
        <v>77.97</v>
      </c>
      <c r="J232" s="4">
        <v>2.2000000000000002</v>
      </c>
      <c r="K232" s="4">
        <v>52.07</v>
      </c>
      <c r="L232" s="4">
        <v>94.15</v>
      </c>
      <c r="M232" s="4">
        <v>2.04</v>
      </c>
    </row>
    <row r="233" spans="2:13" x14ac:dyDescent="0.3">
      <c r="B233" s="3">
        <v>41.91</v>
      </c>
      <c r="C233" s="3">
        <v>94.3</v>
      </c>
      <c r="D233" s="3">
        <v>2.75</v>
      </c>
      <c r="E233" s="3">
        <v>47.22</v>
      </c>
      <c r="F233" s="3">
        <v>65.47</v>
      </c>
      <c r="G233" s="3">
        <v>3.35</v>
      </c>
      <c r="H233" s="3">
        <v>41.44</v>
      </c>
      <c r="I233" s="3">
        <v>86.71</v>
      </c>
      <c r="J233" s="3">
        <v>3.01</v>
      </c>
      <c r="K233" s="3">
        <v>36.049999999999997</v>
      </c>
      <c r="L233" s="3">
        <v>101.74</v>
      </c>
      <c r="M233" s="3">
        <v>2.72</v>
      </c>
    </row>
    <row r="234" spans="2:13" x14ac:dyDescent="0.3">
      <c r="B234" s="4">
        <v>43.44</v>
      </c>
      <c r="C234" s="4">
        <v>64.27</v>
      </c>
      <c r="D234" s="4">
        <v>3.9</v>
      </c>
      <c r="E234" s="4">
        <v>42.84</v>
      </c>
      <c r="F234" s="4">
        <v>71.819999999999993</v>
      </c>
      <c r="G234" s="4">
        <v>3.47</v>
      </c>
      <c r="H234" s="4">
        <v>38.54</v>
      </c>
      <c r="I234" s="4">
        <v>56.83</v>
      </c>
      <c r="J234" s="4">
        <v>4.0599999999999996</v>
      </c>
      <c r="K234" s="4">
        <v>37.58</v>
      </c>
      <c r="L234" s="4">
        <v>71.88</v>
      </c>
      <c r="M234" s="4">
        <v>3.79</v>
      </c>
    </row>
    <row r="235" spans="2:13" x14ac:dyDescent="0.3">
      <c r="B235" s="3">
        <v>38.619999999999997</v>
      </c>
      <c r="C235" s="3">
        <v>73.5</v>
      </c>
      <c r="D235" s="3">
        <v>3.2</v>
      </c>
      <c r="E235" s="3">
        <v>39.92</v>
      </c>
      <c r="F235" s="3">
        <v>86.78</v>
      </c>
      <c r="G235" s="3">
        <v>3.12</v>
      </c>
      <c r="H235" s="3">
        <v>39.85</v>
      </c>
      <c r="I235" s="3">
        <v>79.400000000000006</v>
      </c>
      <c r="J235" s="3">
        <v>3.55</v>
      </c>
      <c r="K235" s="3">
        <v>39.64</v>
      </c>
      <c r="L235" s="3">
        <v>71.78</v>
      </c>
      <c r="M235" s="3">
        <v>3.52</v>
      </c>
    </row>
    <row r="236" spans="2:13" x14ac:dyDescent="0.3">
      <c r="B236" s="4">
        <v>39.61</v>
      </c>
      <c r="C236" s="4">
        <v>101.73</v>
      </c>
      <c r="D236" s="4">
        <v>2.65</v>
      </c>
      <c r="E236" s="4">
        <v>37.54</v>
      </c>
      <c r="F236" s="4">
        <v>101.85</v>
      </c>
      <c r="G236" s="4">
        <v>2.59</v>
      </c>
      <c r="H236" s="4">
        <v>38.409999999999997</v>
      </c>
      <c r="I236" s="4">
        <v>100.28</v>
      </c>
      <c r="J236" s="4">
        <v>2.9</v>
      </c>
      <c r="K236" s="4">
        <v>38.75</v>
      </c>
      <c r="L236" s="4">
        <v>115.66</v>
      </c>
      <c r="M236" s="4">
        <v>2.71</v>
      </c>
    </row>
    <row r="237" spans="2:13" x14ac:dyDescent="0.3">
      <c r="B237" s="3">
        <v>40.909999999999997</v>
      </c>
      <c r="C237" s="3">
        <v>92.64</v>
      </c>
      <c r="D237" s="3">
        <v>3.61</v>
      </c>
      <c r="E237" s="3">
        <v>42.24</v>
      </c>
      <c r="F237" s="3">
        <v>113.61</v>
      </c>
      <c r="G237" s="3">
        <v>3.46</v>
      </c>
      <c r="H237" s="3">
        <v>40.96</v>
      </c>
      <c r="I237" s="3">
        <v>85.66</v>
      </c>
      <c r="J237" s="3">
        <v>3.08</v>
      </c>
      <c r="K237" s="3">
        <v>39.78</v>
      </c>
      <c r="L237" s="3">
        <v>124.51</v>
      </c>
      <c r="M237" s="3">
        <v>2.4300000000000002</v>
      </c>
    </row>
    <row r="238" spans="2:13" x14ac:dyDescent="0.3">
      <c r="B238" s="4">
        <v>38.35</v>
      </c>
      <c r="C238" s="4">
        <v>92.74</v>
      </c>
      <c r="D238" s="4">
        <v>3.04</v>
      </c>
      <c r="E238" s="4">
        <v>39.47</v>
      </c>
      <c r="F238" s="4">
        <v>94.23</v>
      </c>
      <c r="G238" s="4">
        <v>3.15</v>
      </c>
      <c r="H238" s="4">
        <v>43.99</v>
      </c>
      <c r="I238" s="4">
        <v>136.21</v>
      </c>
      <c r="J238" s="4">
        <v>2.65</v>
      </c>
      <c r="K238" s="4">
        <v>40.47</v>
      </c>
      <c r="L238" s="4">
        <v>130.18</v>
      </c>
      <c r="M238" s="4">
        <v>2.74</v>
      </c>
    </row>
    <row r="239" spans="2:13" x14ac:dyDescent="0.3">
      <c r="B239" s="3">
        <v>39.409999999999997</v>
      </c>
      <c r="C239" s="3">
        <v>86.83</v>
      </c>
      <c r="D239" s="3">
        <v>2.75</v>
      </c>
      <c r="E239" s="3">
        <v>39.25</v>
      </c>
      <c r="F239" s="3">
        <v>101.88</v>
      </c>
      <c r="G239" s="3">
        <v>2.71</v>
      </c>
      <c r="H239" s="3">
        <v>42.97</v>
      </c>
      <c r="I239" s="3">
        <v>124.43</v>
      </c>
      <c r="J239" s="3">
        <v>2.34</v>
      </c>
      <c r="K239" s="3">
        <v>44.99</v>
      </c>
      <c r="L239" s="3">
        <v>145.26</v>
      </c>
      <c r="M239" s="3">
        <v>2.14</v>
      </c>
    </row>
    <row r="240" spans="2:13" x14ac:dyDescent="0.3">
      <c r="B240" s="4">
        <v>39.880000000000003</v>
      </c>
      <c r="C240" s="4">
        <v>71.8</v>
      </c>
      <c r="D240" s="4">
        <v>3.16</v>
      </c>
      <c r="E240" s="4">
        <v>40.89</v>
      </c>
      <c r="F240" s="4">
        <v>109.23</v>
      </c>
      <c r="G240" s="4">
        <v>2.84</v>
      </c>
      <c r="H240" s="4">
        <v>38.79</v>
      </c>
      <c r="I240" s="4">
        <v>101.84</v>
      </c>
      <c r="J240" s="4">
        <v>2.72</v>
      </c>
      <c r="K240" s="4">
        <v>38.42</v>
      </c>
      <c r="L240" s="4">
        <v>115.32</v>
      </c>
      <c r="M240" s="4">
        <v>2.71</v>
      </c>
    </row>
    <row r="241" spans="1:13" x14ac:dyDescent="0.3">
      <c r="B241" s="3">
        <v>41.76</v>
      </c>
      <c r="C241" s="3">
        <v>100.25</v>
      </c>
      <c r="D241" s="3">
        <v>3.45</v>
      </c>
      <c r="E241" s="3">
        <v>41.65</v>
      </c>
      <c r="F241" s="3">
        <v>71.72</v>
      </c>
      <c r="G241" s="3">
        <v>3.68</v>
      </c>
      <c r="H241" s="3">
        <v>40.89</v>
      </c>
      <c r="I241" s="3">
        <v>130.22999999999999</v>
      </c>
      <c r="J241" s="3">
        <v>2.71</v>
      </c>
      <c r="K241" s="3">
        <v>40.85</v>
      </c>
      <c r="L241" s="3">
        <v>107.78</v>
      </c>
      <c r="M241" s="3">
        <v>3.18</v>
      </c>
    </row>
    <row r="242" spans="1:13" x14ac:dyDescent="0.3">
      <c r="B242" s="4">
        <v>37.65</v>
      </c>
      <c r="C242" s="4">
        <v>71.89</v>
      </c>
      <c r="D242" s="4">
        <v>2.98</v>
      </c>
      <c r="E242" s="4">
        <v>38.15</v>
      </c>
      <c r="F242" s="4">
        <v>71.83</v>
      </c>
      <c r="G242" s="4">
        <v>3.22</v>
      </c>
      <c r="H242" s="4">
        <v>41.58</v>
      </c>
      <c r="I242" s="4">
        <v>131.96</v>
      </c>
      <c r="J242" s="4">
        <v>2.39</v>
      </c>
      <c r="K242" s="4">
        <v>40.18</v>
      </c>
      <c r="L242" s="4">
        <v>86.86</v>
      </c>
      <c r="M242" s="4">
        <v>3.06</v>
      </c>
    </row>
    <row r="243" spans="1:13" x14ac:dyDescent="0.3">
      <c r="B243" s="3">
        <v>39.61</v>
      </c>
      <c r="C243" s="3">
        <v>86.84</v>
      </c>
      <c r="D243" s="3">
        <v>2.91</v>
      </c>
      <c r="E243" s="3">
        <v>40.51</v>
      </c>
      <c r="F243" s="3">
        <v>107.76</v>
      </c>
      <c r="G243" s="3">
        <v>2.62</v>
      </c>
      <c r="H243" s="3">
        <v>38.880000000000003</v>
      </c>
      <c r="I243" s="3">
        <v>79.459999999999994</v>
      </c>
      <c r="J243" s="3">
        <v>3.24</v>
      </c>
      <c r="K243" s="3">
        <v>40.06</v>
      </c>
      <c r="L243" s="3">
        <v>107.8</v>
      </c>
      <c r="M243" s="3">
        <v>2.7</v>
      </c>
    </row>
    <row r="244" spans="1:13" x14ac:dyDescent="0.3">
      <c r="B244" s="4">
        <v>37.78</v>
      </c>
      <c r="C244" s="4">
        <v>109.24</v>
      </c>
      <c r="D244" s="4">
        <v>2.72</v>
      </c>
      <c r="E244" s="4">
        <v>38.67</v>
      </c>
      <c r="F244" s="4">
        <v>94.3</v>
      </c>
      <c r="G244" s="4">
        <v>2.98</v>
      </c>
      <c r="H244" s="4">
        <v>37.11</v>
      </c>
      <c r="I244" s="4">
        <v>71.95</v>
      </c>
      <c r="J244" s="4">
        <v>3.89</v>
      </c>
      <c r="K244" s="4">
        <v>38.549999999999997</v>
      </c>
      <c r="L244" s="4">
        <v>115.26</v>
      </c>
      <c r="M244" s="4">
        <v>2.78</v>
      </c>
    </row>
    <row r="246" spans="1:13" x14ac:dyDescent="0.3">
      <c r="A246" s="5" t="s">
        <v>42</v>
      </c>
      <c r="B246" s="5">
        <f>AVERAGE(B221:B244)</f>
        <v>43.660416666666663</v>
      </c>
      <c r="C246" s="5">
        <f t="shared" ref="C246:M246" si="12">AVERAGE(C221:C244)</f>
        <v>86.836249999999993</v>
      </c>
      <c r="D246" s="5">
        <f t="shared" si="12"/>
        <v>2.5204166666666663</v>
      </c>
      <c r="E246" s="5">
        <f t="shared" si="12"/>
        <v>44.089583333333337</v>
      </c>
      <c r="F246" s="5">
        <f t="shared" si="12"/>
        <v>89.174583333333331</v>
      </c>
      <c r="G246" s="5">
        <f t="shared" si="12"/>
        <v>2.5274999999999994</v>
      </c>
      <c r="H246" s="5">
        <f t="shared" si="12"/>
        <v>44.531666666666666</v>
      </c>
      <c r="I246" s="5">
        <f t="shared" si="12"/>
        <v>97.710833333333326</v>
      </c>
      <c r="J246" s="5">
        <f t="shared" si="12"/>
        <v>2.4075000000000002</v>
      </c>
      <c r="K246" s="5">
        <f t="shared" si="12"/>
        <v>43.670416666666661</v>
      </c>
      <c r="L246" s="5">
        <f t="shared" si="12"/>
        <v>103.78250000000004</v>
      </c>
      <c r="M246" s="5">
        <f t="shared" si="12"/>
        <v>2.3374999999999999</v>
      </c>
    </row>
    <row r="247" spans="1:13" x14ac:dyDescent="0.3">
      <c r="A247" s="5" t="s">
        <v>35</v>
      </c>
      <c r="B247" s="5">
        <f>AVERAGE(B246,E246,H246,K246)</f>
        <v>43.98802083333333</v>
      </c>
      <c r="C247" s="5">
        <f t="shared" ref="C247:D247" si="13">AVERAGE(C246,F246,I246,L246)</f>
        <v>94.376041666666666</v>
      </c>
      <c r="D247" s="5">
        <f t="shared" si="13"/>
        <v>2.4482291666666667</v>
      </c>
      <c r="E247" s="5"/>
      <c r="F247" s="5"/>
      <c r="G247" s="5"/>
      <c r="H247" s="5"/>
      <c r="I247" s="5"/>
      <c r="J247" s="5"/>
      <c r="K247" s="5"/>
      <c r="L247" s="5"/>
      <c r="M247" s="5"/>
    </row>
    <row r="249" spans="1:13" x14ac:dyDescent="0.3">
      <c r="B249" s="38" t="s">
        <v>8</v>
      </c>
      <c r="C249" s="38"/>
      <c r="D249" s="38"/>
      <c r="E249" s="38"/>
    </row>
    <row r="251" spans="1:13" x14ac:dyDescent="0.3">
      <c r="B251" s="39" t="s">
        <v>17</v>
      </c>
      <c r="C251" s="39"/>
      <c r="D251" s="39"/>
      <c r="E251" s="40" t="s">
        <v>18</v>
      </c>
      <c r="F251" s="40"/>
      <c r="G251" s="40"/>
      <c r="H251" s="41" t="s">
        <v>19</v>
      </c>
      <c r="I251" s="41"/>
      <c r="J251" s="41"/>
      <c r="K251" s="42" t="s">
        <v>20</v>
      </c>
      <c r="L251" s="42"/>
      <c r="M251" s="42"/>
    </row>
    <row r="252" spans="1:13" x14ac:dyDescent="0.3">
      <c r="B252" s="1" t="s">
        <v>21</v>
      </c>
      <c r="C252" s="1" t="s">
        <v>22</v>
      </c>
      <c r="D252" s="1" t="s">
        <v>23</v>
      </c>
      <c r="E252" s="1" t="s">
        <v>21</v>
      </c>
      <c r="F252" s="1" t="s">
        <v>22</v>
      </c>
      <c r="G252" s="1" t="s">
        <v>23</v>
      </c>
      <c r="H252" s="1" t="s">
        <v>21</v>
      </c>
      <c r="I252" s="1" t="s">
        <v>22</v>
      </c>
      <c r="J252" s="1" t="s">
        <v>23</v>
      </c>
      <c r="K252" s="1" t="s">
        <v>21</v>
      </c>
      <c r="L252" s="1" t="s">
        <v>22</v>
      </c>
      <c r="M252" s="1" t="s">
        <v>23</v>
      </c>
    </row>
    <row r="253" spans="1:13" x14ac:dyDescent="0.3">
      <c r="A253" t="s">
        <v>27</v>
      </c>
      <c r="B253" s="3">
        <v>17.489999999999998</v>
      </c>
      <c r="C253" s="3">
        <v>79.900000000000006</v>
      </c>
      <c r="D253" s="3">
        <v>5.29</v>
      </c>
      <c r="E253" s="3">
        <v>23.08</v>
      </c>
      <c r="F253" s="3">
        <v>64.88</v>
      </c>
      <c r="G253" s="3">
        <v>4.6500000000000004</v>
      </c>
      <c r="H253" s="3">
        <v>19.41</v>
      </c>
      <c r="I253" s="3">
        <v>72.44</v>
      </c>
      <c r="J253" s="3">
        <v>5.37</v>
      </c>
      <c r="K253" s="3">
        <v>16.57</v>
      </c>
      <c r="L253" s="3">
        <v>72.510000000000005</v>
      </c>
      <c r="M253" s="3">
        <v>6.06</v>
      </c>
    </row>
    <row r="254" spans="1:13" x14ac:dyDescent="0.3">
      <c r="B254" s="4">
        <v>12.97</v>
      </c>
      <c r="C254" s="4">
        <v>64.989999999999995</v>
      </c>
      <c r="D254" s="4">
        <v>6.87</v>
      </c>
      <c r="E254" s="4">
        <v>9.66</v>
      </c>
      <c r="F254" s="4">
        <v>58.53</v>
      </c>
      <c r="G254" s="4">
        <v>8.1199999999999992</v>
      </c>
      <c r="H254" s="4">
        <v>11.83</v>
      </c>
      <c r="I254" s="4">
        <v>57.65</v>
      </c>
      <c r="J254" s="4">
        <v>7.44</v>
      </c>
      <c r="K254" s="4">
        <v>12.37</v>
      </c>
      <c r="L254" s="4">
        <v>57.42</v>
      </c>
      <c r="M254" s="4">
        <v>7.51</v>
      </c>
    </row>
    <row r="255" spans="1:13" x14ac:dyDescent="0.3">
      <c r="B255" s="3">
        <v>18.75</v>
      </c>
      <c r="C255" s="3">
        <v>64.95</v>
      </c>
      <c r="D255" s="3">
        <v>5.72</v>
      </c>
      <c r="E255" s="3">
        <v>20.97</v>
      </c>
      <c r="F255" s="3">
        <v>72.400000000000006</v>
      </c>
      <c r="G255" s="3">
        <v>5.39</v>
      </c>
      <c r="H255" s="3">
        <v>21.15</v>
      </c>
      <c r="I255" s="3">
        <v>72.37</v>
      </c>
      <c r="J255" s="3">
        <v>5.27</v>
      </c>
      <c r="K255" s="3">
        <v>17.329999999999998</v>
      </c>
      <c r="L255" s="3">
        <v>64.91</v>
      </c>
      <c r="M255" s="3">
        <v>5.97</v>
      </c>
    </row>
    <row r="256" spans="1:13" x14ac:dyDescent="0.3">
      <c r="B256" s="4">
        <v>12.86</v>
      </c>
      <c r="C256" s="4">
        <v>57.37</v>
      </c>
      <c r="D256" s="4">
        <v>7.09</v>
      </c>
      <c r="E256" s="4">
        <v>12.86</v>
      </c>
      <c r="F256" s="4">
        <v>51.17</v>
      </c>
      <c r="G256" s="4">
        <v>7.29</v>
      </c>
      <c r="H256" s="4">
        <v>11.77</v>
      </c>
      <c r="I256" s="4">
        <v>64.94</v>
      </c>
      <c r="J256" s="4">
        <v>7.86</v>
      </c>
      <c r="K256" s="4">
        <v>12.33</v>
      </c>
      <c r="L256" s="4">
        <v>57.45</v>
      </c>
      <c r="M256" s="4">
        <v>7.31</v>
      </c>
    </row>
    <row r="257" spans="2:13" x14ac:dyDescent="0.3">
      <c r="B257" s="3">
        <v>20.25</v>
      </c>
      <c r="C257" s="3">
        <v>65.17</v>
      </c>
      <c r="D257" s="3">
        <v>5.57</v>
      </c>
      <c r="E257" s="3">
        <v>20</v>
      </c>
      <c r="F257" s="3">
        <v>72.61</v>
      </c>
      <c r="G257" s="3">
        <v>5.39</v>
      </c>
      <c r="H257" s="3">
        <v>18.62</v>
      </c>
      <c r="I257" s="3">
        <v>64.92</v>
      </c>
      <c r="J257" s="3">
        <v>5.83</v>
      </c>
      <c r="K257" s="3">
        <v>21.76</v>
      </c>
      <c r="L257" s="3">
        <v>57.43</v>
      </c>
      <c r="M257" s="3">
        <v>5.01</v>
      </c>
    </row>
    <row r="258" spans="2:13" x14ac:dyDescent="0.3">
      <c r="B258" s="4">
        <v>11.68</v>
      </c>
      <c r="C258" s="4">
        <v>57.37</v>
      </c>
      <c r="D258" s="4">
        <v>7.84</v>
      </c>
      <c r="E258" s="4">
        <v>16.45</v>
      </c>
      <c r="F258" s="4">
        <v>57.47</v>
      </c>
      <c r="G258" s="4">
        <v>6.18</v>
      </c>
      <c r="H258" s="4">
        <v>18.32</v>
      </c>
      <c r="I258" s="4">
        <v>66.09</v>
      </c>
      <c r="J258" s="4">
        <v>5.71</v>
      </c>
      <c r="K258" s="4">
        <v>14.02</v>
      </c>
      <c r="L258" s="4">
        <v>80.040000000000006</v>
      </c>
      <c r="M258" s="4">
        <v>7.27</v>
      </c>
    </row>
    <row r="259" spans="2:13" x14ac:dyDescent="0.3">
      <c r="B259" s="3">
        <v>19.239999999999998</v>
      </c>
      <c r="C259" s="3">
        <v>65</v>
      </c>
      <c r="D259" s="3">
        <v>5.92</v>
      </c>
      <c r="E259" s="3">
        <v>17.03</v>
      </c>
      <c r="F259" s="3">
        <v>57.62</v>
      </c>
      <c r="G259" s="3">
        <v>6.11</v>
      </c>
      <c r="H259" s="3">
        <v>21.56</v>
      </c>
      <c r="I259" s="3">
        <v>79.930000000000007</v>
      </c>
      <c r="J259" s="3">
        <v>5.04</v>
      </c>
      <c r="K259" s="3">
        <v>17.95</v>
      </c>
      <c r="L259" s="3">
        <v>87.54</v>
      </c>
      <c r="M259" s="3">
        <v>5.86</v>
      </c>
    </row>
    <row r="260" spans="2:13" x14ac:dyDescent="0.3">
      <c r="B260" s="4">
        <v>15.6</v>
      </c>
      <c r="C260" s="4">
        <v>72.48</v>
      </c>
      <c r="D260" s="4">
        <v>6.76</v>
      </c>
      <c r="E260" s="4">
        <v>15.69</v>
      </c>
      <c r="F260" s="4">
        <v>72.39</v>
      </c>
      <c r="G260" s="4">
        <v>6.69</v>
      </c>
      <c r="H260" s="4">
        <v>14.88</v>
      </c>
      <c r="I260" s="4">
        <v>72.459999999999994</v>
      </c>
      <c r="J260" s="4">
        <v>6.96</v>
      </c>
      <c r="K260" s="4">
        <v>17.579999999999998</v>
      </c>
      <c r="L260" s="4">
        <v>72.5</v>
      </c>
      <c r="M260" s="4">
        <v>6.12</v>
      </c>
    </row>
    <row r="261" spans="2:13" x14ac:dyDescent="0.3">
      <c r="B261" s="3">
        <v>17.86</v>
      </c>
      <c r="C261" s="3">
        <v>57.45</v>
      </c>
      <c r="D261" s="3">
        <v>5.85</v>
      </c>
      <c r="E261" s="3">
        <v>19.850000000000001</v>
      </c>
      <c r="F261" s="3">
        <v>57.42</v>
      </c>
      <c r="G261" s="3">
        <v>5.17</v>
      </c>
      <c r="H261" s="3">
        <v>16.73</v>
      </c>
      <c r="I261" s="3">
        <v>51</v>
      </c>
      <c r="J261" s="3">
        <v>5.83</v>
      </c>
      <c r="K261" s="3">
        <v>17.39</v>
      </c>
      <c r="L261" s="3">
        <v>57.45</v>
      </c>
      <c r="M261" s="3">
        <v>6.07</v>
      </c>
    </row>
    <row r="262" spans="2:13" x14ac:dyDescent="0.3">
      <c r="B262" s="4">
        <v>17.260000000000002</v>
      </c>
      <c r="C262" s="4">
        <v>87.54</v>
      </c>
      <c r="D262" s="4">
        <v>6.23</v>
      </c>
      <c r="E262" s="4">
        <v>18.84</v>
      </c>
      <c r="F262" s="4">
        <v>94.91</v>
      </c>
      <c r="G262" s="4">
        <v>6.1</v>
      </c>
      <c r="H262" s="4">
        <v>17.670000000000002</v>
      </c>
      <c r="I262" s="4">
        <v>79.89</v>
      </c>
      <c r="J262" s="4">
        <v>5.98</v>
      </c>
      <c r="K262" s="4">
        <v>14.59</v>
      </c>
      <c r="L262" s="4">
        <v>72.400000000000006</v>
      </c>
      <c r="M262" s="4">
        <v>6.96</v>
      </c>
    </row>
    <row r="263" spans="2:13" x14ac:dyDescent="0.3">
      <c r="B263" s="3">
        <v>16.84</v>
      </c>
      <c r="C263" s="3">
        <v>57.36</v>
      </c>
      <c r="D263" s="3">
        <v>6.48</v>
      </c>
      <c r="E263" s="3">
        <v>18.75</v>
      </c>
      <c r="F263" s="3">
        <v>80.459999999999994</v>
      </c>
      <c r="G263" s="3">
        <v>5.84</v>
      </c>
      <c r="H263" s="3">
        <v>17.16</v>
      </c>
      <c r="I263" s="3">
        <v>64.959999999999994</v>
      </c>
      <c r="J263" s="3">
        <v>6.11</v>
      </c>
      <c r="K263" s="3">
        <v>15.66</v>
      </c>
      <c r="L263" s="3">
        <v>64.989999999999995</v>
      </c>
      <c r="M263" s="3">
        <v>6.19</v>
      </c>
    </row>
    <row r="264" spans="2:13" x14ac:dyDescent="0.3">
      <c r="B264" s="4">
        <v>19.100000000000001</v>
      </c>
      <c r="C264" s="4">
        <v>72.47</v>
      </c>
      <c r="D264" s="4">
        <v>5.86</v>
      </c>
      <c r="E264" s="4">
        <v>18.73</v>
      </c>
      <c r="F264" s="4">
        <v>79.900000000000006</v>
      </c>
      <c r="G264" s="4">
        <v>5.58</v>
      </c>
      <c r="H264" s="4">
        <v>18.059999999999999</v>
      </c>
      <c r="I264" s="4">
        <v>72.44</v>
      </c>
      <c r="J264" s="4">
        <v>5.93</v>
      </c>
      <c r="K264" s="4">
        <v>20.36</v>
      </c>
      <c r="L264" s="4">
        <v>87.37</v>
      </c>
      <c r="M264" s="4">
        <v>5.67</v>
      </c>
    </row>
    <row r="265" spans="2:13" x14ac:dyDescent="0.3">
      <c r="B265" s="3">
        <v>11.55</v>
      </c>
      <c r="C265" s="3">
        <v>65.05</v>
      </c>
      <c r="D265" s="3">
        <v>6.61</v>
      </c>
      <c r="E265" s="3">
        <v>16.05</v>
      </c>
      <c r="F265" s="3">
        <v>65.06</v>
      </c>
      <c r="G265" s="3">
        <v>5.43</v>
      </c>
      <c r="H265" s="3">
        <v>12.88</v>
      </c>
      <c r="I265" s="3">
        <v>57.42</v>
      </c>
      <c r="J265" s="3">
        <v>6.2</v>
      </c>
      <c r="K265" s="3">
        <v>11.84</v>
      </c>
      <c r="L265" s="3">
        <v>49.72</v>
      </c>
      <c r="M265" s="3">
        <v>7.11</v>
      </c>
    </row>
    <row r="266" spans="2:13" x14ac:dyDescent="0.3">
      <c r="B266" s="4">
        <v>7.61</v>
      </c>
      <c r="C266" s="4">
        <v>57.37</v>
      </c>
      <c r="D266" s="4">
        <v>7.65</v>
      </c>
      <c r="E266" s="4">
        <v>6.31</v>
      </c>
      <c r="F266" s="4">
        <v>65.069999999999993</v>
      </c>
      <c r="G266" s="4">
        <v>10.39</v>
      </c>
      <c r="H266" s="4">
        <v>7.28</v>
      </c>
      <c r="I266" s="4">
        <v>57.66</v>
      </c>
      <c r="J266" s="4">
        <v>7.87</v>
      </c>
      <c r="K266" s="4">
        <v>10.23</v>
      </c>
      <c r="L266" s="4">
        <v>65.05</v>
      </c>
      <c r="M266" s="4">
        <v>7.18</v>
      </c>
    </row>
    <row r="267" spans="2:13" x14ac:dyDescent="0.3">
      <c r="B267" s="3">
        <v>12.51</v>
      </c>
      <c r="C267" s="3">
        <v>57.29</v>
      </c>
      <c r="D267" s="3">
        <v>6.66</v>
      </c>
      <c r="E267" s="3">
        <v>15.5</v>
      </c>
      <c r="F267" s="3">
        <v>72.28</v>
      </c>
      <c r="G267" s="3">
        <v>5.76</v>
      </c>
      <c r="H267" s="3">
        <v>14.97</v>
      </c>
      <c r="I267" s="3">
        <v>64.849999999999994</v>
      </c>
      <c r="J267" s="3">
        <v>5.65</v>
      </c>
      <c r="K267" s="3">
        <v>11.12</v>
      </c>
      <c r="L267" s="3">
        <v>60.03</v>
      </c>
      <c r="M267" s="3">
        <v>6.91</v>
      </c>
    </row>
    <row r="268" spans="2:13" x14ac:dyDescent="0.3">
      <c r="B268" s="4">
        <v>7.47</v>
      </c>
      <c r="C268" s="4">
        <v>57.37</v>
      </c>
      <c r="D268" s="4">
        <v>7.43</v>
      </c>
      <c r="E268" s="4">
        <v>8.36</v>
      </c>
      <c r="F268" s="4">
        <v>42.32</v>
      </c>
      <c r="G268" s="4">
        <v>9.1300000000000008</v>
      </c>
      <c r="H268" s="4">
        <v>8.5299999999999994</v>
      </c>
      <c r="I268" s="4">
        <v>57.37</v>
      </c>
      <c r="J268" s="4">
        <v>7.05</v>
      </c>
      <c r="K268" s="4">
        <v>7.76</v>
      </c>
      <c r="L268" s="4">
        <v>52.46</v>
      </c>
      <c r="M268" s="4">
        <v>6.74</v>
      </c>
    </row>
    <row r="269" spans="2:13" x14ac:dyDescent="0.3">
      <c r="B269" s="3">
        <v>13.47</v>
      </c>
      <c r="C269" s="3">
        <v>57.28</v>
      </c>
      <c r="D269" s="3">
        <v>6.71</v>
      </c>
      <c r="E269" s="3">
        <v>16.64</v>
      </c>
      <c r="F269" s="3">
        <v>72.430000000000007</v>
      </c>
      <c r="G269" s="3">
        <v>5.39</v>
      </c>
      <c r="H269" s="3">
        <v>15.08</v>
      </c>
      <c r="I269" s="3">
        <v>67.33</v>
      </c>
      <c r="J269" s="3">
        <v>5.54</v>
      </c>
      <c r="K269" s="3">
        <v>13.96</v>
      </c>
      <c r="L269" s="3">
        <v>57.32</v>
      </c>
      <c r="M269" s="3">
        <v>6.29</v>
      </c>
    </row>
    <row r="270" spans="2:13" x14ac:dyDescent="0.3">
      <c r="B270" s="4">
        <v>6.35</v>
      </c>
      <c r="C270" s="4">
        <v>67.37</v>
      </c>
      <c r="D270" s="4">
        <v>7.21</v>
      </c>
      <c r="E270" s="4">
        <v>10.32</v>
      </c>
      <c r="F270" s="4">
        <v>69.92</v>
      </c>
      <c r="G270" s="4">
        <v>8.06</v>
      </c>
      <c r="H270" s="4">
        <v>10.92</v>
      </c>
      <c r="I270" s="4">
        <v>67.39</v>
      </c>
      <c r="J270" s="4">
        <v>7.51</v>
      </c>
      <c r="K270" s="4">
        <v>10.210000000000001</v>
      </c>
      <c r="L270" s="4">
        <v>67.45</v>
      </c>
      <c r="M270" s="4">
        <v>7.12</v>
      </c>
    </row>
    <row r="271" spans="2:13" x14ac:dyDescent="0.3">
      <c r="B271" s="3">
        <v>13.43</v>
      </c>
      <c r="C271" s="3">
        <v>64.819999999999993</v>
      </c>
      <c r="D271" s="3">
        <v>6.92</v>
      </c>
      <c r="E271" s="3">
        <v>10.95</v>
      </c>
      <c r="F271" s="3">
        <v>69.95</v>
      </c>
      <c r="G271" s="3">
        <v>7.28</v>
      </c>
      <c r="H271" s="3">
        <v>15.27</v>
      </c>
      <c r="I271" s="3">
        <v>66.25</v>
      </c>
      <c r="J271" s="3">
        <v>5.8</v>
      </c>
      <c r="K271" s="3">
        <v>13.51</v>
      </c>
      <c r="L271" s="3">
        <v>65.94</v>
      </c>
      <c r="M271" s="3">
        <v>6.67</v>
      </c>
    </row>
    <row r="272" spans="2:13" x14ac:dyDescent="0.3">
      <c r="B272" s="4">
        <v>10.38</v>
      </c>
      <c r="C272" s="4">
        <v>68.64</v>
      </c>
      <c r="D272" s="4">
        <v>7.14</v>
      </c>
      <c r="E272" s="4">
        <v>10.94</v>
      </c>
      <c r="F272" s="4">
        <v>64.98</v>
      </c>
      <c r="G272" s="4">
        <v>7.53</v>
      </c>
      <c r="H272" s="4">
        <v>10</v>
      </c>
      <c r="I272" s="4">
        <v>72.28</v>
      </c>
      <c r="J272" s="4">
        <v>7.16</v>
      </c>
      <c r="K272" s="4">
        <v>11.97</v>
      </c>
      <c r="L272" s="4">
        <v>64.84</v>
      </c>
      <c r="M272" s="4">
        <v>6.59</v>
      </c>
    </row>
    <row r="273" spans="1:13" x14ac:dyDescent="0.3">
      <c r="B273" s="3">
        <v>11.77</v>
      </c>
      <c r="C273" s="3">
        <v>65.05</v>
      </c>
      <c r="D273" s="3">
        <v>6.89</v>
      </c>
      <c r="E273" s="3">
        <v>13.35</v>
      </c>
      <c r="F273" s="3">
        <v>69.930000000000007</v>
      </c>
      <c r="G273" s="3">
        <v>6.09</v>
      </c>
      <c r="H273" s="3">
        <v>10.78</v>
      </c>
      <c r="I273" s="3">
        <v>62.54</v>
      </c>
      <c r="J273" s="3">
        <v>7.09</v>
      </c>
      <c r="K273" s="3">
        <v>12.35</v>
      </c>
      <c r="L273" s="3">
        <v>69.84</v>
      </c>
      <c r="M273" s="3">
        <v>6.51</v>
      </c>
    </row>
    <row r="274" spans="1:13" x14ac:dyDescent="0.3">
      <c r="B274" s="4">
        <v>12.64</v>
      </c>
      <c r="C274" s="4">
        <v>74.88</v>
      </c>
      <c r="D274" s="4">
        <v>6.62</v>
      </c>
      <c r="E274" s="4">
        <v>14.28</v>
      </c>
      <c r="F274" s="4">
        <v>79.989999999999995</v>
      </c>
      <c r="G274" s="4">
        <v>7.02</v>
      </c>
      <c r="H274" s="4">
        <v>12.07</v>
      </c>
      <c r="I274" s="4">
        <v>74.900000000000006</v>
      </c>
      <c r="J274" s="4">
        <v>7.64</v>
      </c>
      <c r="K274" s="4">
        <v>9.9700000000000006</v>
      </c>
      <c r="L274" s="4">
        <v>67.3</v>
      </c>
      <c r="M274" s="4">
        <v>7.78</v>
      </c>
    </row>
    <row r="275" spans="1:13" x14ac:dyDescent="0.3">
      <c r="B275" s="3">
        <v>10.81</v>
      </c>
      <c r="C275" s="3">
        <v>75.05</v>
      </c>
      <c r="D275" s="3">
        <v>6.98</v>
      </c>
      <c r="E275" s="3">
        <v>11.89</v>
      </c>
      <c r="F275" s="3">
        <v>72.34</v>
      </c>
      <c r="G275" s="3">
        <v>7.17</v>
      </c>
      <c r="H275" s="3">
        <v>11.61</v>
      </c>
      <c r="I275" s="3">
        <v>77.459999999999994</v>
      </c>
      <c r="J275" s="3">
        <v>6.98</v>
      </c>
      <c r="K275" s="3">
        <v>10.02</v>
      </c>
      <c r="L275" s="3">
        <v>69.91</v>
      </c>
      <c r="M275" s="3">
        <v>6.56</v>
      </c>
    </row>
    <row r="276" spans="1:13" x14ac:dyDescent="0.3">
      <c r="B276" s="4">
        <v>10.94</v>
      </c>
      <c r="C276" s="4">
        <v>74.81</v>
      </c>
      <c r="D276" s="4">
        <v>7.65</v>
      </c>
      <c r="E276" s="4">
        <v>11.57</v>
      </c>
      <c r="F276" s="4">
        <v>72.28</v>
      </c>
      <c r="G276" s="4">
        <v>7.17</v>
      </c>
      <c r="H276" s="4">
        <v>11.02</v>
      </c>
      <c r="I276" s="4">
        <v>64.83</v>
      </c>
      <c r="J276" s="4">
        <v>7.51</v>
      </c>
      <c r="K276" s="4">
        <v>15.01</v>
      </c>
      <c r="L276" s="4">
        <v>72.31</v>
      </c>
      <c r="M276" s="4">
        <v>6.53</v>
      </c>
    </row>
    <row r="278" spans="1:13" x14ac:dyDescent="0.3">
      <c r="A278" s="5" t="s">
        <v>42</v>
      </c>
      <c r="B278" s="5">
        <f>AVERAGE(B253:B276)</f>
        <v>13.70125</v>
      </c>
      <c r="C278" s="5">
        <f t="shared" ref="C278:M278" si="14">AVERAGE(C253:C276)</f>
        <v>66.126249999999985</v>
      </c>
      <c r="D278" s="5">
        <f t="shared" si="14"/>
        <v>6.6645833333333329</v>
      </c>
      <c r="E278" s="5">
        <f t="shared" si="14"/>
        <v>14.91958333333333</v>
      </c>
      <c r="F278" s="5">
        <f t="shared" si="14"/>
        <v>68.179583333333326</v>
      </c>
      <c r="G278" s="5">
        <f t="shared" si="14"/>
        <v>6.6220833333333324</v>
      </c>
      <c r="H278" s="5">
        <f t="shared" si="14"/>
        <v>14.48208333333333</v>
      </c>
      <c r="I278" s="5">
        <f t="shared" si="14"/>
        <v>67.057083333333324</v>
      </c>
      <c r="J278" s="5">
        <f t="shared" si="14"/>
        <v>6.4720833333333312</v>
      </c>
      <c r="K278" s="5">
        <f t="shared" si="14"/>
        <v>13.99416666666667</v>
      </c>
      <c r="L278" s="5">
        <f t="shared" si="14"/>
        <v>66.424166666666665</v>
      </c>
      <c r="M278" s="5">
        <f t="shared" si="14"/>
        <v>6.5829166666666659</v>
      </c>
    </row>
    <row r="279" spans="1:13" x14ac:dyDescent="0.3">
      <c r="A279" s="5" t="s">
        <v>35</v>
      </c>
      <c r="B279" s="5">
        <f>AVERAGE(B278,E278,H278,K278)</f>
        <v>14.274270833333333</v>
      </c>
      <c r="C279" s="5">
        <f t="shared" ref="C279:D279" si="15">AVERAGE(C278,F278,I278,L278)</f>
        <v>66.946770833333332</v>
      </c>
      <c r="D279" s="5">
        <f t="shared" si="15"/>
        <v>6.5854166666666654</v>
      </c>
      <c r="E279" s="5"/>
      <c r="F279" s="5"/>
      <c r="G279" s="5"/>
      <c r="H279" s="5"/>
      <c r="I279" s="5"/>
      <c r="J279" s="5"/>
      <c r="K279" s="5"/>
      <c r="L279" s="5"/>
      <c r="M279" s="5"/>
    </row>
    <row r="281" spans="1:13" x14ac:dyDescent="0.3">
      <c r="A281" t="s">
        <v>28</v>
      </c>
      <c r="B281" s="3">
        <v>30.07</v>
      </c>
      <c r="C281" s="3">
        <v>57.27</v>
      </c>
      <c r="D281" s="3">
        <v>2.95</v>
      </c>
      <c r="E281" s="3">
        <v>21.11</v>
      </c>
      <c r="F281" s="3">
        <v>34.81</v>
      </c>
      <c r="G281" s="3">
        <v>4.24</v>
      </c>
      <c r="H281" s="3">
        <v>20.420000000000002</v>
      </c>
      <c r="I281" s="3">
        <v>49.77</v>
      </c>
      <c r="J281" s="3">
        <v>3.98</v>
      </c>
      <c r="K281" s="3">
        <v>24.09</v>
      </c>
      <c r="L281" s="3">
        <v>49.69</v>
      </c>
      <c r="M281" s="3">
        <v>3.66</v>
      </c>
    </row>
    <row r="282" spans="1:13" x14ac:dyDescent="0.3">
      <c r="B282" s="4">
        <v>15.11</v>
      </c>
      <c r="C282" s="4">
        <v>42.19</v>
      </c>
      <c r="D282" s="4">
        <v>4.95</v>
      </c>
      <c r="E282" s="4">
        <v>13.32</v>
      </c>
      <c r="F282" s="4">
        <v>42.27</v>
      </c>
      <c r="G282" s="4">
        <v>4.79</v>
      </c>
      <c r="H282" s="4">
        <v>13.57</v>
      </c>
      <c r="I282" s="4">
        <v>49.8</v>
      </c>
      <c r="J282" s="4">
        <v>5.0599999999999996</v>
      </c>
      <c r="K282" s="4">
        <v>26.02</v>
      </c>
      <c r="L282" s="4">
        <v>57.22</v>
      </c>
      <c r="M282" s="4">
        <v>3.72</v>
      </c>
    </row>
    <row r="283" spans="1:13" x14ac:dyDescent="0.3">
      <c r="B283" s="3">
        <v>27.35</v>
      </c>
      <c r="C283" s="3">
        <v>42.43</v>
      </c>
      <c r="D283" s="3">
        <v>2.87</v>
      </c>
      <c r="E283" s="3">
        <v>26.32</v>
      </c>
      <c r="F283" s="3">
        <v>49.81</v>
      </c>
      <c r="G283" s="3">
        <v>3.06</v>
      </c>
      <c r="H283" s="3">
        <v>28.35</v>
      </c>
      <c r="I283" s="3">
        <v>43.03</v>
      </c>
      <c r="J283" s="3">
        <v>3.06</v>
      </c>
      <c r="K283" s="3">
        <v>25.91</v>
      </c>
      <c r="L283" s="3">
        <v>49.75</v>
      </c>
      <c r="M283" s="3">
        <v>3.2</v>
      </c>
    </row>
    <row r="284" spans="1:13" x14ac:dyDescent="0.3">
      <c r="B284" s="4">
        <v>16.3</v>
      </c>
      <c r="C284" s="4">
        <v>42.25</v>
      </c>
      <c r="D284" s="4">
        <v>4.45</v>
      </c>
      <c r="E284" s="4">
        <v>15.38</v>
      </c>
      <c r="F284" s="4">
        <v>42.25</v>
      </c>
      <c r="G284" s="4">
        <v>4.8099999999999996</v>
      </c>
      <c r="H284" s="4">
        <v>20.87</v>
      </c>
      <c r="I284" s="4">
        <v>49.77</v>
      </c>
      <c r="J284" s="4">
        <v>4.26</v>
      </c>
      <c r="K284" s="4">
        <v>20.82</v>
      </c>
      <c r="L284" s="4">
        <v>49.85</v>
      </c>
      <c r="M284" s="4">
        <v>4.46</v>
      </c>
    </row>
    <row r="285" spans="1:13" x14ac:dyDescent="0.3">
      <c r="B285" s="3">
        <v>28.45</v>
      </c>
      <c r="C285" s="3">
        <v>49.92</v>
      </c>
      <c r="D285" s="3">
        <v>3.07</v>
      </c>
      <c r="E285" s="3">
        <v>25.03</v>
      </c>
      <c r="F285" s="3">
        <v>57.22</v>
      </c>
      <c r="G285" s="3">
        <v>3.27</v>
      </c>
      <c r="H285" s="3">
        <v>33.130000000000003</v>
      </c>
      <c r="I285" s="3">
        <v>72.209999999999994</v>
      </c>
      <c r="J285" s="3">
        <v>2.94</v>
      </c>
      <c r="K285" s="3">
        <v>23.96</v>
      </c>
      <c r="L285" s="3">
        <v>50.09</v>
      </c>
      <c r="M285" s="3">
        <v>3.14</v>
      </c>
    </row>
    <row r="286" spans="1:13" x14ac:dyDescent="0.3">
      <c r="B286" s="4">
        <v>16.63</v>
      </c>
      <c r="C286" s="4">
        <v>49.73</v>
      </c>
      <c r="D286" s="4">
        <v>4.88</v>
      </c>
      <c r="E286" s="4">
        <v>18.170000000000002</v>
      </c>
      <c r="F286" s="4">
        <v>64.75</v>
      </c>
      <c r="G286" s="4">
        <v>4.54</v>
      </c>
      <c r="H286" s="4">
        <v>14.32</v>
      </c>
      <c r="I286" s="4">
        <v>49.78</v>
      </c>
      <c r="J286" s="4">
        <v>5.05</v>
      </c>
      <c r="K286" s="4">
        <v>18.809999999999999</v>
      </c>
      <c r="L286" s="4">
        <v>57.17</v>
      </c>
      <c r="M286" s="4">
        <v>4.0599999999999996</v>
      </c>
    </row>
    <row r="287" spans="1:13" x14ac:dyDescent="0.3">
      <c r="B287" s="3">
        <v>21.05</v>
      </c>
      <c r="C287" s="3">
        <v>48.26</v>
      </c>
      <c r="D287" s="3">
        <v>3.77</v>
      </c>
      <c r="E287" s="3">
        <v>27.72</v>
      </c>
      <c r="F287" s="3">
        <v>57.33</v>
      </c>
      <c r="G287" s="3">
        <v>3.15</v>
      </c>
      <c r="H287" s="3">
        <v>23.3</v>
      </c>
      <c r="I287" s="3">
        <v>70.69</v>
      </c>
      <c r="J287" s="3">
        <v>3.78</v>
      </c>
      <c r="K287" s="3">
        <v>24.01</v>
      </c>
      <c r="L287" s="3">
        <v>57.3</v>
      </c>
      <c r="M287" s="3">
        <v>3.44</v>
      </c>
    </row>
    <row r="288" spans="1:13" x14ac:dyDescent="0.3">
      <c r="B288" s="4">
        <v>17.190000000000001</v>
      </c>
      <c r="C288" s="4">
        <v>57.23</v>
      </c>
      <c r="D288" s="4">
        <v>5.19</v>
      </c>
      <c r="E288" s="4">
        <v>16.55</v>
      </c>
      <c r="F288" s="4">
        <v>49.7</v>
      </c>
      <c r="G288" s="4">
        <v>5.18</v>
      </c>
      <c r="H288" s="4">
        <v>16.18</v>
      </c>
      <c r="I288" s="4">
        <v>43.45</v>
      </c>
      <c r="J288" s="4">
        <v>4.53</v>
      </c>
      <c r="K288" s="4">
        <v>18.21</v>
      </c>
      <c r="L288" s="4">
        <v>49.72</v>
      </c>
      <c r="M288" s="4">
        <v>4.6900000000000004</v>
      </c>
    </row>
    <row r="289" spans="2:13" x14ac:dyDescent="0.3">
      <c r="B289" s="3">
        <v>12.45</v>
      </c>
      <c r="C289" s="3">
        <v>35.03</v>
      </c>
      <c r="D289" s="3">
        <v>5.78</v>
      </c>
      <c r="E289" s="3">
        <v>24.7</v>
      </c>
      <c r="F289" s="3">
        <v>50.83</v>
      </c>
      <c r="G289" s="3">
        <v>3.38</v>
      </c>
      <c r="H289" s="3">
        <v>24.97</v>
      </c>
      <c r="I289" s="3">
        <v>43.67</v>
      </c>
      <c r="J289" s="3">
        <v>3.25</v>
      </c>
      <c r="K289" s="3">
        <v>22.92</v>
      </c>
      <c r="L289" s="3">
        <v>57.39</v>
      </c>
      <c r="M289" s="3">
        <v>3.4</v>
      </c>
    </row>
    <row r="290" spans="2:13" x14ac:dyDescent="0.3">
      <c r="B290" s="4">
        <v>19.98</v>
      </c>
      <c r="C290" s="4">
        <v>49.72</v>
      </c>
      <c r="D290" s="4">
        <v>4.3499999999999996</v>
      </c>
      <c r="E290" s="4">
        <v>17.32</v>
      </c>
      <c r="F290" s="4">
        <v>49.78</v>
      </c>
      <c r="G290" s="4">
        <v>4.92</v>
      </c>
      <c r="H290" s="4">
        <v>15.67</v>
      </c>
      <c r="I290" s="4">
        <v>49.74</v>
      </c>
      <c r="J290" s="4">
        <v>4.96</v>
      </c>
      <c r="K290" s="4">
        <v>18.38</v>
      </c>
      <c r="L290" s="4">
        <v>50.85</v>
      </c>
      <c r="M290" s="4">
        <v>3.98</v>
      </c>
    </row>
    <row r="291" spans="2:13" x14ac:dyDescent="0.3">
      <c r="B291" s="3">
        <v>20.81</v>
      </c>
      <c r="C291" s="3">
        <v>49.79</v>
      </c>
      <c r="D291" s="3">
        <v>3.98</v>
      </c>
      <c r="E291" s="3">
        <v>29.4</v>
      </c>
      <c r="F291" s="3">
        <v>50.82</v>
      </c>
      <c r="G291" s="3">
        <v>2.86</v>
      </c>
      <c r="H291" s="3">
        <v>19.22</v>
      </c>
      <c r="I291" s="3">
        <v>42.35</v>
      </c>
      <c r="J291" s="3">
        <v>4.18</v>
      </c>
      <c r="K291" s="3">
        <v>24.54</v>
      </c>
      <c r="L291" s="3">
        <v>57.32</v>
      </c>
      <c r="M291" s="3">
        <v>3.29</v>
      </c>
    </row>
    <row r="292" spans="2:13" x14ac:dyDescent="0.3">
      <c r="B292" s="4">
        <v>22.1</v>
      </c>
      <c r="C292" s="4">
        <v>57.27</v>
      </c>
      <c r="D292" s="4">
        <v>4.2300000000000004</v>
      </c>
      <c r="E292" s="4">
        <v>16.010000000000002</v>
      </c>
      <c r="F292" s="4">
        <v>64.81</v>
      </c>
      <c r="G292" s="4">
        <v>4.83</v>
      </c>
      <c r="H292" s="4">
        <v>21.29</v>
      </c>
      <c r="I292" s="4">
        <v>49.84</v>
      </c>
      <c r="J292" s="4">
        <v>3.74</v>
      </c>
      <c r="K292" s="4">
        <v>16.690000000000001</v>
      </c>
      <c r="L292" s="4">
        <v>65.84</v>
      </c>
      <c r="M292" s="4">
        <v>5.1100000000000003</v>
      </c>
    </row>
    <row r="293" spans="2:13" x14ac:dyDescent="0.3">
      <c r="B293" s="3">
        <v>16.25</v>
      </c>
      <c r="C293" s="3">
        <v>57.17</v>
      </c>
      <c r="D293" s="3">
        <v>5.53</v>
      </c>
      <c r="E293" s="3">
        <v>12.71</v>
      </c>
      <c r="F293" s="3">
        <v>49.91</v>
      </c>
      <c r="G293" s="3">
        <v>6.25</v>
      </c>
      <c r="H293" s="3">
        <v>14.16</v>
      </c>
      <c r="I293" s="3">
        <v>49.76</v>
      </c>
      <c r="J293" s="3">
        <v>5.8</v>
      </c>
      <c r="K293" s="3">
        <v>15.1</v>
      </c>
      <c r="L293" s="3">
        <v>57.3</v>
      </c>
      <c r="M293" s="3">
        <v>5.79</v>
      </c>
    </row>
    <row r="294" spans="2:13" x14ac:dyDescent="0.3">
      <c r="B294" s="4">
        <v>9.43</v>
      </c>
      <c r="C294" s="4">
        <v>42.26</v>
      </c>
      <c r="D294" s="4">
        <v>7.54</v>
      </c>
      <c r="E294" s="4">
        <v>9.9</v>
      </c>
      <c r="F294" s="4">
        <v>49.97</v>
      </c>
      <c r="G294" s="4">
        <v>7.38</v>
      </c>
      <c r="H294" s="4">
        <v>10.24</v>
      </c>
      <c r="I294" s="4">
        <v>57.32</v>
      </c>
      <c r="J294" s="4">
        <v>7.09</v>
      </c>
      <c r="K294" s="4">
        <v>10.78</v>
      </c>
      <c r="L294" s="4">
        <v>64.75</v>
      </c>
      <c r="M294" s="4">
        <v>6.78</v>
      </c>
    </row>
    <row r="295" spans="2:13" x14ac:dyDescent="0.3">
      <c r="B295" s="3">
        <v>12.21</v>
      </c>
      <c r="C295" s="3">
        <v>58.63</v>
      </c>
      <c r="D295" s="3">
        <v>6.15</v>
      </c>
      <c r="E295" s="3">
        <v>13.12</v>
      </c>
      <c r="F295" s="3">
        <v>49.77</v>
      </c>
      <c r="G295" s="3">
        <v>6.04</v>
      </c>
      <c r="H295" s="3">
        <v>13.45</v>
      </c>
      <c r="I295" s="3">
        <v>49.68</v>
      </c>
      <c r="J295" s="3">
        <v>5.9</v>
      </c>
      <c r="K295" s="3">
        <v>12.88</v>
      </c>
      <c r="L295" s="3">
        <v>49.81</v>
      </c>
      <c r="M295" s="3">
        <v>6.09</v>
      </c>
    </row>
    <row r="296" spans="2:13" x14ac:dyDescent="0.3">
      <c r="B296" s="4">
        <v>11.14</v>
      </c>
      <c r="C296" s="4">
        <v>57.18</v>
      </c>
      <c r="D296" s="4">
        <v>7.05</v>
      </c>
      <c r="E296" s="4">
        <v>10.75</v>
      </c>
      <c r="F296" s="4">
        <v>57.3</v>
      </c>
      <c r="G296" s="4">
        <v>7.06</v>
      </c>
      <c r="H296" s="4">
        <v>13.4</v>
      </c>
      <c r="I296" s="4">
        <v>64.8</v>
      </c>
      <c r="J296" s="4">
        <v>6.43</v>
      </c>
      <c r="K296" s="4">
        <v>12.84</v>
      </c>
      <c r="L296" s="4">
        <v>57.28</v>
      </c>
      <c r="M296" s="4">
        <v>6.61</v>
      </c>
    </row>
    <row r="297" spans="2:13" x14ac:dyDescent="0.3">
      <c r="B297" s="3">
        <v>13.78</v>
      </c>
      <c r="C297" s="3">
        <v>49.76</v>
      </c>
      <c r="D297" s="3">
        <v>5.48</v>
      </c>
      <c r="E297" s="3">
        <v>14.05</v>
      </c>
      <c r="F297" s="3">
        <v>176.9</v>
      </c>
      <c r="G297" s="3">
        <v>5.42</v>
      </c>
      <c r="H297" s="3">
        <v>17.010000000000002</v>
      </c>
      <c r="I297" s="3">
        <v>76.84</v>
      </c>
      <c r="J297" s="3">
        <v>4.91</v>
      </c>
      <c r="K297" s="3">
        <v>14.09</v>
      </c>
      <c r="L297" s="3">
        <v>176.9</v>
      </c>
      <c r="M297" s="3">
        <v>5.53</v>
      </c>
    </row>
    <row r="298" spans="2:13" x14ac:dyDescent="0.3">
      <c r="B298" s="4">
        <v>11.24</v>
      </c>
      <c r="C298" s="4">
        <v>176.91</v>
      </c>
      <c r="D298" s="4">
        <v>6.91</v>
      </c>
      <c r="E298" s="4">
        <v>12.57</v>
      </c>
      <c r="F298" s="4">
        <v>175.5</v>
      </c>
      <c r="G298" s="4">
        <v>6.67</v>
      </c>
      <c r="H298" s="4">
        <v>9.5399999999999991</v>
      </c>
      <c r="I298" s="4">
        <v>48.3</v>
      </c>
      <c r="J298" s="4">
        <v>7.02</v>
      </c>
      <c r="K298" s="4">
        <v>11.34</v>
      </c>
      <c r="L298" s="4">
        <v>176.9</v>
      </c>
      <c r="M298" s="4">
        <v>6.79</v>
      </c>
    </row>
    <row r="299" spans="2:13" x14ac:dyDescent="0.3">
      <c r="B299" s="3">
        <v>14.04</v>
      </c>
      <c r="C299" s="3">
        <v>57.25</v>
      </c>
      <c r="D299" s="3">
        <v>5.49</v>
      </c>
      <c r="E299" s="3">
        <v>13.82</v>
      </c>
      <c r="F299" s="3">
        <v>63.22</v>
      </c>
      <c r="G299" s="3">
        <v>5.43</v>
      </c>
      <c r="H299" s="3">
        <v>15.06</v>
      </c>
      <c r="I299" s="3">
        <v>64.7</v>
      </c>
      <c r="J299" s="3">
        <v>5.45</v>
      </c>
      <c r="K299" s="3">
        <v>14.01</v>
      </c>
      <c r="L299" s="3">
        <v>176.9</v>
      </c>
      <c r="M299" s="3">
        <v>5.51</v>
      </c>
    </row>
    <row r="300" spans="2:13" x14ac:dyDescent="0.3">
      <c r="B300" s="4">
        <v>11.46</v>
      </c>
      <c r="C300" s="4">
        <v>180</v>
      </c>
      <c r="D300" s="4">
        <v>6.69</v>
      </c>
      <c r="E300" s="4">
        <v>11.9</v>
      </c>
      <c r="F300" s="4">
        <v>176.9</v>
      </c>
      <c r="G300" s="4">
        <v>6.53</v>
      </c>
      <c r="H300" s="4">
        <v>8.6999999999999993</v>
      </c>
      <c r="I300" s="4">
        <v>176.9</v>
      </c>
      <c r="J300" s="4">
        <v>7.59</v>
      </c>
      <c r="K300" s="4">
        <v>11.27</v>
      </c>
      <c r="L300" s="4">
        <v>176.66</v>
      </c>
      <c r="M300" s="4">
        <v>6.87</v>
      </c>
    </row>
    <row r="301" spans="2:13" x14ac:dyDescent="0.3">
      <c r="B301" s="3">
        <v>13.03</v>
      </c>
      <c r="C301" s="3">
        <v>42.21</v>
      </c>
      <c r="D301" s="3">
        <v>6.38</v>
      </c>
      <c r="E301" s="3">
        <v>14.1</v>
      </c>
      <c r="F301" s="3">
        <v>57.22</v>
      </c>
      <c r="G301" s="3">
        <v>5.58</v>
      </c>
      <c r="H301" s="3">
        <v>13.35</v>
      </c>
      <c r="I301" s="3">
        <v>176.9</v>
      </c>
      <c r="J301" s="3">
        <v>5.85</v>
      </c>
      <c r="K301" s="3">
        <v>11.92</v>
      </c>
      <c r="L301" s="3">
        <v>51.12</v>
      </c>
      <c r="M301" s="3">
        <v>6.11</v>
      </c>
    </row>
    <row r="302" spans="2:13" x14ac:dyDescent="0.3">
      <c r="B302" s="4">
        <v>12.51</v>
      </c>
      <c r="C302" s="4">
        <v>55.8</v>
      </c>
      <c r="D302" s="4">
        <v>6.66</v>
      </c>
      <c r="E302" s="4">
        <v>14.07</v>
      </c>
      <c r="F302" s="4">
        <v>176.9</v>
      </c>
      <c r="G302" s="4">
        <v>6.29</v>
      </c>
      <c r="H302" s="4">
        <v>11.02</v>
      </c>
      <c r="I302" s="4">
        <v>176.9</v>
      </c>
      <c r="J302" s="4">
        <v>6.84</v>
      </c>
      <c r="K302" s="4">
        <v>11.42</v>
      </c>
      <c r="L302" s="4">
        <v>176.9</v>
      </c>
      <c r="M302" s="4">
        <v>6.72</v>
      </c>
    </row>
    <row r="303" spans="2:13" x14ac:dyDescent="0.3">
      <c r="B303" s="3">
        <v>13.44</v>
      </c>
      <c r="C303" s="3">
        <v>57.24</v>
      </c>
      <c r="D303" s="3">
        <v>5.67</v>
      </c>
      <c r="E303" s="3">
        <v>14.07</v>
      </c>
      <c r="F303" s="3">
        <v>72.27</v>
      </c>
      <c r="G303" s="3">
        <v>5.48</v>
      </c>
      <c r="H303" s="3">
        <v>12.16</v>
      </c>
      <c r="I303" s="3">
        <v>57.55</v>
      </c>
      <c r="J303" s="3">
        <v>6.28</v>
      </c>
      <c r="K303" s="3">
        <v>14.46</v>
      </c>
      <c r="L303" s="3">
        <v>176.9</v>
      </c>
      <c r="M303" s="3">
        <v>5.72</v>
      </c>
    </row>
    <row r="304" spans="2:13" x14ac:dyDescent="0.3">
      <c r="B304" s="4">
        <v>14.47</v>
      </c>
      <c r="C304" s="4">
        <v>176.9</v>
      </c>
      <c r="D304" s="4">
        <v>5.93</v>
      </c>
      <c r="E304" s="4">
        <v>12.45</v>
      </c>
      <c r="F304" s="4">
        <v>176.03</v>
      </c>
      <c r="G304" s="4">
        <v>6.24</v>
      </c>
      <c r="H304" s="4">
        <v>12.87</v>
      </c>
      <c r="I304" s="4">
        <v>57.25</v>
      </c>
      <c r="J304" s="4">
        <v>6.46</v>
      </c>
      <c r="K304" s="4">
        <v>12</v>
      </c>
      <c r="L304" s="4">
        <v>77</v>
      </c>
      <c r="M304" s="4">
        <v>6.47</v>
      </c>
    </row>
    <row r="306" spans="1:13" x14ac:dyDescent="0.3">
      <c r="A306" s="5" t="s">
        <v>42</v>
      </c>
      <c r="B306" s="5">
        <f>AVERAGE(B281:B304)</f>
        <v>16.68708333333333</v>
      </c>
      <c r="C306" s="5">
        <f t="shared" ref="C306:M306" si="16">AVERAGE(C281:C304)</f>
        <v>66.350000000000009</v>
      </c>
      <c r="D306" s="5">
        <f t="shared" si="16"/>
        <v>5.2479166666666659</v>
      </c>
      <c r="E306" s="5">
        <f t="shared" si="16"/>
        <v>16.855833333333333</v>
      </c>
      <c r="F306" s="5">
        <f t="shared" si="16"/>
        <v>79.011250000000004</v>
      </c>
      <c r="G306" s="5">
        <f t="shared" si="16"/>
        <v>5.1416666666666666</v>
      </c>
      <c r="H306" s="5">
        <f t="shared" si="16"/>
        <v>16.760416666666668</v>
      </c>
      <c r="I306" s="5">
        <f t="shared" si="16"/>
        <v>69.625000000000014</v>
      </c>
      <c r="J306" s="5">
        <f t="shared" si="16"/>
        <v>5.1837500000000007</v>
      </c>
      <c r="K306" s="5">
        <f t="shared" si="16"/>
        <v>17.352916666666662</v>
      </c>
      <c r="L306" s="5">
        <f t="shared" si="16"/>
        <v>86.275416666666686</v>
      </c>
      <c r="M306" s="5">
        <f t="shared" si="16"/>
        <v>5.0475000000000003</v>
      </c>
    </row>
    <row r="307" spans="1:13" x14ac:dyDescent="0.3">
      <c r="A307" s="5" t="s">
        <v>35</v>
      </c>
      <c r="B307" s="5">
        <f>AVERAGE(B306,E306,H306,K306)</f>
        <v>16.914062499999996</v>
      </c>
      <c r="C307" s="5">
        <f t="shared" ref="C307:D307" si="17">AVERAGE(C306,F306,I306,L306)</f>
        <v>75.315416666666678</v>
      </c>
      <c r="D307" s="5">
        <f t="shared" si="17"/>
        <v>5.1552083333333334</v>
      </c>
      <c r="E307" s="5"/>
      <c r="F307" s="5"/>
      <c r="G307" s="5"/>
      <c r="H307" s="5"/>
      <c r="I307" s="5"/>
      <c r="J307" s="5"/>
      <c r="K307" s="5"/>
      <c r="L307" s="5"/>
      <c r="M307" s="5"/>
    </row>
  </sheetData>
  <mergeCells count="32">
    <mergeCell ref="B249:E249"/>
    <mergeCell ref="B251:D251"/>
    <mergeCell ref="E251:G251"/>
    <mergeCell ref="H251:J251"/>
    <mergeCell ref="K251:M251"/>
    <mergeCell ref="B219:D219"/>
    <mergeCell ref="E219:G219"/>
    <mergeCell ref="H219:J219"/>
    <mergeCell ref="K219:M219"/>
    <mergeCell ref="B113:E113"/>
    <mergeCell ref="B115:D115"/>
    <mergeCell ref="E115:G115"/>
    <mergeCell ref="H115:J115"/>
    <mergeCell ref="K115:M115"/>
    <mergeCell ref="B173:E173"/>
    <mergeCell ref="B175:D175"/>
    <mergeCell ref="E175:G175"/>
    <mergeCell ref="H175:J175"/>
    <mergeCell ref="K175:M175"/>
    <mergeCell ref="B217:E217"/>
    <mergeCell ref="K11:M11"/>
    <mergeCell ref="B53:E53"/>
    <mergeCell ref="B55:D55"/>
    <mergeCell ref="E55:G55"/>
    <mergeCell ref="H55:J55"/>
    <mergeCell ref="K55:M55"/>
    <mergeCell ref="H11:J11"/>
    <mergeCell ref="B2:D3"/>
    <mergeCell ref="G5:G8"/>
    <mergeCell ref="B9:E9"/>
    <mergeCell ref="B11:D11"/>
    <mergeCell ref="E11:G1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401-4565-4762-8B98-D4D117729AD3}">
  <dimension ref="A1:M279"/>
  <sheetViews>
    <sheetView topLeftCell="A193" workbookViewId="0">
      <selection activeCell="J197" sqref="J197"/>
    </sheetView>
  </sheetViews>
  <sheetFormatPr baseColWidth="10" defaultRowHeight="14.4" x14ac:dyDescent="0.3"/>
  <cols>
    <col min="2" max="2" width="16.33203125" bestFit="1" customWidth="1"/>
    <col min="5" max="5" width="16.33203125" bestFit="1" customWidth="1"/>
    <col min="8" max="8" width="16.33203125" bestFit="1" customWidth="1"/>
    <col min="11" max="11" width="16.33203125" bestFit="1" customWidth="1"/>
  </cols>
  <sheetData>
    <row r="1" spans="2:13" ht="14.4" customHeight="1" x14ac:dyDescent="0.3"/>
    <row r="2" spans="2:13" x14ac:dyDescent="0.3">
      <c r="B2" s="37" t="s">
        <v>53</v>
      </c>
      <c r="C2" s="37"/>
      <c r="D2" s="37"/>
    </row>
    <row r="3" spans="2:13" x14ac:dyDescent="0.3">
      <c r="B3" s="37"/>
      <c r="C3" s="37"/>
      <c r="D3" s="37"/>
    </row>
    <row r="4" spans="2:13" x14ac:dyDescent="0.3">
      <c r="H4" s="6" t="s">
        <v>25</v>
      </c>
      <c r="I4" s="6" t="s">
        <v>26</v>
      </c>
      <c r="J4" s="6" t="s">
        <v>23</v>
      </c>
    </row>
    <row r="5" spans="2:13" x14ac:dyDescent="0.3">
      <c r="G5" s="43" t="s">
        <v>24</v>
      </c>
      <c r="H5" s="5">
        <v>1</v>
      </c>
      <c r="I5" s="5"/>
      <c r="J5" s="5"/>
    </row>
    <row r="6" spans="2:13" x14ac:dyDescent="0.3">
      <c r="G6" s="43"/>
      <c r="H6" s="5">
        <v>2</v>
      </c>
      <c r="I6" s="5"/>
      <c r="J6" s="5"/>
    </row>
    <row r="7" spans="2:13" x14ac:dyDescent="0.3">
      <c r="G7" s="43"/>
      <c r="H7" s="5">
        <v>3</v>
      </c>
      <c r="I7" s="5"/>
      <c r="J7" s="5"/>
    </row>
    <row r="8" spans="2:13" x14ac:dyDescent="0.3">
      <c r="G8" s="43"/>
      <c r="H8" s="5">
        <v>4</v>
      </c>
      <c r="I8" s="5"/>
      <c r="J8" s="5"/>
    </row>
    <row r="9" spans="2:13" x14ac:dyDescent="0.3">
      <c r="B9" s="38" t="s">
        <v>1</v>
      </c>
      <c r="C9" s="38"/>
      <c r="D9" s="38"/>
      <c r="E9" s="38"/>
    </row>
    <row r="11" spans="2:13" x14ac:dyDescent="0.3">
      <c r="B11" s="39" t="s">
        <v>17</v>
      </c>
      <c r="C11" s="39"/>
      <c r="D11" s="39"/>
      <c r="E11" s="40" t="s">
        <v>18</v>
      </c>
      <c r="F11" s="40"/>
      <c r="G11" s="40"/>
      <c r="H11" s="41" t="s">
        <v>19</v>
      </c>
      <c r="I11" s="41"/>
      <c r="J11" s="41"/>
      <c r="K11" s="42" t="s">
        <v>20</v>
      </c>
      <c r="L11" s="42"/>
      <c r="M11" s="42"/>
    </row>
    <row r="12" spans="2:13" x14ac:dyDescent="0.3">
      <c r="B12" s="1" t="s">
        <v>21</v>
      </c>
      <c r="C12" s="1" t="s">
        <v>22</v>
      </c>
      <c r="D12" s="1" t="s">
        <v>23</v>
      </c>
      <c r="E12" s="1" t="s">
        <v>21</v>
      </c>
      <c r="F12" s="1" t="s">
        <v>22</v>
      </c>
      <c r="G12" s="1" t="s">
        <v>23</v>
      </c>
      <c r="H12" s="1" t="s">
        <v>21</v>
      </c>
      <c r="I12" s="1" t="s">
        <v>22</v>
      </c>
      <c r="J12" s="1" t="s">
        <v>23</v>
      </c>
      <c r="K12" s="1" t="s">
        <v>21</v>
      </c>
      <c r="L12" s="1" t="s">
        <v>22</v>
      </c>
      <c r="M12" s="1" t="s">
        <v>23</v>
      </c>
    </row>
    <row r="13" spans="2:13" x14ac:dyDescent="0.3">
      <c r="B13" s="3">
        <v>23.9</v>
      </c>
      <c r="C13" s="3">
        <v>110.64</v>
      </c>
      <c r="D13" s="3">
        <v>5.9</v>
      </c>
      <c r="E13" s="3">
        <v>26.22</v>
      </c>
      <c r="F13" s="3">
        <v>117.89</v>
      </c>
      <c r="G13" s="3">
        <v>5.49</v>
      </c>
      <c r="H13" s="3">
        <v>23.12</v>
      </c>
      <c r="I13" s="3">
        <v>94.96</v>
      </c>
      <c r="J13" s="3">
        <v>5.98</v>
      </c>
      <c r="K13" s="3">
        <v>22.63</v>
      </c>
      <c r="L13" s="3">
        <v>94.99</v>
      </c>
      <c r="M13" s="3">
        <v>6.14</v>
      </c>
    </row>
    <row r="14" spans="2:13" x14ac:dyDescent="0.3">
      <c r="B14" s="4">
        <v>16.440000000000001</v>
      </c>
      <c r="C14" s="4">
        <v>50.11</v>
      </c>
      <c r="D14" s="4">
        <v>7.86</v>
      </c>
      <c r="E14" s="4">
        <v>15.28</v>
      </c>
      <c r="F14" s="4">
        <v>50.05</v>
      </c>
      <c r="G14" s="4">
        <v>8.1</v>
      </c>
      <c r="H14" s="4">
        <v>18.79</v>
      </c>
      <c r="I14" s="4">
        <v>80.400000000000006</v>
      </c>
      <c r="J14" s="4">
        <v>6.94</v>
      </c>
      <c r="K14" s="4">
        <v>16.04</v>
      </c>
      <c r="L14" s="4">
        <v>65.22</v>
      </c>
      <c r="M14" s="4">
        <v>7.6</v>
      </c>
    </row>
    <row r="15" spans="2:13" x14ac:dyDescent="0.3">
      <c r="B15" s="3">
        <v>14.76</v>
      </c>
      <c r="C15" s="3">
        <v>103.09</v>
      </c>
      <c r="D15" s="3">
        <v>7.88</v>
      </c>
      <c r="E15" s="3">
        <v>16.16</v>
      </c>
      <c r="F15" s="3">
        <v>95.73</v>
      </c>
      <c r="G15" s="3">
        <v>7.58</v>
      </c>
      <c r="H15" s="3">
        <v>17.07</v>
      </c>
      <c r="I15" s="3">
        <v>107.93</v>
      </c>
      <c r="J15" s="3">
        <v>7.45</v>
      </c>
      <c r="K15" s="3">
        <v>12.05</v>
      </c>
      <c r="L15" s="3">
        <v>72.7</v>
      </c>
      <c r="M15" s="3">
        <v>8.9600000000000009</v>
      </c>
    </row>
    <row r="16" spans="2:13" x14ac:dyDescent="0.3">
      <c r="B16" s="4">
        <v>13.82</v>
      </c>
      <c r="C16" s="4">
        <v>57.48</v>
      </c>
      <c r="D16" s="4">
        <v>7.81</v>
      </c>
      <c r="E16" s="4">
        <v>13.81</v>
      </c>
      <c r="F16" s="4">
        <v>73.41</v>
      </c>
      <c r="G16" s="4">
        <v>7.76</v>
      </c>
      <c r="H16" s="4">
        <v>19.32</v>
      </c>
      <c r="I16" s="4">
        <v>117.76</v>
      </c>
      <c r="J16" s="4">
        <v>6.2</v>
      </c>
      <c r="K16" s="4">
        <v>14.35</v>
      </c>
      <c r="L16" s="4">
        <v>57.47</v>
      </c>
      <c r="M16" s="4">
        <v>7.69</v>
      </c>
    </row>
    <row r="17" spans="2:13" x14ac:dyDescent="0.3">
      <c r="B17" s="3">
        <v>21.51</v>
      </c>
      <c r="C17" s="3">
        <v>147.74</v>
      </c>
      <c r="D17" s="3">
        <v>6.1</v>
      </c>
      <c r="E17" s="3">
        <v>21.03</v>
      </c>
      <c r="F17" s="3">
        <v>155.01</v>
      </c>
      <c r="G17" s="3">
        <v>6.04</v>
      </c>
      <c r="H17" s="3">
        <v>20.9</v>
      </c>
      <c r="I17" s="3">
        <v>140.31</v>
      </c>
      <c r="J17" s="3">
        <v>6.17</v>
      </c>
      <c r="K17" s="3">
        <v>23.89</v>
      </c>
      <c r="L17" s="3">
        <v>155.21</v>
      </c>
      <c r="M17" s="3">
        <v>5.6</v>
      </c>
    </row>
    <row r="18" spans="2:13" x14ac:dyDescent="0.3">
      <c r="B18" s="4">
        <v>15.6</v>
      </c>
      <c r="C18" s="4">
        <v>110.45</v>
      </c>
      <c r="D18" s="4">
        <v>7.99</v>
      </c>
      <c r="E18" s="4">
        <v>19.11</v>
      </c>
      <c r="F18" s="4">
        <v>125.52</v>
      </c>
      <c r="G18" s="4">
        <v>7.16</v>
      </c>
      <c r="H18" s="4">
        <v>15.15</v>
      </c>
      <c r="I18" s="4">
        <v>110.65</v>
      </c>
      <c r="J18" s="4">
        <v>8.11</v>
      </c>
      <c r="K18" s="4">
        <v>16.04</v>
      </c>
      <c r="L18" s="4">
        <v>117.85</v>
      </c>
      <c r="M18" s="4">
        <v>7.73</v>
      </c>
    </row>
    <row r="19" spans="2:13" x14ac:dyDescent="0.3">
      <c r="B19" s="3">
        <v>17.61</v>
      </c>
      <c r="C19" s="3">
        <v>103.02</v>
      </c>
      <c r="D19" s="3">
        <v>6.8</v>
      </c>
      <c r="E19" s="3">
        <v>19.760000000000002</v>
      </c>
      <c r="F19" s="3">
        <v>142.16999999999999</v>
      </c>
      <c r="G19" s="3">
        <v>6.24</v>
      </c>
      <c r="H19" s="3">
        <v>16.600000000000001</v>
      </c>
      <c r="I19" s="3">
        <v>121.94</v>
      </c>
      <c r="J19" s="3">
        <v>7.33</v>
      </c>
      <c r="K19" s="3">
        <v>13.62</v>
      </c>
      <c r="L19" s="3">
        <v>95.53</v>
      </c>
      <c r="M19" s="3">
        <v>8.34</v>
      </c>
    </row>
    <row r="20" spans="2:13" x14ac:dyDescent="0.3">
      <c r="B20" s="4">
        <v>11.21</v>
      </c>
      <c r="C20" s="4">
        <v>110.51</v>
      </c>
      <c r="D20" s="4">
        <v>8.8000000000000007</v>
      </c>
      <c r="E20" s="4">
        <v>10.72</v>
      </c>
      <c r="F20" s="4">
        <v>102.7</v>
      </c>
      <c r="G20" s="4">
        <v>8.5500000000000007</v>
      </c>
      <c r="H20" s="4">
        <v>10.050000000000001</v>
      </c>
      <c r="I20" s="4">
        <v>102.57</v>
      </c>
      <c r="J20" s="4">
        <v>9.33</v>
      </c>
      <c r="K20" s="4">
        <v>8.81</v>
      </c>
      <c r="L20" s="4">
        <v>102.7</v>
      </c>
      <c r="M20" s="4">
        <v>10.1</v>
      </c>
    </row>
    <row r="21" spans="2:13" x14ac:dyDescent="0.3">
      <c r="B21" s="3">
        <v>8.42</v>
      </c>
      <c r="C21" s="3">
        <v>118.02</v>
      </c>
      <c r="D21" s="3">
        <v>9.66</v>
      </c>
      <c r="E21" s="3">
        <v>10.33</v>
      </c>
      <c r="F21" s="3">
        <v>117.98</v>
      </c>
      <c r="G21" s="3">
        <v>8.3000000000000007</v>
      </c>
      <c r="H21" s="3">
        <v>9.0500000000000007</v>
      </c>
      <c r="I21" s="3">
        <v>102.42</v>
      </c>
      <c r="J21" s="3">
        <v>9.1199999999999992</v>
      </c>
      <c r="K21" s="3">
        <v>6.34</v>
      </c>
      <c r="L21" s="3">
        <v>110.44</v>
      </c>
      <c r="M21" s="3">
        <v>11.07</v>
      </c>
    </row>
    <row r="22" spans="2:13" x14ac:dyDescent="0.3">
      <c r="B22" s="4">
        <v>17.510000000000002</v>
      </c>
      <c r="C22" s="4">
        <v>96.82</v>
      </c>
      <c r="D22" s="4">
        <v>7.13</v>
      </c>
      <c r="E22" s="4">
        <v>19.41</v>
      </c>
      <c r="F22" s="4">
        <v>95.82</v>
      </c>
      <c r="G22" s="4">
        <v>6.95</v>
      </c>
      <c r="H22" s="4">
        <v>21.51</v>
      </c>
      <c r="I22" s="4">
        <v>96.67</v>
      </c>
      <c r="J22" s="4">
        <v>6.54</v>
      </c>
      <c r="K22" s="4">
        <v>21.72</v>
      </c>
      <c r="L22" s="4">
        <v>96.43</v>
      </c>
      <c r="M22" s="4">
        <v>6.52</v>
      </c>
    </row>
    <row r="23" spans="2:13" x14ac:dyDescent="0.3">
      <c r="B23" s="3">
        <v>17.13</v>
      </c>
      <c r="C23" s="3">
        <v>72.81</v>
      </c>
      <c r="D23" s="3">
        <v>7.11</v>
      </c>
      <c r="E23" s="3">
        <v>14.78</v>
      </c>
      <c r="F23" s="3">
        <v>66.8</v>
      </c>
      <c r="G23" s="3">
        <v>8.14</v>
      </c>
      <c r="H23" s="3">
        <v>20.76</v>
      </c>
      <c r="I23" s="3">
        <v>155.46</v>
      </c>
      <c r="J23" s="3">
        <v>6.01</v>
      </c>
      <c r="K23" s="3">
        <v>19.440000000000001</v>
      </c>
      <c r="L23" s="3">
        <v>110.35</v>
      </c>
      <c r="M23" s="3">
        <v>6.6</v>
      </c>
    </row>
    <row r="24" spans="2:13" x14ac:dyDescent="0.3">
      <c r="B24" s="4">
        <v>10.49</v>
      </c>
      <c r="C24" s="4">
        <v>132.72999999999999</v>
      </c>
      <c r="D24" s="4">
        <v>9.1</v>
      </c>
      <c r="E24" s="4">
        <v>9.4</v>
      </c>
      <c r="F24" s="4">
        <v>110.12</v>
      </c>
      <c r="G24" s="4">
        <v>9.86</v>
      </c>
      <c r="H24" s="4">
        <v>10.050000000000001</v>
      </c>
      <c r="I24" s="4">
        <v>117.97</v>
      </c>
      <c r="J24" s="4">
        <v>9.4600000000000009</v>
      </c>
      <c r="K24" s="4">
        <v>6.47</v>
      </c>
      <c r="L24" s="4">
        <v>42.49</v>
      </c>
      <c r="M24" s="4">
        <v>11.57</v>
      </c>
    </row>
    <row r="25" spans="2:13" x14ac:dyDescent="0.3">
      <c r="B25" s="3">
        <v>21.83</v>
      </c>
      <c r="C25" s="3">
        <v>110.08</v>
      </c>
      <c r="D25" s="3">
        <v>6.26</v>
      </c>
      <c r="E25" s="3">
        <v>22.51</v>
      </c>
      <c r="F25" s="3">
        <v>116.69</v>
      </c>
      <c r="G25" s="3">
        <v>5.99</v>
      </c>
      <c r="H25" s="3">
        <v>22.14</v>
      </c>
      <c r="I25" s="3">
        <v>94.98</v>
      </c>
      <c r="J25" s="3">
        <v>6.06</v>
      </c>
      <c r="K25" s="3">
        <v>21.01</v>
      </c>
      <c r="L25" s="3">
        <v>87.68</v>
      </c>
      <c r="M25" s="3">
        <v>6.2</v>
      </c>
    </row>
    <row r="26" spans="2:13" x14ac:dyDescent="0.3">
      <c r="B26" s="4">
        <v>13.98</v>
      </c>
      <c r="C26" s="4">
        <v>42.8</v>
      </c>
      <c r="D26" s="4">
        <v>8.5399999999999991</v>
      </c>
      <c r="E26" s="4">
        <v>15.76</v>
      </c>
      <c r="F26" s="4">
        <v>57.62</v>
      </c>
      <c r="G26" s="4">
        <v>7.88</v>
      </c>
      <c r="H26" s="4">
        <v>22.16</v>
      </c>
      <c r="I26" s="4">
        <v>87.73</v>
      </c>
      <c r="J26" s="4">
        <v>6.24</v>
      </c>
      <c r="K26" s="4">
        <v>12.84</v>
      </c>
      <c r="L26" s="4">
        <v>57.99</v>
      </c>
      <c r="M26" s="4">
        <v>8.8699999999999992</v>
      </c>
    </row>
    <row r="27" spans="2:13" x14ac:dyDescent="0.3">
      <c r="B27" s="3">
        <v>14.36</v>
      </c>
      <c r="C27" s="3">
        <v>94.87</v>
      </c>
      <c r="D27" s="3">
        <v>7.77</v>
      </c>
      <c r="E27" s="3">
        <v>16.239999999999998</v>
      </c>
      <c r="F27" s="3">
        <v>87.89</v>
      </c>
      <c r="G27" s="3">
        <v>7.34</v>
      </c>
      <c r="H27" s="3">
        <v>18.68</v>
      </c>
      <c r="I27" s="3">
        <v>87.45</v>
      </c>
      <c r="J27" s="3">
        <v>6.83</v>
      </c>
      <c r="K27" s="3">
        <v>13.37</v>
      </c>
      <c r="L27" s="3">
        <v>80.06</v>
      </c>
      <c r="M27" s="3">
        <v>8.2799999999999994</v>
      </c>
    </row>
    <row r="28" spans="2:13" x14ac:dyDescent="0.3">
      <c r="B28" s="4">
        <v>13.54</v>
      </c>
      <c r="C28" s="4">
        <v>49.99</v>
      </c>
      <c r="D28" s="4">
        <v>7.67</v>
      </c>
      <c r="E28" s="4">
        <v>12.23</v>
      </c>
      <c r="F28" s="4">
        <v>51.09</v>
      </c>
      <c r="G28" s="4">
        <v>8.07</v>
      </c>
      <c r="H28" s="4">
        <v>16.25</v>
      </c>
      <c r="I28" s="4">
        <v>94.9</v>
      </c>
      <c r="J28" s="4">
        <v>6.83</v>
      </c>
      <c r="K28" s="4">
        <v>14.52</v>
      </c>
      <c r="L28" s="4">
        <v>51.34</v>
      </c>
      <c r="M28" s="4">
        <v>7.5</v>
      </c>
    </row>
    <row r="29" spans="2:13" x14ac:dyDescent="0.3">
      <c r="B29" s="3">
        <v>19.440000000000001</v>
      </c>
      <c r="C29" s="3">
        <v>139.93</v>
      </c>
      <c r="D29" s="3">
        <v>6.46</v>
      </c>
      <c r="E29" s="3">
        <v>21.23</v>
      </c>
      <c r="F29" s="3">
        <v>147.38999999999999</v>
      </c>
      <c r="G29" s="3">
        <v>5.94</v>
      </c>
      <c r="H29" s="3">
        <v>19.3</v>
      </c>
      <c r="I29" s="3">
        <v>132.55000000000001</v>
      </c>
      <c r="J29" s="3">
        <v>6.54</v>
      </c>
      <c r="K29" s="3">
        <v>21.46</v>
      </c>
      <c r="L29" s="3">
        <v>140.6</v>
      </c>
      <c r="M29" s="3">
        <v>6.01</v>
      </c>
    </row>
    <row r="30" spans="2:13" x14ac:dyDescent="0.3">
      <c r="B30" s="4">
        <v>16.96</v>
      </c>
      <c r="C30" s="4">
        <v>117.27</v>
      </c>
      <c r="D30" s="4">
        <v>7.38</v>
      </c>
      <c r="E30" s="4">
        <v>19.62</v>
      </c>
      <c r="F30" s="4">
        <v>125.78</v>
      </c>
      <c r="G30" s="4">
        <v>6.93</v>
      </c>
      <c r="H30" s="4">
        <v>14.08</v>
      </c>
      <c r="I30" s="4">
        <v>102.73</v>
      </c>
      <c r="J30" s="4">
        <v>8.35</v>
      </c>
      <c r="K30" s="4">
        <v>15.7</v>
      </c>
      <c r="L30" s="4">
        <v>110</v>
      </c>
      <c r="M30" s="4">
        <v>7.63</v>
      </c>
    </row>
    <row r="31" spans="2:13" x14ac:dyDescent="0.3">
      <c r="B31" s="3">
        <v>16.61</v>
      </c>
      <c r="C31" s="3">
        <v>110.83</v>
      </c>
      <c r="D31" s="3">
        <v>6.73</v>
      </c>
      <c r="E31" s="3">
        <v>17.100000000000001</v>
      </c>
      <c r="F31" s="3">
        <v>119.38</v>
      </c>
      <c r="G31" s="3">
        <v>6.84</v>
      </c>
      <c r="H31" s="3">
        <v>16.57</v>
      </c>
      <c r="I31" s="3">
        <v>101.45</v>
      </c>
      <c r="J31" s="3">
        <v>7.16</v>
      </c>
      <c r="K31" s="3">
        <v>14.23</v>
      </c>
      <c r="L31" s="3">
        <v>104.85</v>
      </c>
      <c r="M31" s="3">
        <v>7.88</v>
      </c>
    </row>
    <row r="32" spans="2:13" x14ac:dyDescent="0.3">
      <c r="B32" s="4">
        <v>10.73</v>
      </c>
      <c r="C32" s="4">
        <v>110.65</v>
      </c>
      <c r="D32" s="4">
        <v>8.59</v>
      </c>
      <c r="E32" s="4">
        <v>9.01</v>
      </c>
      <c r="F32" s="4">
        <v>95.42</v>
      </c>
      <c r="G32" s="4">
        <v>8.9</v>
      </c>
      <c r="H32" s="4">
        <v>9.18</v>
      </c>
      <c r="I32" s="4">
        <v>95.38</v>
      </c>
      <c r="J32" s="4">
        <v>9.5</v>
      </c>
      <c r="K32" s="4">
        <v>8.74</v>
      </c>
      <c r="L32" s="4">
        <v>95.2</v>
      </c>
      <c r="M32" s="4">
        <v>9.92</v>
      </c>
    </row>
    <row r="33" spans="2:13" x14ac:dyDescent="0.3">
      <c r="B33" s="3">
        <v>7.39</v>
      </c>
      <c r="C33" s="3">
        <v>118.98</v>
      </c>
      <c r="D33" s="3">
        <v>9.93</v>
      </c>
      <c r="E33" s="3">
        <v>10.5</v>
      </c>
      <c r="F33" s="3">
        <v>110.36</v>
      </c>
      <c r="G33" s="3">
        <v>7.82</v>
      </c>
      <c r="H33" s="3">
        <v>7.86</v>
      </c>
      <c r="I33" s="3">
        <v>94.71</v>
      </c>
      <c r="J33" s="3">
        <v>9.4700000000000006</v>
      </c>
      <c r="K33" s="3">
        <v>5.64</v>
      </c>
      <c r="L33" s="3">
        <v>102.91</v>
      </c>
      <c r="M33" s="3">
        <v>11.47</v>
      </c>
    </row>
    <row r="34" spans="2:13" x14ac:dyDescent="0.3">
      <c r="B34" s="4">
        <v>15.89</v>
      </c>
      <c r="C34" s="4">
        <v>89.65</v>
      </c>
      <c r="D34" s="4">
        <v>7.65</v>
      </c>
      <c r="E34" s="4">
        <v>17.170000000000002</v>
      </c>
      <c r="F34" s="4">
        <v>81.319999999999993</v>
      </c>
      <c r="G34" s="4">
        <v>7.34</v>
      </c>
      <c r="H34" s="4">
        <v>23.48</v>
      </c>
      <c r="I34" s="4">
        <v>88.83</v>
      </c>
      <c r="J34" s="4">
        <v>5.86</v>
      </c>
      <c r="K34" s="4">
        <v>22.49</v>
      </c>
      <c r="L34" s="4">
        <v>102.86</v>
      </c>
      <c r="M34" s="4">
        <v>6.26</v>
      </c>
    </row>
    <row r="35" spans="2:13" x14ac:dyDescent="0.3">
      <c r="B35" s="3">
        <v>13.84</v>
      </c>
      <c r="C35" s="3">
        <v>57.73</v>
      </c>
      <c r="D35" s="3">
        <v>8.25</v>
      </c>
      <c r="E35" s="3">
        <v>12.67</v>
      </c>
      <c r="F35" s="3">
        <v>65.239999999999995</v>
      </c>
      <c r="G35" s="3">
        <v>8.66</v>
      </c>
      <c r="H35" s="3">
        <v>19.96</v>
      </c>
      <c r="I35" s="3">
        <v>111.21</v>
      </c>
      <c r="J35" s="3">
        <v>6.12</v>
      </c>
      <c r="K35" s="3">
        <v>18.8</v>
      </c>
      <c r="L35" s="3">
        <v>110.31</v>
      </c>
      <c r="M35" s="3">
        <v>6.71</v>
      </c>
    </row>
    <row r="36" spans="2:13" x14ac:dyDescent="0.3">
      <c r="B36" s="4">
        <v>8.9499999999999993</v>
      </c>
      <c r="C36" s="4">
        <v>125.32</v>
      </c>
      <c r="D36" s="4">
        <v>9.83</v>
      </c>
      <c r="E36" s="4">
        <v>9.41</v>
      </c>
      <c r="F36" s="4">
        <v>102.63</v>
      </c>
      <c r="G36" s="4">
        <v>9.7899999999999991</v>
      </c>
      <c r="H36" s="4">
        <v>13.97</v>
      </c>
      <c r="I36" s="4">
        <v>117.49</v>
      </c>
      <c r="J36" s="4">
        <v>9.81</v>
      </c>
      <c r="K36" s="4">
        <v>13.16</v>
      </c>
      <c r="L36" s="4">
        <v>57.52</v>
      </c>
      <c r="M36" s="4">
        <v>9.5399999999999991</v>
      </c>
    </row>
    <row r="37" spans="2:13" x14ac:dyDescent="0.3">
      <c r="B37" s="3">
        <v>17.420000000000002</v>
      </c>
      <c r="C37" s="3">
        <v>86.08</v>
      </c>
      <c r="D37" s="3">
        <v>7.25</v>
      </c>
      <c r="E37" s="3">
        <v>16.13</v>
      </c>
      <c r="F37" s="3">
        <v>103.58</v>
      </c>
      <c r="G37" s="3">
        <v>7.83</v>
      </c>
      <c r="H37" s="3">
        <v>16.98</v>
      </c>
      <c r="I37" s="3">
        <v>95.45</v>
      </c>
      <c r="J37" s="3">
        <v>7.68</v>
      </c>
      <c r="K37" s="3">
        <v>15.88</v>
      </c>
      <c r="L37" s="3">
        <v>81.489999999999995</v>
      </c>
      <c r="M37" s="3">
        <v>7.96</v>
      </c>
    </row>
    <row r="38" spans="2:13" x14ac:dyDescent="0.3">
      <c r="B38" s="4">
        <v>14.28</v>
      </c>
      <c r="C38" s="4">
        <v>80.98</v>
      </c>
      <c r="D38" s="4">
        <v>8.06</v>
      </c>
      <c r="E38" s="4">
        <v>16.059999999999999</v>
      </c>
      <c r="F38" s="4">
        <v>65.7</v>
      </c>
      <c r="G38" s="4">
        <v>7.64</v>
      </c>
      <c r="H38" s="4">
        <v>17.829999999999998</v>
      </c>
      <c r="I38" s="4">
        <v>66.349999999999994</v>
      </c>
      <c r="J38" s="4">
        <v>7.13</v>
      </c>
      <c r="K38" s="4">
        <v>18.079999999999998</v>
      </c>
      <c r="L38" s="4">
        <v>86.73</v>
      </c>
      <c r="M38" s="4">
        <v>6.69</v>
      </c>
    </row>
    <row r="39" spans="2:13" x14ac:dyDescent="0.3">
      <c r="B39" s="3">
        <v>12.56</v>
      </c>
      <c r="C39" s="3">
        <v>44.75</v>
      </c>
      <c r="D39" s="3">
        <v>7.61</v>
      </c>
      <c r="E39" s="3">
        <v>7.41</v>
      </c>
      <c r="F39" s="3">
        <v>30.26</v>
      </c>
      <c r="G39" s="3">
        <v>11.3</v>
      </c>
      <c r="H39" s="3">
        <v>14.71</v>
      </c>
      <c r="I39" s="3">
        <v>42.89</v>
      </c>
      <c r="J39" s="3">
        <v>7.84</v>
      </c>
      <c r="K39" s="3">
        <v>12.76</v>
      </c>
      <c r="L39" s="3">
        <v>35.18</v>
      </c>
      <c r="M39" s="3">
        <v>8.6300000000000008</v>
      </c>
    </row>
    <row r="40" spans="2:13" x14ac:dyDescent="0.3">
      <c r="B40" s="4">
        <v>15.33</v>
      </c>
      <c r="C40" s="4">
        <v>12.5</v>
      </c>
      <c r="D40" s="4">
        <v>8.2200000000000006</v>
      </c>
      <c r="E40" s="4">
        <v>13.09</v>
      </c>
      <c r="F40" s="4">
        <v>50.94</v>
      </c>
      <c r="G40" s="4">
        <v>7.69</v>
      </c>
      <c r="H40" s="4">
        <v>15.35</v>
      </c>
      <c r="I40" s="4">
        <v>58.52</v>
      </c>
      <c r="J40" s="4">
        <v>8.0500000000000007</v>
      </c>
      <c r="K40" s="4">
        <v>18.850000000000001</v>
      </c>
      <c r="L40" s="4">
        <v>87.56</v>
      </c>
      <c r="M40" s="4">
        <v>6.26</v>
      </c>
    </row>
    <row r="41" spans="2:13" x14ac:dyDescent="0.3">
      <c r="B41" s="3">
        <v>21.63</v>
      </c>
      <c r="C41" s="3">
        <v>102.39</v>
      </c>
      <c r="D41" s="3">
        <v>5.65</v>
      </c>
      <c r="E41" s="3">
        <v>28.09</v>
      </c>
      <c r="F41" s="3">
        <v>131.03</v>
      </c>
      <c r="G41" s="3">
        <v>4.5</v>
      </c>
      <c r="H41" s="3">
        <v>21.77</v>
      </c>
      <c r="I41" s="3">
        <v>94.67</v>
      </c>
      <c r="J41" s="3">
        <v>5.61</v>
      </c>
      <c r="K41" s="3">
        <v>24.47</v>
      </c>
      <c r="L41" s="3">
        <v>109.66</v>
      </c>
      <c r="M41" s="3">
        <v>5.1100000000000003</v>
      </c>
    </row>
    <row r="42" spans="2:13" x14ac:dyDescent="0.3">
      <c r="B42" s="4">
        <v>22.36</v>
      </c>
      <c r="C42" s="4">
        <v>146.88</v>
      </c>
      <c r="D42" s="4">
        <v>6.1</v>
      </c>
      <c r="E42" s="4">
        <v>24.51</v>
      </c>
      <c r="F42" s="4">
        <v>154.68</v>
      </c>
      <c r="G42" s="4">
        <v>5.45</v>
      </c>
      <c r="H42" s="4">
        <v>22.91</v>
      </c>
      <c r="I42" s="4">
        <v>139.4</v>
      </c>
      <c r="J42" s="4">
        <v>5.94</v>
      </c>
      <c r="K42" s="4">
        <v>23.3</v>
      </c>
      <c r="L42" s="4">
        <v>154.63999999999999</v>
      </c>
      <c r="M42" s="4">
        <v>5.84</v>
      </c>
    </row>
    <row r="43" spans="2:13" x14ac:dyDescent="0.3">
      <c r="B43" s="3">
        <v>28.29</v>
      </c>
      <c r="C43" s="3">
        <v>57.5</v>
      </c>
      <c r="D43" s="3">
        <v>7.08</v>
      </c>
      <c r="E43" s="3">
        <v>19.63</v>
      </c>
      <c r="F43" s="3">
        <v>103.24</v>
      </c>
      <c r="G43" s="3">
        <v>6.67</v>
      </c>
      <c r="H43" s="3">
        <v>18.809999999999999</v>
      </c>
      <c r="I43" s="3">
        <v>103.08</v>
      </c>
      <c r="J43" s="3">
        <v>6.9</v>
      </c>
      <c r="K43" s="3">
        <v>21.26</v>
      </c>
      <c r="L43" s="3">
        <v>146.61000000000001</v>
      </c>
      <c r="M43" s="3">
        <v>6.1</v>
      </c>
    </row>
    <row r="44" spans="2:13" x14ac:dyDescent="0.3">
      <c r="B44" s="4">
        <v>32.479999999999997</v>
      </c>
      <c r="C44" s="4">
        <v>133</v>
      </c>
      <c r="D44" s="4">
        <v>4.59</v>
      </c>
      <c r="E44" s="4">
        <v>23.25</v>
      </c>
      <c r="F44" s="4">
        <v>116.87</v>
      </c>
      <c r="G44" s="4">
        <v>5.64</v>
      </c>
      <c r="H44" s="4">
        <v>26.44</v>
      </c>
      <c r="I44" s="4">
        <v>117.17</v>
      </c>
      <c r="J44" s="4">
        <v>5.19</v>
      </c>
      <c r="K44" s="4">
        <v>33.979999999999997</v>
      </c>
      <c r="L44" s="4">
        <v>191.94</v>
      </c>
      <c r="M44" s="4">
        <v>4.16</v>
      </c>
    </row>
    <row r="45" spans="2:13" x14ac:dyDescent="0.3">
      <c r="B45" s="3">
        <v>29.28</v>
      </c>
      <c r="C45" s="3">
        <v>93.25</v>
      </c>
      <c r="D45" s="3">
        <v>5.56</v>
      </c>
      <c r="E45" s="3">
        <v>10.29</v>
      </c>
      <c r="F45" s="3">
        <v>115.82</v>
      </c>
      <c r="G45" s="3">
        <v>8.2100000000000009</v>
      </c>
      <c r="H45" s="3">
        <v>17.34</v>
      </c>
      <c r="I45" s="3">
        <v>115.85</v>
      </c>
      <c r="J45" s="3">
        <v>5.91</v>
      </c>
      <c r="K45" s="3">
        <v>17.11</v>
      </c>
      <c r="L45" s="3">
        <v>93.25</v>
      </c>
      <c r="M45" s="3">
        <v>8.16</v>
      </c>
    </row>
    <row r="46" spans="2:13" x14ac:dyDescent="0.3">
      <c r="B46" s="4">
        <v>15.42</v>
      </c>
      <c r="C46" s="4">
        <v>118.11</v>
      </c>
      <c r="D46" s="4">
        <v>6.78</v>
      </c>
      <c r="E46" s="4">
        <v>18.350000000000001</v>
      </c>
      <c r="F46" s="4">
        <v>139.24</v>
      </c>
      <c r="G46" s="4">
        <v>6.87</v>
      </c>
      <c r="H46" s="4">
        <v>15.82</v>
      </c>
      <c r="I46" s="4">
        <v>124.08</v>
      </c>
      <c r="J46" s="4">
        <v>7.67</v>
      </c>
      <c r="K46" s="4">
        <v>14.58</v>
      </c>
      <c r="L46" s="4">
        <v>89.29</v>
      </c>
      <c r="M46" s="4">
        <v>7.89</v>
      </c>
    </row>
    <row r="47" spans="2:13" x14ac:dyDescent="0.3">
      <c r="B47" s="3">
        <v>19.68</v>
      </c>
      <c r="C47" s="3">
        <v>73.94</v>
      </c>
      <c r="D47" s="3">
        <v>6.78</v>
      </c>
      <c r="E47" s="3">
        <v>51.64</v>
      </c>
      <c r="F47" s="3">
        <v>149.31</v>
      </c>
      <c r="G47" s="3">
        <v>3.12</v>
      </c>
      <c r="H47" s="3">
        <v>24.83</v>
      </c>
      <c r="I47" s="3">
        <v>88.97</v>
      </c>
      <c r="J47" s="3">
        <v>5.69</v>
      </c>
      <c r="K47" s="3">
        <v>25.15</v>
      </c>
      <c r="L47" s="3">
        <v>67.31</v>
      </c>
      <c r="M47" s="3">
        <v>5.44</v>
      </c>
    </row>
    <row r="48" spans="2:13" x14ac:dyDescent="0.3">
      <c r="B48" s="4">
        <v>36.82</v>
      </c>
      <c r="C48" s="4">
        <v>112.42</v>
      </c>
      <c r="D48" s="4">
        <v>3.56</v>
      </c>
      <c r="E48" s="4">
        <v>23.51</v>
      </c>
      <c r="F48" s="4">
        <v>88.26</v>
      </c>
      <c r="G48" s="4">
        <v>5.5</v>
      </c>
      <c r="H48" s="4">
        <v>19.559999999999999</v>
      </c>
      <c r="I48" s="4">
        <v>102.79</v>
      </c>
      <c r="J48" s="4">
        <v>5.92</v>
      </c>
      <c r="K48" s="4">
        <v>14.07</v>
      </c>
      <c r="L48" s="4">
        <v>94.89</v>
      </c>
      <c r="M48" s="4">
        <v>7.27</v>
      </c>
    </row>
    <row r="50" spans="1:13" x14ac:dyDescent="0.3">
      <c r="A50" s="5" t="s">
        <v>42</v>
      </c>
      <c r="B50" s="5">
        <f>AVERAGE(B13:B48)</f>
        <v>17.429722222222217</v>
      </c>
      <c r="C50" s="5">
        <f t="shared" ref="C50:M50" si="0">AVERAGE(C13:C48)</f>
        <v>95.64777777777779</v>
      </c>
      <c r="D50" s="5">
        <f t="shared" si="0"/>
        <v>7.3455555555555572</v>
      </c>
      <c r="E50" s="5">
        <f t="shared" si="0"/>
        <v>17.539444444444445</v>
      </c>
      <c r="F50" s="5">
        <f t="shared" si="0"/>
        <v>101.74833333333333</v>
      </c>
      <c r="G50" s="5">
        <f t="shared" si="0"/>
        <v>7.2802777777777772</v>
      </c>
      <c r="H50" s="5">
        <f t="shared" si="0"/>
        <v>17.731944444444444</v>
      </c>
      <c r="I50" s="5">
        <f t="shared" si="0"/>
        <v>102.99083333333331</v>
      </c>
      <c r="J50" s="5">
        <f t="shared" si="0"/>
        <v>7.1372222222222241</v>
      </c>
      <c r="K50" s="5">
        <f t="shared" si="0"/>
        <v>16.745833333333337</v>
      </c>
      <c r="L50" s="5">
        <f t="shared" si="0"/>
        <v>96.145833333333314</v>
      </c>
      <c r="M50" s="5">
        <f t="shared" si="0"/>
        <v>7.6027777777777761</v>
      </c>
    </row>
    <row r="51" spans="1:13" x14ac:dyDescent="0.3">
      <c r="A51" s="5" t="s">
        <v>35</v>
      </c>
      <c r="B51" s="5">
        <f>AVERAGE(B50,E50,H50,K50)</f>
        <v>17.361736111111114</v>
      </c>
      <c r="C51" s="5">
        <f t="shared" ref="C51:D51" si="1">AVERAGE(C50,F50,I50,L50)</f>
        <v>99.133194444444442</v>
      </c>
      <c r="D51" s="5">
        <f t="shared" si="1"/>
        <v>7.3414583333333336</v>
      </c>
      <c r="E51" s="5"/>
      <c r="F51" s="5"/>
      <c r="G51" s="5"/>
      <c r="H51" s="5"/>
      <c r="I51" s="5"/>
      <c r="J51" s="5"/>
      <c r="K51" s="5"/>
      <c r="L51" s="5"/>
      <c r="M51" s="5"/>
    </row>
    <row r="53" spans="1:13" x14ac:dyDescent="0.3">
      <c r="B53" s="38" t="s">
        <v>2</v>
      </c>
      <c r="C53" s="38"/>
      <c r="D53" s="38"/>
      <c r="E53" s="38"/>
    </row>
    <row r="55" spans="1:13" x14ac:dyDescent="0.3">
      <c r="B55" s="39" t="s">
        <v>17</v>
      </c>
      <c r="C55" s="39"/>
      <c r="D55" s="39"/>
      <c r="E55" s="40" t="s">
        <v>18</v>
      </c>
      <c r="F55" s="40"/>
      <c r="G55" s="40"/>
      <c r="H55" s="41" t="s">
        <v>19</v>
      </c>
      <c r="I55" s="41"/>
      <c r="J55" s="41"/>
      <c r="K55" s="42" t="s">
        <v>20</v>
      </c>
      <c r="L55" s="42"/>
      <c r="M55" s="42"/>
    </row>
    <row r="56" spans="1:13" x14ac:dyDescent="0.3">
      <c r="B56" s="1" t="s">
        <v>21</v>
      </c>
      <c r="C56" s="1" t="s">
        <v>22</v>
      </c>
      <c r="D56" s="1" t="s">
        <v>23</v>
      </c>
      <c r="E56" s="1" t="s">
        <v>21</v>
      </c>
      <c r="F56" s="1" t="s">
        <v>22</v>
      </c>
      <c r="G56" s="1" t="s">
        <v>23</v>
      </c>
      <c r="H56" s="1" t="s">
        <v>21</v>
      </c>
      <c r="I56" s="1" t="s">
        <v>22</v>
      </c>
      <c r="J56" s="1" t="s">
        <v>23</v>
      </c>
      <c r="K56" s="1" t="s">
        <v>21</v>
      </c>
      <c r="L56" s="1" t="s">
        <v>22</v>
      </c>
      <c r="M56" s="1" t="s">
        <v>23</v>
      </c>
    </row>
    <row r="57" spans="1:13" x14ac:dyDescent="0.3">
      <c r="A57" t="s">
        <v>27</v>
      </c>
      <c r="B57" s="3">
        <v>22.75</v>
      </c>
      <c r="C57" s="3">
        <v>87.42</v>
      </c>
      <c r="D57" s="3">
        <v>5.23</v>
      </c>
      <c r="E57" s="3">
        <v>23.7</v>
      </c>
      <c r="F57" s="3">
        <v>87.46</v>
      </c>
      <c r="G57" s="3">
        <v>5.46</v>
      </c>
      <c r="H57" s="3">
        <v>21.74</v>
      </c>
      <c r="I57" s="3">
        <v>87.48</v>
      </c>
      <c r="J57" s="3">
        <v>5.53</v>
      </c>
      <c r="K57" s="3">
        <v>21.57</v>
      </c>
      <c r="L57" s="3">
        <v>87.46</v>
      </c>
      <c r="M57" s="3">
        <v>5.7</v>
      </c>
    </row>
    <row r="58" spans="1:13" x14ac:dyDescent="0.3">
      <c r="B58" s="4">
        <v>21.7</v>
      </c>
      <c r="C58" s="4">
        <v>87.48</v>
      </c>
      <c r="D58" s="4">
        <v>5.8</v>
      </c>
      <c r="E58" s="4">
        <v>26.15</v>
      </c>
      <c r="F58" s="4">
        <v>87.49</v>
      </c>
      <c r="G58" s="4">
        <v>5.21</v>
      </c>
      <c r="H58" s="4">
        <v>20.47</v>
      </c>
      <c r="I58" s="4">
        <v>79.86</v>
      </c>
      <c r="J58" s="4">
        <v>5.86</v>
      </c>
      <c r="K58" s="4">
        <v>20.32</v>
      </c>
      <c r="L58" s="4">
        <v>79.97</v>
      </c>
      <c r="M58" s="4">
        <v>6.44</v>
      </c>
    </row>
    <row r="59" spans="1:13" x14ac:dyDescent="0.3">
      <c r="B59" s="3">
        <v>24.49</v>
      </c>
      <c r="C59" s="3">
        <v>95.51</v>
      </c>
      <c r="D59" s="3">
        <v>5.72</v>
      </c>
      <c r="E59" s="3">
        <v>23.17</v>
      </c>
      <c r="F59" s="3">
        <v>94.95</v>
      </c>
      <c r="G59" s="3">
        <v>5.7</v>
      </c>
      <c r="H59" s="3">
        <v>20.52</v>
      </c>
      <c r="I59" s="3">
        <v>79.900000000000006</v>
      </c>
      <c r="J59" s="3">
        <v>6.34</v>
      </c>
      <c r="K59" s="3">
        <v>26</v>
      </c>
      <c r="L59" s="3">
        <v>80.95</v>
      </c>
      <c r="M59" s="3">
        <v>5.38</v>
      </c>
    </row>
    <row r="60" spans="1:13" x14ac:dyDescent="0.3">
      <c r="B60" s="4">
        <v>31.13</v>
      </c>
      <c r="C60" s="4">
        <v>124.94</v>
      </c>
      <c r="D60" s="4">
        <v>6.78</v>
      </c>
      <c r="E60" s="4">
        <v>35.56</v>
      </c>
      <c r="F60" s="4">
        <v>132.44999999999999</v>
      </c>
      <c r="G60" s="4">
        <v>6.78</v>
      </c>
      <c r="H60" s="4">
        <v>31.53</v>
      </c>
      <c r="I60" s="4">
        <v>109.9</v>
      </c>
      <c r="J60" s="4">
        <v>6.78</v>
      </c>
      <c r="K60" s="4">
        <v>36.1</v>
      </c>
      <c r="L60" s="4">
        <v>132.47999999999999</v>
      </c>
      <c r="M60" s="4">
        <v>4.55</v>
      </c>
    </row>
    <row r="61" spans="1:13" x14ac:dyDescent="0.3">
      <c r="B61" s="3">
        <v>26.41</v>
      </c>
      <c r="C61" s="3">
        <v>102.43</v>
      </c>
      <c r="D61" s="3">
        <v>5.27</v>
      </c>
      <c r="E61" s="3">
        <v>25.6</v>
      </c>
      <c r="F61" s="3">
        <v>94.97</v>
      </c>
      <c r="G61" s="3">
        <v>5.12</v>
      </c>
      <c r="H61" s="3">
        <v>23.34</v>
      </c>
      <c r="I61" s="3">
        <v>94.86</v>
      </c>
      <c r="J61" s="3">
        <v>5.2</v>
      </c>
      <c r="K61" s="3">
        <v>22.49</v>
      </c>
      <c r="L61" s="3">
        <v>88.65</v>
      </c>
      <c r="M61" s="3">
        <v>5.71</v>
      </c>
    </row>
    <row r="62" spans="1:13" x14ac:dyDescent="0.3">
      <c r="B62" s="4">
        <v>18.79</v>
      </c>
      <c r="C62" s="4">
        <v>132.51</v>
      </c>
      <c r="D62" s="4">
        <v>6.78</v>
      </c>
      <c r="E62" s="4">
        <v>28.84</v>
      </c>
      <c r="F62" s="4">
        <v>102.49</v>
      </c>
      <c r="G62" s="4">
        <v>6.78</v>
      </c>
      <c r="H62" s="4">
        <v>32.75</v>
      </c>
      <c r="I62" s="4">
        <v>117.44</v>
      </c>
      <c r="J62" s="4">
        <v>6.78</v>
      </c>
      <c r="K62" s="4">
        <v>32.159999999999997</v>
      </c>
      <c r="L62" s="4">
        <v>110.12</v>
      </c>
      <c r="M62" s="4">
        <v>6.78</v>
      </c>
    </row>
    <row r="63" spans="1:13" x14ac:dyDescent="0.3">
      <c r="B63" s="3">
        <v>19.170000000000002</v>
      </c>
      <c r="C63" s="3">
        <v>72.510000000000005</v>
      </c>
      <c r="D63" s="3">
        <v>6.22</v>
      </c>
      <c r="E63" s="3">
        <v>22.56</v>
      </c>
      <c r="F63" s="3">
        <v>72.400000000000006</v>
      </c>
      <c r="G63" s="3">
        <v>5.82</v>
      </c>
      <c r="H63" s="3">
        <v>21.68</v>
      </c>
      <c r="I63" s="3">
        <v>72.400000000000006</v>
      </c>
      <c r="J63" s="3">
        <v>5.76</v>
      </c>
      <c r="K63" s="3">
        <v>25.1</v>
      </c>
      <c r="L63" s="3">
        <v>72.459999999999994</v>
      </c>
      <c r="M63" s="3">
        <v>5.96</v>
      </c>
    </row>
    <row r="64" spans="1:13" x14ac:dyDescent="0.3">
      <c r="B64" s="4">
        <v>27.28</v>
      </c>
      <c r="C64" s="4">
        <v>88.02</v>
      </c>
      <c r="D64" s="4">
        <v>5.91</v>
      </c>
      <c r="E64" s="4">
        <v>18.79</v>
      </c>
      <c r="F64" s="4">
        <v>117.51</v>
      </c>
      <c r="G64" s="4">
        <v>5.13</v>
      </c>
      <c r="H64" s="4">
        <v>18.79</v>
      </c>
      <c r="I64" s="4">
        <v>111.01</v>
      </c>
      <c r="J64" s="4">
        <v>5.32</v>
      </c>
      <c r="K64" s="4">
        <v>18.79</v>
      </c>
      <c r="L64" s="4">
        <v>96.42</v>
      </c>
      <c r="M64" s="4">
        <v>6.78</v>
      </c>
    </row>
    <row r="65" spans="2:13" x14ac:dyDescent="0.3">
      <c r="B65" s="3">
        <v>15.83</v>
      </c>
      <c r="C65" s="3">
        <v>109.91</v>
      </c>
      <c r="D65" s="3">
        <v>6.22</v>
      </c>
      <c r="E65" s="3">
        <v>15.83</v>
      </c>
      <c r="F65" s="3">
        <v>117.4</v>
      </c>
      <c r="G65" s="3">
        <v>6.22</v>
      </c>
      <c r="H65" s="3">
        <v>15.83</v>
      </c>
      <c r="I65" s="3">
        <v>139.96</v>
      </c>
      <c r="J65" s="3">
        <v>6.22</v>
      </c>
      <c r="K65" s="3">
        <v>15.83</v>
      </c>
      <c r="L65" s="3">
        <v>154.96</v>
      </c>
      <c r="M65" s="3">
        <v>6.22</v>
      </c>
    </row>
    <row r="66" spans="2:13" x14ac:dyDescent="0.3">
      <c r="B66" s="4">
        <v>26.35</v>
      </c>
      <c r="C66" s="4">
        <v>87.41</v>
      </c>
      <c r="D66" s="4">
        <v>5.28</v>
      </c>
      <c r="E66" s="4">
        <v>24.47</v>
      </c>
      <c r="F66" s="4">
        <v>94.85</v>
      </c>
      <c r="G66" s="4">
        <v>8.15</v>
      </c>
      <c r="H66" s="4">
        <v>18.79</v>
      </c>
      <c r="I66" s="4">
        <v>117.44</v>
      </c>
      <c r="J66" s="4">
        <v>8.15</v>
      </c>
      <c r="K66" s="4">
        <v>18.79</v>
      </c>
      <c r="L66" s="4">
        <v>124.89</v>
      </c>
      <c r="M66" s="4">
        <v>8.15</v>
      </c>
    </row>
    <row r="67" spans="2:13" x14ac:dyDescent="0.3">
      <c r="B67" s="3">
        <v>18.8</v>
      </c>
      <c r="C67" s="3">
        <v>80.06</v>
      </c>
      <c r="D67" s="3">
        <v>5.74</v>
      </c>
      <c r="E67" s="3">
        <v>15.07</v>
      </c>
      <c r="F67" s="3">
        <v>79.86</v>
      </c>
      <c r="G67" s="3">
        <v>6.79</v>
      </c>
      <c r="H67" s="3">
        <v>17.77</v>
      </c>
      <c r="I67" s="3">
        <v>87.43</v>
      </c>
      <c r="J67" s="3">
        <v>6.11</v>
      </c>
      <c r="K67" s="3">
        <v>19.75</v>
      </c>
      <c r="L67" s="3">
        <v>94.98</v>
      </c>
      <c r="M67" s="3">
        <v>5.94</v>
      </c>
    </row>
    <row r="68" spans="2:13" x14ac:dyDescent="0.3">
      <c r="B68" s="4">
        <v>19.489999999999998</v>
      </c>
      <c r="C68" s="4">
        <v>94.93</v>
      </c>
      <c r="D68" s="4">
        <v>5.93</v>
      </c>
      <c r="E68" s="4">
        <v>20.79</v>
      </c>
      <c r="F68" s="4">
        <v>79.92</v>
      </c>
      <c r="G68" s="4">
        <v>5.83</v>
      </c>
      <c r="H68" s="4">
        <v>20.66</v>
      </c>
      <c r="I68" s="4">
        <v>79.95</v>
      </c>
      <c r="J68" s="4">
        <v>5.37</v>
      </c>
      <c r="K68" s="4">
        <v>20.68</v>
      </c>
      <c r="L68" s="4">
        <v>88.93</v>
      </c>
      <c r="M68" s="4">
        <v>5.44</v>
      </c>
    </row>
    <row r="69" spans="2:13" x14ac:dyDescent="0.3">
      <c r="B69" s="3">
        <v>14.63</v>
      </c>
      <c r="C69" s="3">
        <v>87.46</v>
      </c>
      <c r="D69" s="3">
        <v>8.15</v>
      </c>
      <c r="E69" s="3">
        <v>15.59</v>
      </c>
      <c r="F69" s="3">
        <v>94.93</v>
      </c>
      <c r="G69" s="3">
        <v>7.96</v>
      </c>
      <c r="H69" s="3">
        <v>13.55</v>
      </c>
      <c r="I69" s="3">
        <v>87.43</v>
      </c>
      <c r="J69" s="3">
        <v>8.2899999999999991</v>
      </c>
      <c r="K69" s="3">
        <v>14.05</v>
      </c>
      <c r="L69" s="3">
        <v>87.43</v>
      </c>
      <c r="M69" s="3">
        <v>8.24</v>
      </c>
    </row>
    <row r="70" spans="2:13" x14ac:dyDescent="0.3">
      <c r="B70" s="4">
        <v>14.67</v>
      </c>
      <c r="C70" s="4">
        <v>94.99</v>
      </c>
      <c r="D70" s="4">
        <v>8.15</v>
      </c>
      <c r="E70" s="4">
        <v>17.54</v>
      </c>
      <c r="F70" s="4">
        <v>95.05</v>
      </c>
      <c r="G70" s="4">
        <v>7.58</v>
      </c>
      <c r="H70" s="4">
        <v>13.59</v>
      </c>
      <c r="I70" s="4">
        <v>95.11</v>
      </c>
      <c r="J70" s="4">
        <v>8.2799999999999994</v>
      </c>
      <c r="K70" s="4">
        <v>12.6</v>
      </c>
      <c r="L70" s="4">
        <v>80.06</v>
      </c>
      <c r="M70" s="4">
        <v>8.9499999999999993</v>
      </c>
    </row>
    <row r="71" spans="2:13" x14ac:dyDescent="0.3">
      <c r="B71" s="3">
        <v>15.83</v>
      </c>
      <c r="C71" s="3">
        <v>110.09</v>
      </c>
      <c r="D71" s="3">
        <v>8.09</v>
      </c>
      <c r="E71" s="3">
        <v>13.27</v>
      </c>
      <c r="F71" s="3">
        <v>102.44</v>
      </c>
      <c r="G71" s="3">
        <v>8.56</v>
      </c>
      <c r="H71" s="3">
        <v>14.51</v>
      </c>
      <c r="I71" s="3">
        <v>95.14</v>
      </c>
      <c r="J71" s="3">
        <v>8.17</v>
      </c>
      <c r="K71" s="3">
        <v>13.88</v>
      </c>
      <c r="L71" s="3">
        <v>102.56</v>
      </c>
      <c r="M71" s="3">
        <v>8.6300000000000008</v>
      </c>
    </row>
    <row r="72" spans="2:13" x14ac:dyDescent="0.3">
      <c r="B72" s="4">
        <v>21.35</v>
      </c>
      <c r="C72" s="4">
        <v>126.04</v>
      </c>
      <c r="D72" s="4">
        <v>8.15</v>
      </c>
      <c r="E72" s="4">
        <v>21.95</v>
      </c>
      <c r="F72" s="4">
        <v>140</v>
      </c>
      <c r="G72" s="4">
        <v>6.65</v>
      </c>
      <c r="H72" s="4">
        <v>18.79</v>
      </c>
      <c r="I72" s="4">
        <v>117.43</v>
      </c>
      <c r="J72" s="4">
        <v>6.69</v>
      </c>
      <c r="K72" s="4">
        <v>18.79</v>
      </c>
      <c r="L72" s="4">
        <v>132.43</v>
      </c>
      <c r="M72" s="4">
        <v>6.53</v>
      </c>
    </row>
    <row r="73" spans="2:13" x14ac:dyDescent="0.3">
      <c r="B73" s="3">
        <v>20.05</v>
      </c>
      <c r="C73" s="3">
        <v>110.02</v>
      </c>
      <c r="D73" s="3">
        <v>7.23</v>
      </c>
      <c r="E73" s="3">
        <v>16.13</v>
      </c>
      <c r="F73" s="3">
        <v>94.97</v>
      </c>
      <c r="G73" s="3">
        <v>7.99</v>
      </c>
      <c r="H73" s="3">
        <v>14.88</v>
      </c>
      <c r="I73" s="3">
        <v>94.97</v>
      </c>
      <c r="J73" s="3">
        <v>8.34</v>
      </c>
      <c r="K73" s="3">
        <v>16</v>
      </c>
      <c r="L73" s="3">
        <v>94.99</v>
      </c>
      <c r="M73" s="3">
        <v>7.74</v>
      </c>
    </row>
    <row r="74" spans="2:13" x14ac:dyDescent="0.3">
      <c r="B74" s="4">
        <v>18.79</v>
      </c>
      <c r="C74" s="4">
        <v>133.62</v>
      </c>
      <c r="D74" s="4">
        <v>6.4</v>
      </c>
      <c r="E74" s="4">
        <v>20.48</v>
      </c>
      <c r="F74" s="4">
        <v>109.91</v>
      </c>
      <c r="G74" s="4">
        <v>7.17</v>
      </c>
      <c r="H74" s="4">
        <v>21.56</v>
      </c>
      <c r="I74" s="4">
        <v>117.44</v>
      </c>
      <c r="J74" s="4">
        <v>6.96</v>
      </c>
      <c r="K74" s="4">
        <v>22.98</v>
      </c>
      <c r="L74" s="4">
        <v>109.99</v>
      </c>
      <c r="M74" s="4">
        <v>6.78</v>
      </c>
    </row>
    <row r="75" spans="2:13" x14ac:dyDescent="0.3">
      <c r="B75" s="3">
        <v>12.51</v>
      </c>
      <c r="C75" s="3">
        <v>80.08</v>
      </c>
      <c r="D75" s="3">
        <v>8.83</v>
      </c>
      <c r="E75" s="3">
        <v>13.2</v>
      </c>
      <c r="F75" s="3">
        <v>72.459999999999994</v>
      </c>
      <c r="G75" s="3">
        <v>8.5299999999999994</v>
      </c>
      <c r="H75" s="3">
        <v>13.92</v>
      </c>
      <c r="I75" s="3">
        <v>80.040000000000006</v>
      </c>
      <c r="J75" s="3">
        <v>8.56</v>
      </c>
      <c r="K75" s="3">
        <v>15.37</v>
      </c>
      <c r="L75" s="3">
        <v>80.010000000000005</v>
      </c>
      <c r="M75" s="3">
        <v>8.17</v>
      </c>
    </row>
    <row r="76" spans="2:13" x14ac:dyDescent="0.3">
      <c r="B76" s="4">
        <v>18.79</v>
      </c>
      <c r="C76" s="4">
        <v>96.07</v>
      </c>
      <c r="D76" s="4">
        <v>8.15</v>
      </c>
      <c r="E76" s="4">
        <v>18.18</v>
      </c>
      <c r="F76" s="4">
        <v>118.66</v>
      </c>
      <c r="G76" s="4">
        <v>7.56</v>
      </c>
      <c r="H76" s="4">
        <v>19.64</v>
      </c>
      <c r="I76" s="4">
        <v>110.25</v>
      </c>
      <c r="J76" s="4">
        <v>7.25</v>
      </c>
      <c r="K76" s="4">
        <v>17.91</v>
      </c>
      <c r="L76" s="4">
        <v>102.61</v>
      </c>
      <c r="M76" s="4">
        <v>7.46</v>
      </c>
    </row>
    <row r="77" spans="2:13" x14ac:dyDescent="0.3">
      <c r="B77" s="3">
        <v>15.83</v>
      </c>
      <c r="C77" s="3">
        <v>117.72</v>
      </c>
      <c r="D77" s="3">
        <v>7.01</v>
      </c>
      <c r="E77" s="3">
        <v>15.83</v>
      </c>
      <c r="F77" s="3">
        <v>117.46</v>
      </c>
      <c r="G77" s="3">
        <v>6.55</v>
      </c>
      <c r="H77" s="3">
        <v>15.83</v>
      </c>
      <c r="I77" s="3">
        <v>148.41999999999999</v>
      </c>
      <c r="J77" s="3">
        <v>5.72</v>
      </c>
      <c r="K77" s="3">
        <v>15.83</v>
      </c>
      <c r="L77" s="3">
        <v>156.01</v>
      </c>
      <c r="M77" s="3">
        <v>5.87</v>
      </c>
    </row>
    <row r="78" spans="2:13" x14ac:dyDescent="0.3">
      <c r="B78" s="4">
        <v>16.57</v>
      </c>
      <c r="C78" s="4">
        <v>87.41</v>
      </c>
      <c r="D78" s="4">
        <v>7.63</v>
      </c>
      <c r="E78" s="4">
        <v>17.02</v>
      </c>
      <c r="F78" s="4">
        <v>102.54</v>
      </c>
      <c r="G78" s="4">
        <v>8.15</v>
      </c>
      <c r="H78" s="4">
        <v>19.920000000000002</v>
      </c>
      <c r="I78" s="4">
        <v>124.97</v>
      </c>
      <c r="J78" s="4">
        <v>6.74</v>
      </c>
      <c r="K78" s="4">
        <v>20.399999999999999</v>
      </c>
      <c r="L78" s="4">
        <v>125.07</v>
      </c>
      <c r="M78" s="4">
        <v>6.93</v>
      </c>
    </row>
    <row r="79" spans="2:13" x14ac:dyDescent="0.3">
      <c r="B79" s="3">
        <v>13.49</v>
      </c>
      <c r="C79" s="3">
        <v>88.64</v>
      </c>
      <c r="D79" s="3">
        <v>8.5399999999999991</v>
      </c>
      <c r="E79" s="3">
        <v>11.79</v>
      </c>
      <c r="F79" s="3">
        <v>87.51</v>
      </c>
      <c r="G79" s="3">
        <v>8.77</v>
      </c>
      <c r="H79" s="3">
        <v>12.15</v>
      </c>
      <c r="I79" s="3">
        <v>79.92</v>
      </c>
      <c r="J79" s="3">
        <v>8.83</v>
      </c>
      <c r="K79" s="3">
        <v>14.31</v>
      </c>
      <c r="L79" s="3">
        <v>95</v>
      </c>
      <c r="M79" s="3">
        <v>8.08</v>
      </c>
    </row>
    <row r="80" spans="2:13" x14ac:dyDescent="0.3">
      <c r="B80" s="4">
        <v>12.97</v>
      </c>
      <c r="C80" s="4">
        <v>87.55</v>
      </c>
      <c r="D80" s="4">
        <v>8.42</v>
      </c>
      <c r="E80" s="4">
        <v>13.41</v>
      </c>
      <c r="F80" s="4">
        <v>88.09</v>
      </c>
      <c r="G80" s="4">
        <v>8.35</v>
      </c>
      <c r="H80" s="4">
        <v>13.76</v>
      </c>
      <c r="I80" s="4">
        <v>87.44</v>
      </c>
      <c r="J80" s="4">
        <v>8.14</v>
      </c>
      <c r="K80" s="4">
        <v>13.72</v>
      </c>
      <c r="L80" s="4">
        <v>88.66</v>
      </c>
      <c r="M80" s="4">
        <v>8.19</v>
      </c>
    </row>
    <row r="82" spans="1:13" x14ac:dyDescent="0.3">
      <c r="A82" s="5" t="s">
        <v>42</v>
      </c>
      <c r="B82" s="5">
        <f>AVERAGE(B57:B80)</f>
        <v>19.486250000000002</v>
      </c>
      <c r="C82" s="5">
        <f t="shared" ref="C82:M82" si="2">AVERAGE(C57:C80)</f>
        <v>99.28416666666665</v>
      </c>
      <c r="D82" s="5">
        <f t="shared" si="2"/>
        <v>6.9012500000000001</v>
      </c>
      <c r="E82" s="5">
        <f t="shared" si="2"/>
        <v>19.788333333333334</v>
      </c>
      <c r="F82" s="5">
        <f t="shared" si="2"/>
        <v>99.407083333333347</v>
      </c>
      <c r="G82" s="5">
        <f t="shared" si="2"/>
        <v>6.9504166666666682</v>
      </c>
      <c r="H82" s="5">
        <f t="shared" si="2"/>
        <v>18.998749999999998</v>
      </c>
      <c r="I82" s="5">
        <f t="shared" si="2"/>
        <v>100.67458333333333</v>
      </c>
      <c r="J82" s="5">
        <f t="shared" si="2"/>
        <v>6.8912500000000021</v>
      </c>
      <c r="K82" s="5">
        <f t="shared" si="2"/>
        <v>19.725833333333338</v>
      </c>
      <c r="L82" s="5">
        <f t="shared" si="2"/>
        <v>102.79541666666667</v>
      </c>
      <c r="M82" s="5">
        <f t="shared" si="2"/>
        <v>6.8591666666666669</v>
      </c>
    </row>
    <row r="83" spans="1:13" x14ac:dyDescent="0.3">
      <c r="A83" s="5" t="s">
        <v>35</v>
      </c>
      <c r="B83" s="5">
        <f>AVERAGE(B82,E82,H82,K82)</f>
        <v>19.49979166666667</v>
      </c>
      <c r="C83" s="5">
        <f t="shared" ref="C83:D83" si="3">AVERAGE(C82,F82,I82,L82)</f>
        <v>100.5403125</v>
      </c>
      <c r="D83" s="5">
        <f t="shared" si="3"/>
        <v>6.9005208333333341</v>
      </c>
      <c r="E83" s="5"/>
      <c r="F83" s="5"/>
      <c r="G83" s="5"/>
      <c r="H83" s="5"/>
      <c r="I83" s="5"/>
      <c r="J83" s="5"/>
      <c r="K83" s="5"/>
      <c r="L83" s="5"/>
      <c r="M83" s="5"/>
    </row>
    <row r="85" spans="1:13" x14ac:dyDescent="0.3">
      <c r="A85" t="s">
        <v>28</v>
      </c>
      <c r="B85" s="3">
        <v>33.409999999999997</v>
      </c>
      <c r="C85" s="3">
        <v>34.86</v>
      </c>
      <c r="D85" s="3">
        <v>3.54</v>
      </c>
      <c r="E85" s="3">
        <v>22.39</v>
      </c>
      <c r="F85" s="3">
        <v>34.869999999999997</v>
      </c>
      <c r="G85" s="3">
        <v>5.86</v>
      </c>
      <c r="H85" s="3">
        <v>33.049999999999997</v>
      </c>
      <c r="I85" s="3">
        <v>42.29</v>
      </c>
      <c r="J85" s="3">
        <v>4.63</v>
      </c>
      <c r="K85" s="3">
        <v>22.93</v>
      </c>
      <c r="L85" s="3">
        <v>34.83</v>
      </c>
      <c r="M85" s="3">
        <v>4.29</v>
      </c>
    </row>
    <row r="86" spans="1:13" x14ac:dyDescent="0.3">
      <c r="B86" s="4">
        <v>32.81</v>
      </c>
      <c r="C86" s="4">
        <v>49.83</v>
      </c>
      <c r="D86" s="4">
        <v>4.58</v>
      </c>
      <c r="E86" s="4">
        <v>15.31</v>
      </c>
      <c r="F86" s="4">
        <v>34.83</v>
      </c>
      <c r="G86" s="4">
        <v>7.76</v>
      </c>
      <c r="H86" s="4">
        <v>29.82</v>
      </c>
      <c r="I86" s="4">
        <v>49.86</v>
      </c>
      <c r="J86" s="4">
        <v>3.76</v>
      </c>
      <c r="K86" s="4">
        <v>31.53</v>
      </c>
      <c r="L86" s="4">
        <v>42.34</v>
      </c>
      <c r="M86" s="4">
        <v>5.16</v>
      </c>
    </row>
    <row r="87" spans="1:13" x14ac:dyDescent="0.3">
      <c r="B87" s="3">
        <v>5.9</v>
      </c>
      <c r="C87" s="3">
        <v>12.3</v>
      </c>
      <c r="D87" s="3">
        <v>11.61</v>
      </c>
      <c r="E87" s="3">
        <v>4.8099999999999996</v>
      </c>
      <c r="F87" s="3">
        <v>12.38</v>
      </c>
      <c r="G87" s="3">
        <v>11.74</v>
      </c>
      <c r="H87" s="3">
        <v>5.94</v>
      </c>
      <c r="I87" s="3">
        <v>19.91</v>
      </c>
      <c r="J87" s="3">
        <v>11.87</v>
      </c>
      <c r="K87" s="3">
        <v>2.57</v>
      </c>
      <c r="L87" s="3">
        <v>4.63</v>
      </c>
      <c r="M87" s="3">
        <v>13.63</v>
      </c>
    </row>
    <row r="88" spans="1:13" x14ac:dyDescent="0.3">
      <c r="B88" s="4">
        <v>25.12</v>
      </c>
      <c r="C88" s="4">
        <v>36</v>
      </c>
      <c r="D88" s="4">
        <v>5.26</v>
      </c>
      <c r="E88" s="4">
        <v>25.46</v>
      </c>
      <c r="F88" s="4">
        <v>43.6</v>
      </c>
      <c r="G88" s="4">
        <v>5.57</v>
      </c>
      <c r="H88" s="4">
        <v>20.75</v>
      </c>
      <c r="I88" s="4">
        <v>57.3</v>
      </c>
      <c r="J88" s="4">
        <v>5.93</v>
      </c>
      <c r="K88" s="4">
        <v>15.23</v>
      </c>
      <c r="L88" s="4">
        <v>19.95</v>
      </c>
      <c r="M88" s="4">
        <v>7.18</v>
      </c>
    </row>
    <row r="89" spans="1:13" x14ac:dyDescent="0.3">
      <c r="B89" s="3">
        <v>47.56</v>
      </c>
      <c r="C89" s="3">
        <v>79.81</v>
      </c>
      <c r="D89" s="3">
        <v>3.36</v>
      </c>
      <c r="E89" s="3">
        <v>36.19</v>
      </c>
      <c r="F89" s="3">
        <v>64.89</v>
      </c>
      <c r="G89" s="3">
        <v>5.05</v>
      </c>
      <c r="H89" s="3">
        <v>47.94</v>
      </c>
      <c r="I89" s="3">
        <v>79.81</v>
      </c>
      <c r="J89" s="3">
        <v>3.71</v>
      </c>
      <c r="K89" s="3">
        <v>37.9</v>
      </c>
      <c r="L89" s="3">
        <v>79.959999999999994</v>
      </c>
      <c r="M89" s="3">
        <v>4.3899999999999997</v>
      </c>
    </row>
    <row r="90" spans="1:13" x14ac:dyDescent="0.3">
      <c r="B90" s="4">
        <v>28.98</v>
      </c>
      <c r="C90" s="4">
        <v>79.95</v>
      </c>
      <c r="D90" s="4">
        <v>5.46</v>
      </c>
      <c r="E90" s="4">
        <v>35.369999999999997</v>
      </c>
      <c r="F90" s="4">
        <v>79.849999999999994</v>
      </c>
      <c r="G90" s="4">
        <v>3.85</v>
      </c>
      <c r="H90" s="4">
        <v>34.94</v>
      </c>
      <c r="I90" s="4">
        <v>72.400000000000006</v>
      </c>
      <c r="J90" s="4">
        <v>4.57</v>
      </c>
      <c r="K90" s="4">
        <v>43.5</v>
      </c>
      <c r="L90" s="4">
        <v>57.42</v>
      </c>
      <c r="M90" s="4">
        <v>4.07</v>
      </c>
    </row>
    <row r="91" spans="1:13" x14ac:dyDescent="0.3">
      <c r="B91" s="3">
        <v>13</v>
      </c>
      <c r="C91" s="3">
        <v>34.909999999999997</v>
      </c>
      <c r="D91" s="3">
        <v>8.39</v>
      </c>
      <c r="E91" s="3">
        <v>26.33</v>
      </c>
      <c r="F91" s="3">
        <v>55.34</v>
      </c>
      <c r="G91" s="3">
        <v>4.93</v>
      </c>
      <c r="H91" s="3">
        <v>31.87</v>
      </c>
      <c r="I91" s="3">
        <v>66</v>
      </c>
      <c r="J91" s="3">
        <v>4.68</v>
      </c>
      <c r="K91" s="3">
        <v>23.74</v>
      </c>
      <c r="L91" s="3">
        <v>57.33</v>
      </c>
      <c r="M91" s="3">
        <v>5.86</v>
      </c>
    </row>
    <row r="92" spans="1:13" x14ac:dyDescent="0.3">
      <c r="B92" s="4">
        <v>42.74</v>
      </c>
      <c r="C92" s="4">
        <v>49.93</v>
      </c>
      <c r="D92" s="4">
        <v>3.3</v>
      </c>
      <c r="E92" s="4">
        <v>40.479999999999997</v>
      </c>
      <c r="F92" s="4">
        <v>87.36</v>
      </c>
      <c r="G92" s="4">
        <v>3.9</v>
      </c>
      <c r="H92" s="4">
        <v>30.71</v>
      </c>
      <c r="I92" s="4">
        <v>64.84</v>
      </c>
      <c r="J92" s="4">
        <v>5.3</v>
      </c>
      <c r="K92" s="4">
        <v>23.35</v>
      </c>
      <c r="L92" s="4">
        <v>64.959999999999994</v>
      </c>
      <c r="M92" s="4">
        <v>6.08</v>
      </c>
    </row>
    <row r="93" spans="1:13" x14ac:dyDescent="0.3">
      <c r="B93" s="3">
        <v>31.13</v>
      </c>
      <c r="C93" s="3">
        <v>50.79</v>
      </c>
      <c r="D93" s="3">
        <v>6.04</v>
      </c>
      <c r="E93" s="3">
        <v>24.27</v>
      </c>
      <c r="F93" s="3">
        <v>34.89</v>
      </c>
      <c r="G93" s="3">
        <v>5.6</v>
      </c>
      <c r="H93" s="3">
        <v>29.57</v>
      </c>
      <c r="I93" s="3">
        <v>42.48</v>
      </c>
      <c r="J93" s="3">
        <v>4.75</v>
      </c>
      <c r="K93" s="3">
        <v>30.44</v>
      </c>
      <c r="L93" s="3">
        <v>49.85</v>
      </c>
      <c r="M93" s="3">
        <v>4.45</v>
      </c>
    </row>
    <row r="94" spans="1:13" x14ac:dyDescent="0.3">
      <c r="B94" s="4">
        <v>38.25</v>
      </c>
      <c r="C94" s="4">
        <v>70.83</v>
      </c>
      <c r="D94" s="4">
        <v>4.09</v>
      </c>
      <c r="E94" s="4">
        <v>24.27</v>
      </c>
      <c r="F94" s="4">
        <v>42.41</v>
      </c>
      <c r="G94" s="4">
        <v>4.49</v>
      </c>
      <c r="H94" s="4">
        <v>33.49</v>
      </c>
      <c r="I94" s="4">
        <v>61.88</v>
      </c>
      <c r="J94" s="4">
        <v>4.3600000000000003</v>
      </c>
      <c r="K94" s="4">
        <v>38.35</v>
      </c>
      <c r="L94" s="4">
        <v>36.06</v>
      </c>
      <c r="M94" s="4">
        <v>2.97</v>
      </c>
    </row>
    <row r="95" spans="1:13" x14ac:dyDescent="0.3">
      <c r="B95" s="3">
        <v>17.309999999999999</v>
      </c>
      <c r="C95" s="3">
        <v>27.39</v>
      </c>
      <c r="D95" s="3">
        <v>7.18</v>
      </c>
      <c r="E95" s="3">
        <v>18</v>
      </c>
      <c r="F95" s="3">
        <v>27.45</v>
      </c>
      <c r="G95" s="3">
        <v>6.9</v>
      </c>
      <c r="H95" s="3">
        <v>24.13</v>
      </c>
      <c r="I95" s="3">
        <v>27.39</v>
      </c>
      <c r="J95" s="3">
        <v>6.88</v>
      </c>
      <c r="K95" s="3">
        <v>16.68</v>
      </c>
      <c r="L95" s="3">
        <v>34.840000000000003</v>
      </c>
      <c r="M95" s="3">
        <v>6.99</v>
      </c>
    </row>
    <row r="96" spans="1:13" x14ac:dyDescent="0.3">
      <c r="B96" s="4">
        <v>10.06</v>
      </c>
      <c r="C96" s="4">
        <v>27.35</v>
      </c>
      <c r="D96" s="4">
        <v>8.2200000000000006</v>
      </c>
      <c r="E96" s="4">
        <v>13.07</v>
      </c>
      <c r="F96" s="4">
        <v>27.33</v>
      </c>
      <c r="G96" s="4">
        <v>7.13</v>
      </c>
      <c r="H96" s="4">
        <v>12.16</v>
      </c>
      <c r="I96" s="4">
        <v>35.96</v>
      </c>
      <c r="J96" s="4">
        <v>8.1</v>
      </c>
      <c r="K96" s="4">
        <v>12.88</v>
      </c>
      <c r="L96" s="4">
        <v>49.9</v>
      </c>
      <c r="M96" s="4">
        <v>7.96</v>
      </c>
    </row>
    <row r="97" spans="1:13" x14ac:dyDescent="0.3">
      <c r="B97" s="3">
        <v>18.12</v>
      </c>
      <c r="C97" s="3">
        <v>42.34</v>
      </c>
      <c r="D97" s="3">
        <v>7.51</v>
      </c>
      <c r="E97" s="3">
        <v>21.69</v>
      </c>
      <c r="F97" s="3">
        <v>49.98</v>
      </c>
      <c r="G97" s="3">
        <v>6.92</v>
      </c>
      <c r="H97" s="3">
        <v>19.350000000000001</v>
      </c>
      <c r="I97" s="3">
        <v>50.01</v>
      </c>
      <c r="J97" s="3">
        <v>7.4</v>
      </c>
      <c r="K97" s="3">
        <v>14.88</v>
      </c>
      <c r="L97" s="3">
        <v>34.99</v>
      </c>
      <c r="M97" s="3">
        <v>8.07</v>
      </c>
    </row>
    <row r="98" spans="1:13" x14ac:dyDescent="0.3">
      <c r="B98" s="4">
        <v>21.72</v>
      </c>
      <c r="C98" s="4">
        <v>50.05</v>
      </c>
      <c r="D98" s="4">
        <v>6.7</v>
      </c>
      <c r="E98" s="4">
        <v>9.1199999999999992</v>
      </c>
      <c r="F98" s="4">
        <v>34.520000000000003</v>
      </c>
      <c r="G98" s="4">
        <v>9.8000000000000007</v>
      </c>
      <c r="H98" s="4">
        <v>16.21</v>
      </c>
      <c r="I98" s="4">
        <v>42.45</v>
      </c>
      <c r="J98" s="4">
        <v>7.78</v>
      </c>
      <c r="K98" s="4">
        <v>16.87</v>
      </c>
      <c r="L98" s="4">
        <v>42.56</v>
      </c>
      <c r="M98" s="4">
        <v>8.11</v>
      </c>
    </row>
    <row r="99" spans="1:13" x14ac:dyDescent="0.3">
      <c r="B99" s="3">
        <v>21.69</v>
      </c>
      <c r="C99" s="3">
        <v>12.49</v>
      </c>
      <c r="D99" s="3">
        <v>12.39</v>
      </c>
      <c r="E99" s="3">
        <v>21.69</v>
      </c>
      <c r="F99" s="3">
        <v>12.45</v>
      </c>
      <c r="G99" s="3">
        <v>12.39</v>
      </c>
      <c r="H99" s="3">
        <v>21.69</v>
      </c>
      <c r="I99" s="3">
        <v>19.84</v>
      </c>
      <c r="J99" s="3">
        <v>12.48</v>
      </c>
      <c r="K99" s="3">
        <v>21.69</v>
      </c>
      <c r="L99" s="3">
        <v>12.38</v>
      </c>
      <c r="M99" s="3">
        <v>12.63</v>
      </c>
    </row>
    <row r="100" spans="1:13" x14ac:dyDescent="0.3">
      <c r="B100" s="4">
        <v>16.27</v>
      </c>
      <c r="C100" s="4">
        <v>36.07</v>
      </c>
      <c r="D100" s="4">
        <v>8.3699999999999992</v>
      </c>
      <c r="E100" s="4">
        <v>13.9</v>
      </c>
      <c r="F100" s="4">
        <v>57.51</v>
      </c>
      <c r="G100" s="4">
        <v>9.0399999999999991</v>
      </c>
      <c r="H100" s="4">
        <v>9.57</v>
      </c>
      <c r="I100" s="4">
        <v>57.42</v>
      </c>
      <c r="J100" s="4">
        <v>10.199999999999999</v>
      </c>
      <c r="K100" s="4">
        <v>12.61</v>
      </c>
      <c r="L100" s="4">
        <v>27.47</v>
      </c>
      <c r="M100" s="4">
        <v>9.27</v>
      </c>
    </row>
    <row r="101" spans="1:13" x14ac:dyDescent="0.3">
      <c r="B101" s="3">
        <v>28.31</v>
      </c>
      <c r="C101" s="3">
        <v>85.9</v>
      </c>
      <c r="D101" s="3">
        <v>6.33</v>
      </c>
      <c r="E101" s="3">
        <v>28.14</v>
      </c>
      <c r="F101" s="3">
        <v>78.48</v>
      </c>
      <c r="G101" s="3">
        <v>6.44</v>
      </c>
      <c r="H101" s="3">
        <v>27.04</v>
      </c>
      <c r="I101" s="3">
        <v>78.47</v>
      </c>
      <c r="J101" s="3">
        <v>6.54</v>
      </c>
      <c r="K101" s="3">
        <v>24.81</v>
      </c>
      <c r="L101" s="3">
        <v>78.459999999999994</v>
      </c>
      <c r="M101" s="3">
        <v>6.7</v>
      </c>
    </row>
    <row r="102" spans="1:13" x14ac:dyDescent="0.3">
      <c r="B102" s="4">
        <v>24.22</v>
      </c>
      <c r="C102" s="4">
        <v>86.99</v>
      </c>
      <c r="D102" s="4">
        <v>7.2</v>
      </c>
      <c r="E102" s="4">
        <v>20.64</v>
      </c>
      <c r="F102" s="4">
        <v>85.83</v>
      </c>
      <c r="G102" s="4">
        <v>7.58</v>
      </c>
      <c r="H102" s="4">
        <v>19.93</v>
      </c>
      <c r="I102" s="4">
        <v>72.44</v>
      </c>
      <c r="J102" s="4">
        <v>7.39</v>
      </c>
      <c r="K102" s="4">
        <v>26.68</v>
      </c>
      <c r="L102" s="4">
        <v>64.959999999999994</v>
      </c>
      <c r="M102" s="4">
        <v>6.81</v>
      </c>
    </row>
    <row r="103" spans="1:13" x14ac:dyDescent="0.3">
      <c r="B103" s="3">
        <v>9.7799999999999994</v>
      </c>
      <c r="C103" s="3">
        <v>40.92</v>
      </c>
      <c r="D103" s="3">
        <v>10.19</v>
      </c>
      <c r="E103" s="3">
        <v>20.329999999999998</v>
      </c>
      <c r="F103" s="3">
        <v>57.38</v>
      </c>
      <c r="G103" s="3">
        <v>7.62</v>
      </c>
      <c r="H103" s="3">
        <v>17.77</v>
      </c>
      <c r="I103" s="3">
        <v>70.47</v>
      </c>
      <c r="J103" s="3">
        <v>8.26</v>
      </c>
      <c r="K103" s="3">
        <v>13.79</v>
      </c>
      <c r="L103" s="3">
        <v>55.96</v>
      </c>
      <c r="M103" s="3">
        <v>9.08</v>
      </c>
    </row>
    <row r="104" spans="1:13" x14ac:dyDescent="0.3">
      <c r="B104" s="4">
        <v>18.41</v>
      </c>
      <c r="C104" s="4">
        <v>57.49</v>
      </c>
      <c r="D104" s="4">
        <v>7.99</v>
      </c>
      <c r="E104" s="4">
        <v>14.66</v>
      </c>
      <c r="F104" s="4">
        <v>84.02</v>
      </c>
      <c r="G104" s="4">
        <v>8.6199999999999992</v>
      </c>
      <c r="H104" s="4">
        <v>19.03</v>
      </c>
      <c r="I104" s="4">
        <v>62.98</v>
      </c>
      <c r="J104" s="4">
        <v>7.59</v>
      </c>
      <c r="K104" s="4">
        <v>13.4</v>
      </c>
      <c r="L104" s="4">
        <v>64.87</v>
      </c>
      <c r="M104" s="4">
        <v>8.94</v>
      </c>
    </row>
    <row r="105" spans="1:13" x14ac:dyDescent="0.3">
      <c r="B105" s="3">
        <v>25.49</v>
      </c>
      <c r="C105" s="3">
        <v>58.8</v>
      </c>
      <c r="D105" s="3">
        <v>6.95</v>
      </c>
      <c r="E105" s="3">
        <v>16.350000000000001</v>
      </c>
      <c r="F105" s="3">
        <v>42.42</v>
      </c>
      <c r="G105" s="3">
        <v>8.2200000000000006</v>
      </c>
      <c r="H105" s="3">
        <v>20.3</v>
      </c>
      <c r="I105" s="3">
        <v>42.46</v>
      </c>
      <c r="J105" s="3">
        <v>8.0299999999999994</v>
      </c>
      <c r="K105" s="3">
        <v>22.17</v>
      </c>
      <c r="L105" s="3">
        <v>49.98</v>
      </c>
      <c r="M105" s="3">
        <v>7.4</v>
      </c>
    </row>
    <row r="106" spans="1:13" x14ac:dyDescent="0.3">
      <c r="B106" s="4">
        <v>22.2</v>
      </c>
      <c r="C106" s="4">
        <v>70.88</v>
      </c>
      <c r="D106" s="4">
        <v>7.47</v>
      </c>
      <c r="E106" s="4">
        <v>14.01</v>
      </c>
      <c r="F106" s="4">
        <v>55.96</v>
      </c>
      <c r="G106" s="4">
        <v>8.69</v>
      </c>
      <c r="H106" s="4">
        <v>18.63</v>
      </c>
      <c r="I106" s="4">
        <v>63.39</v>
      </c>
      <c r="J106" s="4">
        <v>8.01</v>
      </c>
      <c r="K106" s="4">
        <v>21.57</v>
      </c>
      <c r="L106" s="4">
        <v>55.93</v>
      </c>
      <c r="M106" s="4">
        <v>7.19</v>
      </c>
    </row>
    <row r="107" spans="1:13" x14ac:dyDescent="0.3">
      <c r="B107" s="3">
        <v>11.78</v>
      </c>
      <c r="C107" s="3">
        <v>34.92</v>
      </c>
      <c r="D107" s="3">
        <v>9.65</v>
      </c>
      <c r="E107" s="3">
        <v>21.69</v>
      </c>
      <c r="F107" s="3">
        <v>35.020000000000003</v>
      </c>
      <c r="G107" s="3">
        <v>9.73</v>
      </c>
      <c r="H107" s="3">
        <v>21.69</v>
      </c>
      <c r="I107" s="3">
        <v>19.88</v>
      </c>
      <c r="J107" s="3">
        <v>10.65</v>
      </c>
      <c r="K107" s="3">
        <v>21.69</v>
      </c>
      <c r="L107" s="3">
        <v>42.48</v>
      </c>
      <c r="M107" s="3">
        <v>9.19</v>
      </c>
    </row>
    <row r="108" spans="1:13" x14ac:dyDescent="0.3">
      <c r="B108" s="4">
        <v>9.5299999999999994</v>
      </c>
      <c r="C108" s="4">
        <v>33.020000000000003</v>
      </c>
      <c r="D108" s="4">
        <v>10.66</v>
      </c>
      <c r="E108" s="4">
        <v>9.92</v>
      </c>
      <c r="F108" s="4">
        <v>28.31</v>
      </c>
      <c r="G108" s="4">
        <v>11.15</v>
      </c>
      <c r="H108" s="4">
        <v>9.5500000000000007</v>
      </c>
      <c r="I108" s="4">
        <v>32.9</v>
      </c>
      <c r="J108" s="4">
        <v>10.49</v>
      </c>
      <c r="K108" s="4">
        <v>9.57</v>
      </c>
      <c r="L108" s="4">
        <v>48.54</v>
      </c>
      <c r="M108" s="4">
        <v>10.92</v>
      </c>
    </row>
    <row r="110" spans="1:13" x14ac:dyDescent="0.3">
      <c r="A110" s="5" t="s">
        <v>42</v>
      </c>
      <c r="B110" s="5">
        <f>AVERAGE(B85:B108)</f>
        <v>23.074583333333333</v>
      </c>
      <c r="C110" s="5">
        <f t="shared" ref="C110:M110" si="4">AVERAGE(C85:C108)</f>
        <v>48.492500000000007</v>
      </c>
      <c r="D110" s="5">
        <f t="shared" si="4"/>
        <v>7.1850000000000014</v>
      </c>
      <c r="E110" s="5">
        <f t="shared" si="4"/>
        <v>20.75375</v>
      </c>
      <c r="F110" s="5">
        <f t="shared" si="4"/>
        <v>48.628333333333337</v>
      </c>
      <c r="G110" s="5">
        <f t="shared" si="4"/>
        <v>7.4574999999999996</v>
      </c>
      <c r="H110" s="5">
        <f t="shared" si="4"/>
        <v>23.130416666666672</v>
      </c>
      <c r="I110" s="5">
        <f t="shared" si="4"/>
        <v>51.367916666666694</v>
      </c>
      <c r="J110" s="5">
        <f t="shared" si="4"/>
        <v>7.2233333333333336</v>
      </c>
      <c r="K110" s="5">
        <f t="shared" si="4"/>
        <v>21.61791666666667</v>
      </c>
      <c r="L110" s="5">
        <f t="shared" si="4"/>
        <v>46.27708333333333</v>
      </c>
      <c r="M110" s="5">
        <f t="shared" si="4"/>
        <v>7.3891666666666653</v>
      </c>
    </row>
    <row r="111" spans="1:13" x14ac:dyDescent="0.3">
      <c r="A111" s="5" t="s">
        <v>35</v>
      </c>
      <c r="B111" s="5">
        <f>AVERAGE(B110,E110,H110,K110)</f>
        <v>22.144166666666671</v>
      </c>
      <c r="C111" s="5">
        <f t="shared" ref="C111:D111" si="5">AVERAGE(C110,F110,I110,L110)</f>
        <v>48.691458333333344</v>
      </c>
      <c r="D111" s="5">
        <f t="shared" si="5"/>
        <v>7.3137499999999998</v>
      </c>
      <c r="E111" s="5"/>
      <c r="F111" s="5"/>
      <c r="G111" s="5"/>
      <c r="H111" s="5"/>
      <c r="I111" s="5"/>
      <c r="J111" s="5"/>
      <c r="K111" s="5"/>
      <c r="L111" s="5"/>
      <c r="M111" s="5"/>
    </row>
    <row r="113" spans="1:13" x14ac:dyDescent="0.3">
      <c r="B113" s="38" t="s">
        <v>29</v>
      </c>
      <c r="C113" s="38"/>
      <c r="D113" s="38"/>
      <c r="E113" s="38"/>
    </row>
    <row r="115" spans="1:13" x14ac:dyDescent="0.3">
      <c r="B115" s="39" t="s">
        <v>17</v>
      </c>
      <c r="C115" s="39"/>
      <c r="D115" s="39"/>
      <c r="E115" s="40" t="s">
        <v>18</v>
      </c>
      <c r="F115" s="40"/>
      <c r="G115" s="40"/>
      <c r="H115" s="41" t="s">
        <v>19</v>
      </c>
      <c r="I115" s="41"/>
      <c r="J115" s="41"/>
      <c r="K115" s="42" t="s">
        <v>20</v>
      </c>
      <c r="L115" s="42"/>
      <c r="M115" s="42"/>
    </row>
    <row r="116" spans="1:13" x14ac:dyDescent="0.3">
      <c r="B116" s="1" t="s">
        <v>21</v>
      </c>
      <c r="C116" s="1" t="s">
        <v>22</v>
      </c>
      <c r="D116" s="1" t="s">
        <v>23</v>
      </c>
      <c r="E116" s="1" t="s">
        <v>21</v>
      </c>
      <c r="F116" s="1" t="s">
        <v>22</v>
      </c>
      <c r="G116" s="1" t="s">
        <v>23</v>
      </c>
      <c r="H116" s="1" t="s">
        <v>21</v>
      </c>
      <c r="I116" s="1" t="s">
        <v>22</v>
      </c>
      <c r="J116" s="1" t="s">
        <v>23</v>
      </c>
      <c r="K116" s="1" t="s">
        <v>21</v>
      </c>
      <c r="L116" s="1" t="s">
        <v>22</v>
      </c>
      <c r="M116" s="1" t="s">
        <v>23</v>
      </c>
    </row>
    <row r="117" spans="1:13" x14ac:dyDescent="0.3">
      <c r="A117" t="s">
        <v>27</v>
      </c>
      <c r="B117" s="3">
        <v>11.9</v>
      </c>
      <c r="C117" s="3">
        <v>27.52</v>
      </c>
      <c r="D117" s="3">
        <v>9.74</v>
      </c>
      <c r="E117" s="3">
        <v>12.74</v>
      </c>
      <c r="F117" s="3">
        <v>28.85</v>
      </c>
      <c r="G117" s="3">
        <v>9.5500000000000007</v>
      </c>
      <c r="H117" s="3">
        <v>11.82</v>
      </c>
      <c r="I117" s="3">
        <v>28.8</v>
      </c>
      <c r="J117" s="3">
        <v>9.75</v>
      </c>
      <c r="K117" s="3">
        <v>12.37</v>
      </c>
      <c r="L117" s="3">
        <v>27.44</v>
      </c>
      <c r="M117" s="3">
        <v>9.52</v>
      </c>
    </row>
    <row r="118" spans="1:13" x14ac:dyDescent="0.3">
      <c r="B118" s="4">
        <v>16.2</v>
      </c>
      <c r="C118" s="4">
        <v>34.92</v>
      </c>
      <c r="D118" s="4">
        <v>8.6300000000000008</v>
      </c>
      <c r="E118" s="4">
        <v>19.98</v>
      </c>
      <c r="F118" s="4">
        <v>35.200000000000003</v>
      </c>
      <c r="G118" s="4">
        <v>7.35</v>
      </c>
      <c r="H118" s="4">
        <v>18.04</v>
      </c>
      <c r="I118" s="4">
        <v>42.57</v>
      </c>
      <c r="J118" s="4">
        <v>7.82</v>
      </c>
      <c r="K118" s="4">
        <v>23.82</v>
      </c>
      <c r="L118" s="4">
        <v>34.9</v>
      </c>
      <c r="M118" s="4">
        <v>6.72</v>
      </c>
    </row>
    <row r="119" spans="1:13" x14ac:dyDescent="0.3">
      <c r="B119" s="3">
        <v>20.67</v>
      </c>
      <c r="C119" s="3">
        <v>37.520000000000003</v>
      </c>
      <c r="D119" s="3">
        <v>8.1999999999999993</v>
      </c>
      <c r="E119" s="3">
        <v>28.05</v>
      </c>
      <c r="F119" s="3">
        <v>35.159999999999997</v>
      </c>
      <c r="G119" s="3">
        <v>7.15</v>
      </c>
      <c r="H119" s="3">
        <v>26.68</v>
      </c>
      <c r="I119" s="3">
        <v>37.58</v>
      </c>
      <c r="J119" s="3">
        <v>7.2</v>
      </c>
      <c r="K119" s="3">
        <v>26.91</v>
      </c>
      <c r="L119" s="3">
        <v>35</v>
      </c>
      <c r="M119" s="3">
        <v>7.34</v>
      </c>
    </row>
    <row r="120" spans="1:13" x14ac:dyDescent="0.3">
      <c r="B120" s="4">
        <v>14.48</v>
      </c>
      <c r="C120" s="4">
        <v>42.44</v>
      </c>
      <c r="D120" s="4">
        <v>9.4700000000000006</v>
      </c>
      <c r="E120" s="4">
        <v>16.8</v>
      </c>
      <c r="F120" s="4">
        <v>42.6</v>
      </c>
      <c r="G120" s="4">
        <v>8.85</v>
      </c>
      <c r="H120" s="4">
        <v>15.94</v>
      </c>
      <c r="I120" s="4">
        <v>35.270000000000003</v>
      </c>
      <c r="J120" s="4">
        <v>8.93</v>
      </c>
      <c r="K120" s="4">
        <v>15.02</v>
      </c>
      <c r="L120" s="4">
        <v>35.1</v>
      </c>
      <c r="M120" s="4">
        <v>9.32</v>
      </c>
    </row>
    <row r="121" spans="1:13" x14ac:dyDescent="0.3">
      <c r="B121" s="3">
        <v>10.79</v>
      </c>
      <c r="C121" s="3">
        <v>42.12</v>
      </c>
      <c r="D121" s="3">
        <v>8.86</v>
      </c>
      <c r="E121" s="3">
        <v>17.66</v>
      </c>
      <c r="F121" s="3">
        <v>42.12</v>
      </c>
      <c r="G121" s="3">
        <v>7.41</v>
      </c>
      <c r="H121" s="3">
        <v>11.93</v>
      </c>
      <c r="I121" s="3">
        <v>34.840000000000003</v>
      </c>
      <c r="J121" s="3">
        <v>8.98</v>
      </c>
      <c r="K121" s="3">
        <v>15.32</v>
      </c>
      <c r="L121" s="3">
        <v>34.619999999999997</v>
      </c>
      <c r="M121" s="3">
        <v>8.24</v>
      </c>
    </row>
    <row r="122" spans="1:13" x14ac:dyDescent="0.3">
      <c r="B122" s="4">
        <v>19.48</v>
      </c>
      <c r="C122" s="4">
        <v>42.57</v>
      </c>
      <c r="D122" s="4">
        <v>7.81</v>
      </c>
      <c r="E122" s="4">
        <v>18.84</v>
      </c>
      <c r="F122" s="4">
        <v>42.37</v>
      </c>
      <c r="G122" s="4">
        <v>8.1300000000000008</v>
      </c>
      <c r="H122" s="4">
        <v>18.37</v>
      </c>
      <c r="I122" s="4">
        <v>35.04</v>
      </c>
      <c r="J122" s="4">
        <v>8.52</v>
      </c>
      <c r="K122" s="4">
        <v>15.43</v>
      </c>
      <c r="L122" s="4">
        <v>34.99</v>
      </c>
      <c r="M122" s="4">
        <v>9.01</v>
      </c>
    </row>
    <row r="123" spans="1:13" x14ac:dyDescent="0.3">
      <c r="B123" s="3">
        <v>17.149999999999999</v>
      </c>
      <c r="C123" s="3">
        <v>42.43</v>
      </c>
      <c r="D123" s="3">
        <v>9.09</v>
      </c>
      <c r="E123" s="3">
        <v>18.28</v>
      </c>
      <c r="F123" s="3">
        <v>34.96</v>
      </c>
      <c r="G123" s="3">
        <v>8.7899999999999991</v>
      </c>
      <c r="H123" s="3">
        <v>17.5</v>
      </c>
      <c r="I123" s="3">
        <v>42.4</v>
      </c>
      <c r="J123" s="3">
        <v>9.01</v>
      </c>
      <c r="K123" s="3">
        <v>16.760000000000002</v>
      </c>
      <c r="L123" s="3">
        <v>34.99</v>
      </c>
      <c r="M123" s="3">
        <v>9.23</v>
      </c>
    </row>
    <row r="124" spans="1:13" x14ac:dyDescent="0.3">
      <c r="B124" s="4">
        <v>18.690000000000001</v>
      </c>
      <c r="C124" s="4">
        <v>34.909999999999997</v>
      </c>
      <c r="D124" s="4">
        <v>8.49</v>
      </c>
      <c r="E124" s="4">
        <v>15.58</v>
      </c>
      <c r="F124" s="4">
        <v>34.94</v>
      </c>
      <c r="G124" s="4">
        <v>8.68</v>
      </c>
      <c r="H124" s="4">
        <v>18.63</v>
      </c>
      <c r="I124" s="4">
        <v>42.54</v>
      </c>
      <c r="J124" s="4">
        <v>8.64</v>
      </c>
      <c r="K124" s="4">
        <v>16.670000000000002</v>
      </c>
      <c r="L124" s="4">
        <v>35.06</v>
      </c>
      <c r="M124" s="4">
        <v>8.86</v>
      </c>
    </row>
    <row r="125" spans="1:13" x14ac:dyDescent="0.3">
      <c r="B125" s="3">
        <v>14.83</v>
      </c>
      <c r="C125" s="3">
        <v>27.26</v>
      </c>
      <c r="D125" s="3">
        <v>7.09</v>
      </c>
      <c r="E125" s="3">
        <v>21.16</v>
      </c>
      <c r="F125" s="3">
        <v>27.52</v>
      </c>
      <c r="G125" s="3">
        <v>8.24</v>
      </c>
      <c r="H125" s="3">
        <v>19.489999999999998</v>
      </c>
      <c r="I125" s="3">
        <v>39.85</v>
      </c>
      <c r="J125" s="3">
        <v>8.2799999999999994</v>
      </c>
      <c r="K125" s="3">
        <v>20.29</v>
      </c>
      <c r="L125" s="3">
        <v>39.450000000000003</v>
      </c>
      <c r="M125" s="3">
        <v>7.64</v>
      </c>
    </row>
    <row r="126" spans="1:13" x14ac:dyDescent="0.3">
      <c r="B126" s="4">
        <v>17.63</v>
      </c>
      <c r="C126" s="4">
        <v>27.28</v>
      </c>
      <c r="D126" s="4">
        <v>7.25</v>
      </c>
      <c r="E126" s="4">
        <v>15.35</v>
      </c>
      <c r="F126" s="4">
        <v>34.74</v>
      </c>
      <c r="G126" s="4">
        <v>7.36</v>
      </c>
      <c r="H126" s="4">
        <v>15.06</v>
      </c>
      <c r="I126" s="4">
        <v>34.770000000000003</v>
      </c>
      <c r="J126" s="4">
        <v>7.61</v>
      </c>
      <c r="K126" s="4">
        <v>17.87</v>
      </c>
      <c r="L126" s="4">
        <v>34.9</v>
      </c>
      <c r="M126" s="4">
        <v>7.55</v>
      </c>
    </row>
    <row r="127" spans="1:13" x14ac:dyDescent="0.3">
      <c r="B127" s="3">
        <v>16.12</v>
      </c>
      <c r="C127" s="3">
        <v>34.880000000000003</v>
      </c>
      <c r="D127" s="3">
        <v>7.41</v>
      </c>
      <c r="E127" s="3">
        <v>14.84</v>
      </c>
      <c r="F127" s="3">
        <v>42.31</v>
      </c>
      <c r="G127" s="3">
        <v>8.98</v>
      </c>
      <c r="H127" s="3">
        <v>18.75</v>
      </c>
      <c r="I127" s="3">
        <v>42.34</v>
      </c>
      <c r="J127" s="3">
        <v>7.28</v>
      </c>
      <c r="K127" s="3">
        <v>15.64</v>
      </c>
      <c r="L127" s="3">
        <v>42.46</v>
      </c>
      <c r="M127" s="3">
        <v>7.63</v>
      </c>
    </row>
    <row r="128" spans="1:13" x14ac:dyDescent="0.3">
      <c r="B128" s="4">
        <v>25.69</v>
      </c>
      <c r="C128" s="4">
        <v>42.28</v>
      </c>
      <c r="D128" s="4">
        <v>6.87</v>
      </c>
      <c r="E128" s="4">
        <v>23.04</v>
      </c>
      <c r="F128" s="4">
        <v>42.27</v>
      </c>
      <c r="G128" s="4">
        <v>6.93</v>
      </c>
      <c r="H128" s="4">
        <v>21.77</v>
      </c>
      <c r="I128" s="4">
        <v>34.799999999999997</v>
      </c>
      <c r="J128" s="4">
        <v>7.33</v>
      </c>
      <c r="K128" s="4">
        <v>21.45</v>
      </c>
      <c r="L128" s="4">
        <v>34.86</v>
      </c>
      <c r="M128" s="4">
        <v>7.28</v>
      </c>
    </row>
    <row r="129" spans="1:13" x14ac:dyDescent="0.3">
      <c r="B129" s="3">
        <v>21.44</v>
      </c>
      <c r="C129" s="3">
        <v>19.88</v>
      </c>
      <c r="D129" s="3">
        <v>8.02</v>
      </c>
      <c r="E129" s="3">
        <v>21.47</v>
      </c>
      <c r="F129" s="3">
        <v>19.87</v>
      </c>
      <c r="G129" s="3">
        <v>8.2100000000000009</v>
      </c>
      <c r="H129" s="3">
        <v>21.26</v>
      </c>
      <c r="I129" s="3">
        <v>32.450000000000003</v>
      </c>
      <c r="J129" s="3">
        <v>8.49</v>
      </c>
      <c r="K129" s="3">
        <v>29.87</v>
      </c>
      <c r="L129" s="3">
        <v>31.61</v>
      </c>
      <c r="M129" s="3">
        <v>8.1999999999999993</v>
      </c>
    </row>
    <row r="130" spans="1:13" x14ac:dyDescent="0.3">
      <c r="B130" s="4">
        <v>24.97</v>
      </c>
      <c r="C130" s="4">
        <v>35.049999999999997</v>
      </c>
      <c r="D130" s="4">
        <v>3.84</v>
      </c>
      <c r="E130" s="4">
        <v>25.78</v>
      </c>
      <c r="F130" s="4">
        <v>34.99</v>
      </c>
      <c r="G130" s="4">
        <v>4.3099999999999996</v>
      </c>
      <c r="H130" s="4">
        <v>24.67</v>
      </c>
      <c r="I130" s="4">
        <v>34.93</v>
      </c>
      <c r="J130" s="4">
        <v>3.9</v>
      </c>
      <c r="K130" s="4">
        <v>23.76</v>
      </c>
      <c r="L130" s="4">
        <v>35.04</v>
      </c>
      <c r="M130" s="4">
        <v>5.37</v>
      </c>
    </row>
    <row r="131" spans="1:13" x14ac:dyDescent="0.3">
      <c r="B131" s="3">
        <v>33.67</v>
      </c>
      <c r="C131" s="3">
        <v>27.49</v>
      </c>
      <c r="D131" s="3">
        <v>5.07</v>
      </c>
      <c r="E131" s="3">
        <v>34.840000000000003</v>
      </c>
      <c r="F131" s="3">
        <v>27.4</v>
      </c>
      <c r="G131" s="3">
        <v>5.65</v>
      </c>
      <c r="H131" s="3">
        <v>30.74</v>
      </c>
      <c r="I131" s="3">
        <v>27.49</v>
      </c>
      <c r="J131" s="3">
        <v>5.61</v>
      </c>
      <c r="K131" s="3">
        <v>32.99</v>
      </c>
      <c r="L131" s="3">
        <v>34.99</v>
      </c>
      <c r="M131" s="3">
        <v>5.42</v>
      </c>
    </row>
    <row r="132" spans="1:13" x14ac:dyDescent="0.3">
      <c r="B132" s="4">
        <v>24.58</v>
      </c>
      <c r="C132" s="4">
        <v>35.32</v>
      </c>
      <c r="D132" s="4">
        <v>6.31</v>
      </c>
      <c r="E132" s="4">
        <v>26.38</v>
      </c>
      <c r="F132" s="4">
        <v>35.01</v>
      </c>
      <c r="G132" s="4">
        <v>7.07</v>
      </c>
      <c r="H132" s="4">
        <v>27.93</v>
      </c>
      <c r="I132" s="4">
        <v>27.31</v>
      </c>
      <c r="J132" s="4">
        <v>7.13</v>
      </c>
      <c r="K132" s="4">
        <v>28.48</v>
      </c>
      <c r="L132" s="4">
        <v>35.119999999999997</v>
      </c>
      <c r="M132" s="4">
        <v>6.58</v>
      </c>
    </row>
    <row r="133" spans="1:13" x14ac:dyDescent="0.3">
      <c r="B133" s="3">
        <v>23.16</v>
      </c>
      <c r="C133" s="3">
        <v>42.24</v>
      </c>
      <c r="D133" s="3">
        <v>6.45</v>
      </c>
      <c r="E133" s="3">
        <v>23.52</v>
      </c>
      <c r="F133" s="3">
        <v>34.619999999999997</v>
      </c>
      <c r="G133" s="3">
        <v>5.54</v>
      </c>
      <c r="H133" s="3">
        <v>22.26</v>
      </c>
      <c r="I133" s="3">
        <v>27.13</v>
      </c>
      <c r="J133" s="3">
        <v>4.3600000000000003</v>
      </c>
      <c r="K133" s="3">
        <v>24.73</v>
      </c>
      <c r="L133" s="3">
        <v>34.619999999999997</v>
      </c>
      <c r="M133" s="3">
        <v>3.75</v>
      </c>
    </row>
    <row r="134" spans="1:13" x14ac:dyDescent="0.3">
      <c r="B134" s="4">
        <v>24.1</v>
      </c>
      <c r="C134" s="4">
        <v>42.75</v>
      </c>
      <c r="D134" s="4">
        <v>5.81</v>
      </c>
      <c r="E134" s="4">
        <v>23.95</v>
      </c>
      <c r="F134" s="4">
        <v>42.41</v>
      </c>
      <c r="G134" s="4">
        <v>5.78</v>
      </c>
      <c r="H134" s="4">
        <v>21.34</v>
      </c>
      <c r="I134" s="4">
        <v>34.840000000000003</v>
      </c>
      <c r="J134" s="4">
        <v>6.95</v>
      </c>
      <c r="K134" s="4">
        <v>26.49</v>
      </c>
      <c r="L134" s="4">
        <v>42.45</v>
      </c>
      <c r="M134" s="4">
        <v>4.99</v>
      </c>
    </row>
    <row r="135" spans="1:13" x14ac:dyDescent="0.3">
      <c r="B135" s="3">
        <v>29.19</v>
      </c>
      <c r="C135" s="3">
        <v>42.76</v>
      </c>
      <c r="D135" s="3">
        <v>6.46</v>
      </c>
      <c r="E135" s="3">
        <v>27.95</v>
      </c>
      <c r="F135" s="3">
        <v>34.979999999999997</v>
      </c>
      <c r="G135" s="3">
        <v>7.57</v>
      </c>
      <c r="H135" s="3">
        <v>26.09</v>
      </c>
      <c r="I135" s="3">
        <v>42.54</v>
      </c>
      <c r="J135" s="3">
        <v>5.84</v>
      </c>
      <c r="K135" s="3">
        <v>21.15</v>
      </c>
      <c r="L135" s="3">
        <v>42.11</v>
      </c>
      <c r="M135" s="3">
        <v>7.01</v>
      </c>
    </row>
    <row r="136" spans="1:13" x14ac:dyDescent="0.3">
      <c r="B136" s="4">
        <v>22.89</v>
      </c>
      <c r="C136" s="4">
        <v>37.51</v>
      </c>
      <c r="D136" s="4">
        <v>7.13</v>
      </c>
      <c r="E136" s="4">
        <v>19.79</v>
      </c>
      <c r="F136" s="4">
        <v>35.020000000000003</v>
      </c>
      <c r="G136" s="4">
        <v>5.86</v>
      </c>
      <c r="H136" s="4">
        <v>24.8</v>
      </c>
      <c r="I136" s="4">
        <v>35.020000000000003</v>
      </c>
      <c r="J136" s="4">
        <v>6.02</v>
      </c>
      <c r="K136" s="4">
        <v>24.79</v>
      </c>
      <c r="L136" s="4">
        <v>27.35</v>
      </c>
      <c r="M136" s="4">
        <v>5.05</v>
      </c>
    </row>
    <row r="137" spans="1:13" x14ac:dyDescent="0.3">
      <c r="B137" s="3">
        <v>19.36</v>
      </c>
      <c r="C137" s="3">
        <v>34.21</v>
      </c>
      <c r="D137" s="3">
        <v>6.15</v>
      </c>
      <c r="E137" s="3">
        <v>23.18</v>
      </c>
      <c r="F137" s="3">
        <v>36.909999999999997</v>
      </c>
      <c r="G137" s="3">
        <v>6.53</v>
      </c>
      <c r="H137" s="3">
        <v>22.67</v>
      </c>
      <c r="I137" s="3">
        <v>31.01</v>
      </c>
      <c r="J137" s="3">
        <v>6.13</v>
      </c>
      <c r="K137" s="3">
        <v>23.26</v>
      </c>
      <c r="L137" s="3">
        <v>32.51</v>
      </c>
      <c r="M137" s="3">
        <v>6.4</v>
      </c>
    </row>
    <row r="138" spans="1:13" x14ac:dyDescent="0.3">
      <c r="B138" s="4">
        <v>23.54</v>
      </c>
      <c r="C138" s="4">
        <v>27.41</v>
      </c>
      <c r="D138" s="4">
        <v>6.91</v>
      </c>
      <c r="E138" s="4">
        <v>24.93</v>
      </c>
      <c r="F138" s="4">
        <v>31.25</v>
      </c>
      <c r="G138" s="4">
        <v>7.15</v>
      </c>
      <c r="H138" s="4">
        <v>25.48</v>
      </c>
      <c r="I138" s="4">
        <v>37.29</v>
      </c>
      <c r="J138" s="4">
        <v>7.1</v>
      </c>
      <c r="K138" s="4">
        <v>20.51</v>
      </c>
      <c r="L138" s="4">
        <v>37.51</v>
      </c>
      <c r="M138" s="4">
        <v>5.72</v>
      </c>
    </row>
    <row r="139" spans="1:13" x14ac:dyDescent="0.3">
      <c r="B139" s="3">
        <v>17.46</v>
      </c>
      <c r="C139" s="3">
        <v>44.79</v>
      </c>
      <c r="D139" s="3">
        <v>6.87</v>
      </c>
      <c r="E139" s="3">
        <v>18.579999999999998</v>
      </c>
      <c r="F139" s="3">
        <v>42.38</v>
      </c>
      <c r="G139" s="3">
        <v>5.77</v>
      </c>
      <c r="H139" s="3">
        <v>18.32</v>
      </c>
      <c r="I139" s="3">
        <v>42.47</v>
      </c>
      <c r="J139" s="3">
        <v>4.0199999999999996</v>
      </c>
      <c r="K139" s="3">
        <v>18.61</v>
      </c>
      <c r="L139" s="3">
        <v>41.21</v>
      </c>
      <c r="M139" s="3">
        <v>6.29</v>
      </c>
    </row>
    <row r="140" spans="1:13" x14ac:dyDescent="0.3">
      <c r="B140" s="4">
        <v>31.64</v>
      </c>
      <c r="C140" s="4">
        <v>35.020000000000003</v>
      </c>
      <c r="D140" s="4">
        <v>5.25</v>
      </c>
      <c r="E140" s="4">
        <v>29.32</v>
      </c>
      <c r="F140" s="4">
        <v>34.83</v>
      </c>
      <c r="G140" s="4">
        <v>5.59</v>
      </c>
      <c r="H140" s="4">
        <v>30.47</v>
      </c>
      <c r="I140" s="4">
        <v>37.26</v>
      </c>
      <c r="J140" s="4">
        <v>5.59</v>
      </c>
      <c r="K140" s="4">
        <v>29.93</v>
      </c>
      <c r="L140" s="4">
        <v>37.409999999999997</v>
      </c>
      <c r="M140" s="4">
        <v>4.95</v>
      </c>
    </row>
    <row r="142" spans="1:13" x14ac:dyDescent="0.3">
      <c r="A142" s="5" t="s">
        <v>42</v>
      </c>
      <c r="B142" s="5">
        <f>AVERAGE(B117:B140)</f>
        <v>20.817916666666665</v>
      </c>
      <c r="C142" s="5">
        <f t="shared" ref="C142:M142" si="6">AVERAGE(C117:C140)</f>
        <v>35.856666666666662</v>
      </c>
      <c r="D142" s="5">
        <f t="shared" si="6"/>
        <v>7.2158333333333333</v>
      </c>
      <c r="E142" s="5">
        <f t="shared" si="6"/>
        <v>21.750416666666666</v>
      </c>
      <c r="F142" s="5">
        <f t="shared" si="6"/>
        <v>35.529583333333328</v>
      </c>
      <c r="G142" s="5">
        <f t="shared" si="6"/>
        <v>7.1854166666666677</v>
      </c>
      <c r="H142" s="5">
        <f t="shared" si="6"/>
        <v>21.250416666666666</v>
      </c>
      <c r="I142" s="5">
        <f t="shared" si="6"/>
        <v>35.855833333333329</v>
      </c>
      <c r="J142" s="5">
        <f t="shared" si="6"/>
        <v>7.1037500000000007</v>
      </c>
      <c r="K142" s="5">
        <f t="shared" si="6"/>
        <v>21.754999999999999</v>
      </c>
      <c r="L142" s="5">
        <f t="shared" si="6"/>
        <v>35.654166666666669</v>
      </c>
      <c r="M142" s="5">
        <f t="shared" si="6"/>
        <v>7.0029166666666667</v>
      </c>
    </row>
    <row r="143" spans="1:13" x14ac:dyDescent="0.3">
      <c r="A143" s="5" t="s">
        <v>35</v>
      </c>
      <c r="B143" s="5">
        <f>AVERAGE(B142,E142,H142,K142)</f>
        <v>21.393437499999997</v>
      </c>
      <c r="C143" s="5">
        <f t="shared" ref="C143:D143" si="7">AVERAGE(C142,F142,I142,L142)</f>
        <v>35.724062499999995</v>
      </c>
      <c r="D143" s="5">
        <f t="shared" si="7"/>
        <v>7.1269791666666675</v>
      </c>
      <c r="E143" s="5"/>
      <c r="F143" s="5"/>
      <c r="G143" s="5"/>
      <c r="H143" s="5"/>
      <c r="I143" s="5"/>
      <c r="J143" s="5"/>
      <c r="K143" s="5"/>
      <c r="L143" s="5"/>
      <c r="M143" s="5"/>
    </row>
    <row r="145" spans="2:13" x14ac:dyDescent="0.3">
      <c r="B145" s="38" t="s">
        <v>4</v>
      </c>
      <c r="C145" s="38"/>
      <c r="D145" s="38"/>
      <c r="E145" s="38"/>
    </row>
    <row r="147" spans="2:13" x14ac:dyDescent="0.3">
      <c r="B147" s="39" t="s">
        <v>17</v>
      </c>
      <c r="C147" s="39"/>
      <c r="D147" s="39"/>
      <c r="E147" s="40" t="s">
        <v>18</v>
      </c>
      <c r="F147" s="40"/>
      <c r="G147" s="40"/>
      <c r="H147" s="41" t="s">
        <v>19</v>
      </c>
      <c r="I147" s="41"/>
      <c r="J147" s="41"/>
      <c r="K147" s="42" t="s">
        <v>20</v>
      </c>
      <c r="L147" s="42"/>
      <c r="M147" s="42"/>
    </row>
    <row r="148" spans="2:13" x14ac:dyDescent="0.3">
      <c r="B148" s="1" t="s">
        <v>21</v>
      </c>
      <c r="C148" s="1" t="s">
        <v>22</v>
      </c>
      <c r="D148" s="1" t="s">
        <v>23</v>
      </c>
      <c r="E148" s="1" t="s">
        <v>21</v>
      </c>
      <c r="F148" s="1" t="s">
        <v>22</v>
      </c>
      <c r="G148" s="1" t="s">
        <v>23</v>
      </c>
      <c r="H148" s="1" t="s">
        <v>21</v>
      </c>
      <c r="I148" s="1" t="s">
        <v>22</v>
      </c>
      <c r="J148" s="1" t="s">
        <v>23</v>
      </c>
      <c r="K148" s="1" t="s">
        <v>21</v>
      </c>
      <c r="L148" s="1" t="s">
        <v>22</v>
      </c>
      <c r="M148" s="1" t="s">
        <v>23</v>
      </c>
    </row>
    <row r="149" spans="2:13" x14ac:dyDescent="0.3">
      <c r="B149" s="3">
        <v>30.94</v>
      </c>
      <c r="C149" s="3">
        <v>110</v>
      </c>
      <c r="D149" s="3">
        <v>3.01</v>
      </c>
      <c r="E149" s="3">
        <v>32.409999999999997</v>
      </c>
      <c r="F149" s="3">
        <v>109.79</v>
      </c>
      <c r="G149" s="3">
        <v>2.89</v>
      </c>
      <c r="H149" s="3">
        <v>34.090000000000003</v>
      </c>
      <c r="I149" s="3">
        <v>109.81</v>
      </c>
      <c r="J149" s="3">
        <v>2.82</v>
      </c>
      <c r="K149" s="3">
        <v>36.19</v>
      </c>
      <c r="L149" s="3">
        <v>117.74</v>
      </c>
      <c r="M149" s="3">
        <v>2.65</v>
      </c>
    </row>
    <row r="150" spans="2:13" x14ac:dyDescent="0.3">
      <c r="B150" s="4">
        <v>35.74</v>
      </c>
      <c r="C150" s="4">
        <v>130.69999999999999</v>
      </c>
      <c r="D150" s="4">
        <v>2.63</v>
      </c>
      <c r="E150" s="4">
        <v>39.85</v>
      </c>
      <c r="F150" s="4">
        <v>132.18</v>
      </c>
      <c r="G150" s="4">
        <v>2.17</v>
      </c>
      <c r="H150" s="4">
        <v>54.16</v>
      </c>
      <c r="I150" s="4">
        <v>168.59</v>
      </c>
      <c r="J150" s="4">
        <v>1.62</v>
      </c>
      <c r="K150" s="4">
        <v>35.83</v>
      </c>
      <c r="L150" s="4">
        <v>139.81</v>
      </c>
      <c r="M150" s="4">
        <v>2.5</v>
      </c>
    </row>
    <row r="151" spans="2:13" x14ac:dyDescent="0.3">
      <c r="B151" s="3">
        <v>39.090000000000003</v>
      </c>
      <c r="C151" s="3">
        <v>146.13999999999999</v>
      </c>
      <c r="D151" s="3">
        <v>2.4700000000000002</v>
      </c>
      <c r="E151" s="3">
        <v>40.97</v>
      </c>
      <c r="F151" s="3">
        <v>152.97</v>
      </c>
      <c r="G151" s="3">
        <v>2.08</v>
      </c>
      <c r="H151" s="3">
        <v>44.43</v>
      </c>
      <c r="I151" s="3">
        <v>153.22999999999999</v>
      </c>
      <c r="J151" s="3">
        <v>2</v>
      </c>
      <c r="K151" s="3">
        <v>43.97</v>
      </c>
      <c r="L151" s="3">
        <v>168.81</v>
      </c>
      <c r="M151" s="3">
        <v>2.1800000000000002</v>
      </c>
    </row>
    <row r="152" spans="2:13" x14ac:dyDescent="0.3">
      <c r="B152" s="4">
        <v>41.58</v>
      </c>
      <c r="C152" s="4">
        <v>139.88999999999999</v>
      </c>
      <c r="D152" s="4">
        <v>2.1</v>
      </c>
      <c r="E152" s="4">
        <v>41.53</v>
      </c>
      <c r="F152" s="4">
        <v>155.24</v>
      </c>
      <c r="G152" s="4">
        <v>2.2799999999999998</v>
      </c>
      <c r="H152" s="4">
        <v>59.39</v>
      </c>
      <c r="I152" s="4">
        <v>167.74</v>
      </c>
      <c r="J152" s="4">
        <v>1.57</v>
      </c>
      <c r="K152" s="4">
        <v>54.46</v>
      </c>
      <c r="L152" s="4">
        <v>170</v>
      </c>
      <c r="M152" s="4">
        <v>1.78</v>
      </c>
    </row>
    <row r="153" spans="2:13" x14ac:dyDescent="0.3">
      <c r="B153" s="3">
        <v>37.340000000000003</v>
      </c>
      <c r="C153" s="3">
        <v>153.19999999999999</v>
      </c>
      <c r="D153" s="3">
        <v>2.38</v>
      </c>
      <c r="E153" s="3">
        <v>56.57</v>
      </c>
      <c r="F153" s="3">
        <v>170</v>
      </c>
      <c r="G153" s="3">
        <v>1.35</v>
      </c>
      <c r="H153" s="3">
        <v>36.57</v>
      </c>
      <c r="I153" s="3">
        <v>154.61000000000001</v>
      </c>
      <c r="J153" s="3">
        <v>2.5299999999999998</v>
      </c>
      <c r="K153" s="3">
        <v>39.6</v>
      </c>
      <c r="L153" s="3">
        <v>160.68</v>
      </c>
      <c r="M153" s="3">
        <v>2.2999999999999998</v>
      </c>
    </row>
    <row r="154" spans="2:13" x14ac:dyDescent="0.3">
      <c r="B154" s="4">
        <v>31.56</v>
      </c>
      <c r="C154" s="4">
        <v>160.66999999999999</v>
      </c>
      <c r="D154" s="4">
        <v>2.87</v>
      </c>
      <c r="E154" s="4">
        <v>48.65</v>
      </c>
      <c r="F154" s="4">
        <v>168.3</v>
      </c>
      <c r="G154" s="4">
        <v>1.82</v>
      </c>
      <c r="H154" s="4">
        <v>34.32</v>
      </c>
      <c r="I154" s="4">
        <v>153.37</v>
      </c>
      <c r="J154" s="4">
        <v>2.5299999999999998</v>
      </c>
      <c r="K154" s="4">
        <v>38.36</v>
      </c>
      <c r="L154" s="4">
        <v>153.16999999999999</v>
      </c>
      <c r="M154" s="4">
        <v>2.25</v>
      </c>
    </row>
    <row r="155" spans="2:13" x14ac:dyDescent="0.3">
      <c r="B155" s="3">
        <v>29.31</v>
      </c>
      <c r="C155" s="3">
        <v>124.67</v>
      </c>
      <c r="D155" s="3">
        <v>2.87</v>
      </c>
      <c r="E155" s="3">
        <v>38.590000000000003</v>
      </c>
      <c r="F155" s="3">
        <v>152.57</v>
      </c>
      <c r="G155" s="3">
        <v>2.2599999999999998</v>
      </c>
      <c r="H155" s="3">
        <v>34.5</v>
      </c>
      <c r="I155" s="3">
        <v>138.31</v>
      </c>
      <c r="J155" s="3">
        <v>2.5499999999999998</v>
      </c>
      <c r="K155" s="3">
        <v>36.93</v>
      </c>
      <c r="L155" s="3">
        <v>153.30000000000001</v>
      </c>
      <c r="M155" s="3">
        <v>2.25</v>
      </c>
    </row>
    <row r="156" spans="2:13" x14ac:dyDescent="0.3">
      <c r="B156" s="4">
        <v>38.32</v>
      </c>
      <c r="C156" s="4">
        <v>170</v>
      </c>
      <c r="D156" s="4">
        <v>2.35</v>
      </c>
      <c r="E156" s="4">
        <v>38.64</v>
      </c>
      <c r="F156" s="4">
        <v>161.03</v>
      </c>
      <c r="G156" s="4">
        <v>2.25</v>
      </c>
      <c r="H156" s="4">
        <v>33.47</v>
      </c>
      <c r="I156" s="4">
        <v>154.66999999999999</v>
      </c>
      <c r="J156" s="4">
        <v>2.62</v>
      </c>
      <c r="K156" s="4">
        <v>35.47</v>
      </c>
      <c r="L156" s="4">
        <v>160.91</v>
      </c>
      <c r="M156" s="4">
        <v>2.5299999999999998</v>
      </c>
    </row>
    <row r="157" spans="2:13" x14ac:dyDescent="0.3">
      <c r="B157" s="3">
        <v>49.6</v>
      </c>
      <c r="C157" s="3">
        <v>162.47</v>
      </c>
      <c r="D157" s="3">
        <v>1.81</v>
      </c>
      <c r="E157" s="3">
        <v>50.47</v>
      </c>
      <c r="F157" s="3">
        <v>170</v>
      </c>
      <c r="G157" s="3">
        <v>1.7</v>
      </c>
      <c r="H157" s="3">
        <v>41.58</v>
      </c>
      <c r="I157" s="3">
        <v>147.75</v>
      </c>
      <c r="J157" s="3">
        <v>2.08</v>
      </c>
      <c r="K157" s="3">
        <v>41.33</v>
      </c>
      <c r="L157" s="3">
        <v>139.99</v>
      </c>
      <c r="M157" s="3">
        <v>2.09</v>
      </c>
    </row>
    <row r="158" spans="2:13" x14ac:dyDescent="0.3">
      <c r="B158" s="4">
        <v>76.37</v>
      </c>
      <c r="C158" s="4">
        <v>170</v>
      </c>
      <c r="D158" s="4">
        <v>1.17</v>
      </c>
      <c r="E158" s="4">
        <v>43.17</v>
      </c>
      <c r="F158" s="4">
        <v>138.26</v>
      </c>
      <c r="G158" s="4">
        <v>2.09</v>
      </c>
      <c r="H158" s="4">
        <v>46.59</v>
      </c>
      <c r="I158" s="4">
        <v>153.28</v>
      </c>
      <c r="J158" s="4">
        <v>2.0699999999999998</v>
      </c>
      <c r="K158" s="4">
        <v>55.41</v>
      </c>
      <c r="L158" s="4">
        <v>160.91999999999999</v>
      </c>
      <c r="M158" s="4">
        <v>1.77</v>
      </c>
    </row>
    <row r="159" spans="2:13" x14ac:dyDescent="0.3">
      <c r="B159" s="3">
        <v>52.86</v>
      </c>
      <c r="C159" s="3">
        <v>168.28</v>
      </c>
      <c r="D159" s="3">
        <v>2.0099999999999998</v>
      </c>
      <c r="E159" s="3">
        <v>44.51</v>
      </c>
      <c r="F159" s="3">
        <v>153.36000000000001</v>
      </c>
      <c r="G159" s="3">
        <v>2.37</v>
      </c>
      <c r="H159" s="3">
        <v>52.7</v>
      </c>
      <c r="I159" s="3">
        <v>154.11000000000001</v>
      </c>
      <c r="J159" s="3">
        <v>2.08</v>
      </c>
      <c r="K159" s="3">
        <v>49.09</v>
      </c>
      <c r="L159" s="3">
        <v>170</v>
      </c>
      <c r="M159" s="3">
        <v>2.2999999999999998</v>
      </c>
    </row>
    <row r="160" spans="2:13" x14ac:dyDescent="0.3">
      <c r="B160" s="4">
        <v>55.01</v>
      </c>
      <c r="C160" s="4">
        <v>170</v>
      </c>
      <c r="D160" s="4">
        <v>1.52</v>
      </c>
      <c r="E160" s="4">
        <v>50.23</v>
      </c>
      <c r="F160" s="4">
        <v>152.69</v>
      </c>
      <c r="G160" s="4">
        <v>1.63</v>
      </c>
      <c r="H160" s="4">
        <v>54.42</v>
      </c>
      <c r="I160" s="4">
        <v>170</v>
      </c>
      <c r="J160" s="4">
        <v>1.58</v>
      </c>
      <c r="K160" s="4">
        <v>54.63</v>
      </c>
      <c r="L160" s="4">
        <v>170</v>
      </c>
      <c r="M160" s="4">
        <v>1.48</v>
      </c>
    </row>
    <row r="161" spans="2:13" x14ac:dyDescent="0.3">
      <c r="B161" s="3">
        <v>16.47</v>
      </c>
      <c r="C161" s="3">
        <v>79.19</v>
      </c>
      <c r="D161" s="3">
        <v>4</v>
      </c>
      <c r="E161" s="3">
        <v>17.739999999999998</v>
      </c>
      <c r="F161" s="3">
        <v>79.400000000000006</v>
      </c>
      <c r="G161" s="3">
        <v>4.07</v>
      </c>
      <c r="H161" s="3">
        <v>15.6</v>
      </c>
      <c r="I161" s="3">
        <v>79.16</v>
      </c>
      <c r="J161" s="3">
        <v>4.2</v>
      </c>
      <c r="K161" s="3">
        <v>18.190000000000001</v>
      </c>
      <c r="L161" s="3">
        <v>86.71</v>
      </c>
      <c r="M161" s="3">
        <v>3.71</v>
      </c>
    </row>
    <row r="162" spans="2:13" x14ac:dyDescent="0.3">
      <c r="B162" s="4">
        <v>24.26</v>
      </c>
      <c r="C162" s="4">
        <v>109.24</v>
      </c>
      <c r="D162" s="4">
        <v>3.17</v>
      </c>
      <c r="E162" s="4">
        <v>28.29</v>
      </c>
      <c r="F162" s="4">
        <v>116.66</v>
      </c>
      <c r="G162" s="4">
        <v>3.09</v>
      </c>
      <c r="H162" s="4">
        <v>30.22</v>
      </c>
      <c r="I162" s="4">
        <v>124.19</v>
      </c>
      <c r="J162" s="4">
        <v>2.76</v>
      </c>
      <c r="K162" s="4">
        <v>25.67</v>
      </c>
      <c r="L162" s="4">
        <v>101.9</v>
      </c>
      <c r="M162" s="4">
        <v>3.11</v>
      </c>
    </row>
    <row r="163" spans="2:13" x14ac:dyDescent="0.3">
      <c r="B163" s="3">
        <v>26.63</v>
      </c>
      <c r="C163" s="3">
        <v>101.81</v>
      </c>
      <c r="D163" s="3">
        <v>2.97</v>
      </c>
      <c r="E163" s="3">
        <v>28.91</v>
      </c>
      <c r="F163" s="3">
        <v>109.15</v>
      </c>
      <c r="G163" s="3">
        <v>2.94</v>
      </c>
      <c r="H163" s="3">
        <v>29.64</v>
      </c>
      <c r="I163" s="3">
        <v>101.85</v>
      </c>
      <c r="J163" s="3">
        <v>2.99</v>
      </c>
      <c r="K163" s="3">
        <v>31</v>
      </c>
      <c r="L163" s="3">
        <v>101.93</v>
      </c>
      <c r="M163" s="3">
        <v>2.79</v>
      </c>
    </row>
    <row r="164" spans="2:13" x14ac:dyDescent="0.3">
      <c r="B164" s="4">
        <v>30.73</v>
      </c>
      <c r="C164" s="4">
        <v>109.3</v>
      </c>
      <c r="D164" s="4">
        <v>2.95</v>
      </c>
      <c r="E164" s="4">
        <v>31.64</v>
      </c>
      <c r="F164" s="4">
        <v>116.79</v>
      </c>
      <c r="G164" s="4">
        <v>2.6</v>
      </c>
      <c r="H164" s="4">
        <v>32.93</v>
      </c>
      <c r="I164" s="4">
        <v>131.68</v>
      </c>
      <c r="J164" s="4">
        <v>2.6</v>
      </c>
      <c r="K164" s="4">
        <v>35.47</v>
      </c>
      <c r="L164" s="4">
        <v>139.19999999999999</v>
      </c>
      <c r="M164" s="4">
        <v>2.48</v>
      </c>
    </row>
    <row r="165" spans="2:13" x14ac:dyDescent="0.3">
      <c r="B165" s="3">
        <v>25.07</v>
      </c>
      <c r="C165" s="3">
        <v>101.67</v>
      </c>
      <c r="D165" s="3">
        <v>3.07</v>
      </c>
      <c r="E165" s="3">
        <v>29.23</v>
      </c>
      <c r="F165" s="3">
        <v>116.85</v>
      </c>
      <c r="G165" s="3">
        <v>2.7</v>
      </c>
      <c r="H165" s="3">
        <v>25.61</v>
      </c>
      <c r="I165" s="3">
        <v>101.65</v>
      </c>
      <c r="J165" s="3">
        <v>2.97</v>
      </c>
      <c r="K165" s="3">
        <v>24.22</v>
      </c>
      <c r="L165" s="3">
        <v>101.62</v>
      </c>
      <c r="M165" s="3">
        <v>3.15</v>
      </c>
    </row>
    <row r="166" spans="2:13" x14ac:dyDescent="0.3">
      <c r="B166" s="4">
        <v>19.61</v>
      </c>
      <c r="C166" s="4">
        <v>94.29</v>
      </c>
      <c r="D166" s="4">
        <v>3.62</v>
      </c>
      <c r="E166" s="4">
        <v>25.34</v>
      </c>
      <c r="F166" s="4">
        <v>116.88</v>
      </c>
      <c r="G166" s="4">
        <v>3.06</v>
      </c>
      <c r="H166" s="4">
        <v>23.61</v>
      </c>
      <c r="I166" s="4">
        <v>109.73</v>
      </c>
      <c r="J166" s="4">
        <v>3.25</v>
      </c>
      <c r="K166" s="4">
        <v>25.39</v>
      </c>
      <c r="L166" s="4">
        <v>116.78</v>
      </c>
      <c r="M166" s="4">
        <v>2.9</v>
      </c>
    </row>
    <row r="167" spans="2:13" x14ac:dyDescent="0.3">
      <c r="B167" s="3">
        <v>21.59</v>
      </c>
      <c r="C167" s="3">
        <v>109.45</v>
      </c>
      <c r="D167" s="3">
        <v>3.36</v>
      </c>
      <c r="E167" s="3">
        <v>23.08</v>
      </c>
      <c r="F167" s="3">
        <v>124.32</v>
      </c>
      <c r="G167" s="3">
        <v>3.1</v>
      </c>
      <c r="H167" s="3">
        <v>23.24</v>
      </c>
      <c r="I167" s="3">
        <v>101.94</v>
      </c>
      <c r="J167" s="3">
        <v>3.19</v>
      </c>
      <c r="K167" s="3">
        <v>22.3</v>
      </c>
      <c r="L167" s="3">
        <v>124.16</v>
      </c>
      <c r="M167" s="3">
        <v>3.33</v>
      </c>
    </row>
    <row r="168" spans="2:13" x14ac:dyDescent="0.3">
      <c r="B168" s="4">
        <v>29.78</v>
      </c>
      <c r="C168" s="4">
        <v>101.7</v>
      </c>
      <c r="D168" s="4">
        <v>2.7</v>
      </c>
      <c r="E168" s="4">
        <v>25.1</v>
      </c>
      <c r="F168" s="4">
        <v>94.24</v>
      </c>
      <c r="G168" s="4">
        <v>3.14</v>
      </c>
      <c r="H168" s="4">
        <v>25.2</v>
      </c>
      <c r="I168" s="4">
        <v>94.21</v>
      </c>
      <c r="J168" s="4">
        <v>3.11</v>
      </c>
      <c r="K168" s="4">
        <v>26.94</v>
      </c>
      <c r="L168" s="4">
        <v>101.61</v>
      </c>
      <c r="M168" s="4">
        <v>3.09</v>
      </c>
    </row>
    <row r="169" spans="2:13" x14ac:dyDescent="0.3">
      <c r="B169" s="3">
        <v>28.54</v>
      </c>
      <c r="C169" s="3">
        <v>131.76</v>
      </c>
      <c r="D169" s="3">
        <v>2.95</v>
      </c>
      <c r="E169" s="3">
        <v>27.05</v>
      </c>
      <c r="F169" s="3">
        <v>116.62</v>
      </c>
      <c r="G169" s="3">
        <v>2.99</v>
      </c>
      <c r="H169" s="3">
        <v>25.28</v>
      </c>
      <c r="I169" s="3">
        <v>101.65</v>
      </c>
      <c r="J169" s="3">
        <v>3.24</v>
      </c>
      <c r="K169" s="3">
        <v>24.66</v>
      </c>
      <c r="L169" s="3">
        <v>109.26</v>
      </c>
      <c r="M169" s="3">
        <v>3.05</v>
      </c>
    </row>
    <row r="170" spans="2:13" x14ac:dyDescent="0.3">
      <c r="B170" s="4">
        <v>32.840000000000003</v>
      </c>
      <c r="C170" s="4">
        <v>131.77000000000001</v>
      </c>
      <c r="D170" s="4">
        <v>2.99</v>
      </c>
      <c r="E170" s="4">
        <v>29.18</v>
      </c>
      <c r="F170" s="4">
        <v>109.54</v>
      </c>
      <c r="G170" s="4">
        <v>3.02</v>
      </c>
      <c r="H170" s="4">
        <v>26.06</v>
      </c>
      <c r="I170" s="4">
        <v>109.27</v>
      </c>
      <c r="J170" s="4">
        <v>3.1</v>
      </c>
      <c r="K170" s="4">
        <v>31.2</v>
      </c>
      <c r="L170" s="4">
        <v>124.53</v>
      </c>
      <c r="M170" s="4">
        <v>2.83</v>
      </c>
    </row>
    <row r="171" spans="2:13" x14ac:dyDescent="0.3">
      <c r="B171" s="3">
        <v>34.479999999999997</v>
      </c>
      <c r="C171" s="3">
        <v>124.17</v>
      </c>
      <c r="D171" s="3">
        <v>2.8</v>
      </c>
      <c r="E171" s="3">
        <v>24.25</v>
      </c>
      <c r="F171" s="3">
        <v>86.68</v>
      </c>
      <c r="G171" s="3">
        <v>3.59</v>
      </c>
      <c r="H171" s="3">
        <v>31.31</v>
      </c>
      <c r="I171" s="3">
        <v>124.25</v>
      </c>
      <c r="J171" s="3">
        <v>2.84</v>
      </c>
      <c r="K171" s="3">
        <v>33.83</v>
      </c>
      <c r="L171" s="3">
        <v>109.63</v>
      </c>
      <c r="M171" s="3">
        <v>2.78</v>
      </c>
    </row>
    <row r="172" spans="2:13" x14ac:dyDescent="0.3">
      <c r="B172" s="4">
        <v>31.03</v>
      </c>
      <c r="C172" s="4">
        <v>124.17</v>
      </c>
      <c r="D172" s="4">
        <v>2.77</v>
      </c>
      <c r="E172" s="4">
        <v>28.4</v>
      </c>
      <c r="F172" s="4">
        <v>117.08</v>
      </c>
      <c r="G172" s="4">
        <v>2.91</v>
      </c>
      <c r="H172" s="4">
        <v>32.65</v>
      </c>
      <c r="I172" s="4">
        <v>124.15</v>
      </c>
      <c r="J172" s="4">
        <v>2.67</v>
      </c>
      <c r="K172" s="4">
        <v>32.89</v>
      </c>
      <c r="L172" s="4">
        <v>146.68</v>
      </c>
      <c r="M172" s="4">
        <v>2.64</v>
      </c>
    </row>
    <row r="173" spans="2:13" x14ac:dyDescent="0.3">
      <c r="B173" s="3">
        <v>33.299999999999997</v>
      </c>
      <c r="C173" s="3">
        <v>101.75</v>
      </c>
      <c r="D173" s="3">
        <v>3.16</v>
      </c>
      <c r="E173" s="3">
        <v>34.049999999999997</v>
      </c>
      <c r="F173" s="3">
        <v>109.23</v>
      </c>
      <c r="G173" s="3">
        <v>3.11</v>
      </c>
      <c r="H173" s="3">
        <v>35.94</v>
      </c>
      <c r="I173" s="3">
        <v>109.16</v>
      </c>
      <c r="J173" s="3">
        <v>2.98</v>
      </c>
      <c r="K173" s="3">
        <v>36.85</v>
      </c>
      <c r="L173" s="3">
        <v>116.77</v>
      </c>
      <c r="M173" s="3">
        <v>2.94</v>
      </c>
    </row>
    <row r="174" spans="2:13" x14ac:dyDescent="0.3">
      <c r="B174" s="4">
        <v>41.5</v>
      </c>
      <c r="C174" s="4">
        <v>101.86</v>
      </c>
      <c r="D174" s="4">
        <v>2.74</v>
      </c>
      <c r="E174" s="4">
        <v>44.78</v>
      </c>
      <c r="F174" s="4">
        <v>116.86</v>
      </c>
      <c r="G174" s="4">
        <v>2.66</v>
      </c>
      <c r="H174" s="4">
        <v>45.13</v>
      </c>
      <c r="I174" s="4">
        <v>124.51</v>
      </c>
      <c r="J174" s="4">
        <v>2.48</v>
      </c>
      <c r="K174" s="4">
        <v>43.31</v>
      </c>
      <c r="L174" s="4">
        <v>124.22</v>
      </c>
      <c r="M174" s="4">
        <v>2.58</v>
      </c>
    </row>
    <row r="175" spans="2:13" x14ac:dyDescent="0.3">
      <c r="B175" s="3">
        <v>39.159999999999997</v>
      </c>
      <c r="C175" s="3">
        <v>94.29</v>
      </c>
      <c r="D175" s="3">
        <v>2.63</v>
      </c>
      <c r="E175" s="3">
        <v>41.01</v>
      </c>
      <c r="F175" s="3">
        <v>109.32</v>
      </c>
      <c r="G175" s="3">
        <v>2.7</v>
      </c>
      <c r="H175" s="3">
        <v>43.1</v>
      </c>
      <c r="I175" s="3">
        <v>109.16</v>
      </c>
      <c r="J175" s="3">
        <v>2.72</v>
      </c>
      <c r="K175" s="3">
        <v>43.91</v>
      </c>
      <c r="L175" s="3">
        <v>118.64</v>
      </c>
      <c r="M175" s="3">
        <v>2.46</v>
      </c>
    </row>
    <row r="176" spans="2:13" x14ac:dyDescent="0.3">
      <c r="B176" s="4">
        <v>48.37</v>
      </c>
      <c r="C176" s="4">
        <v>109.44</v>
      </c>
      <c r="D176" s="4">
        <v>2.46</v>
      </c>
      <c r="E176" s="4">
        <v>45.24</v>
      </c>
      <c r="F176" s="4">
        <v>109.31</v>
      </c>
      <c r="G176" s="4">
        <v>2.48</v>
      </c>
      <c r="H176" s="4">
        <v>48.92</v>
      </c>
      <c r="I176" s="4">
        <v>124.18</v>
      </c>
      <c r="J176" s="4">
        <v>2.3199999999999998</v>
      </c>
      <c r="K176" s="4">
        <v>51.94</v>
      </c>
      <c r="L176" s="4">
        <v>131.69</v>
      </c>
      <c r="M176" s="4">
        <v>2.0699999999999998</v>
      </c>
    </row>
    <row r="177" spans="1:13" x14ac:dyDescent="0.3">
      <c r="B177" s="3">
        <v>41.43</v>
      </c>
      <c r="C177" s="3">
        <v>111.03</v>
      </c>
      <c r="D177" s="3">
        <v>2.68</v>
      </c>
      <c r="E177" s="3">
        <v>41.3</v>
      </c>
      <c r="F177" s="3">
        <v>118.5</v>
      </c>
      <c r="G177" s="3">
        <v>2.44</v>
      </c>
      <c r="H177" s="3">
        <v>40.33</v>
      </c>
      <c r="I177" s="3">
        <v>109.59</v>
      </c>
      <c r="J177" s="3">
        <v>2.59</v>
      </c>
      <c r="K177" s="3">
        <v>39.130000000000003</v>
      </c>
      <c r="L177" s="3">
        <v>109.15</v>
      </c>
      <c r="M177" s="3">
        <v>2.71</v>
      </c>
    </row>
    <row r="178" spans="1:13" x14ac:dyDescent="0.3">
      <c r="B178" s="4">
        <v>31.96</v>
      </c>
      <c r="C178" s="4">
        <v>101.71</v>
      </c>
      <c r="D178" s="4">
        <v>2.92</v>
      </c>
      <c r="E178" s="4">
        <v>35.39</v>
      </c>
      <c r="F178" s="4">
        <v>139.29</v>
      </c>
      <c r="G178" s="4">
        <v>2.6</v>
      </c>
      <c r="H178" s="4">
        <v>33.33</v>
      </c>
      <c r="I178" s="4">
        <v>118.56</v>
      </c>
      <c r="J178" s="4">
        <v>2.85</v>
      </c>
      <c r="K178" s="4">
        <v>39.32</v>
      </c>
      <c r="L178" s="4">
        <v>124.11</v>
      </c>
      <c r="M178" s="4">
        <v>2.5099999999999998</v>
      </c>
    </row>
    <row r="179" spans="1:13" x14ac:dyDescent="0.3">
      <c r="B179" s="3">
        <v>28.25</v>
      </c>
      <c r="C179" s="3">
        <v>101.77</v>
      </c>
      <c r="D179" s="3">
        <v>3.16</v>
      </c>
      <c r="E179" s="3">
        <v>29.46</v>
      </c>
      <c r="F179" s="3">
        <v>126.05</v>
      </c>
      <c r="G179" s="3">
        <v>3.19</v>
      </c>
      <c r="H179" s="3">
        <v>29.71</v>
      </c>
      <c r="I179" s="3">
        <v>101.79</v>
      </c>
      <c r="J179" s="3">
        <v>3.2</v>
      </c>
      <c r="K179" s="3">
        <v>29.5</v>
      </c>
      <c r="L179" s="3">
        <v>116.72</v>
      </c>
      <c r="M179" s="3">
        <v>3.1</v>
      </c>
    </row>
    <row r="180" spans="1:13" x14ac:dyDescent="0.3">
      <c r="B180" s="4">
        <v>39.369999999999997</v>
      </c>
      <c r="C180" s="4">
        <v>126.22</v>
      </c>
      <c r="D180" s="4">
        <v>2.59</v>
      </c>
      <c r="E180" s="4">
        <v>34.979999999999997</v>
      </c>
      <c r="F180" s="4">
        <v>118.93</v>
      </c>
      <c r="G180" s="4">
        <v>2.79</v>
      </c>
      <c r="H180" s="4">
        <v>34.520000000000003</v>
      </c>
      <c r="I180" s="4">
        <v>117.01</v>
      </c>
      <c r="J180" s="4">
        <v>2.94</v>
      </c>
      <c r="K180" s="4">
        <v>36.42</v>
      </c>
      <c r="L180" s="4">
        <v>111.17</v>
      </c>
      <c r="M180" s="4">
        <v>2.85</v>
      </c>
    </row>
    <row r="181" spans="1:13" x14ac:dyDescent="0.3">
      <c r="B181" s="3">
        <v>37.229999999999997</v>
      </c>
      <c r="C181" s="3">
        <v>124.23</v>
      </c>
      <c r="D181" s="3">
        <v>2.4500000000000002</v>
      </c>
      <c r="E181" s="3">
        <v>35.520000000000003</v>
      </c>
      <c r="F181" s="3">
        <v>116.78</v>
      </c>
      <c r="G181" s="3">
        <v>2.66</v>
      </c>
      <c r="H181" s="3">
        <v>33.99</v>
      </c>
      <c r="I181" s="3">
        <v>101.84</v>
      </c>
      <c r="J181" s="3">
        <v>2.84</v>
      </c>
      <c r="K181" s="3">
        <v>28.35</v>
      </c>
      <c r="L181" s="3">
        <v>101.72</v>
      </c>
      <c r="M181" s="3">
        <v>3.23</v>
      </c>
    </row>
    <row r="182" spans="1:13" x14ac:dyDescent="0.3">
      <c r="B182" s="4">
        <v>45.05</v>
      </c>
      <c r="C182" s="4">
        <v>131.76</v>
      </c>
      <c r="D182" s="4">
        <v>2.54</v>
      </c>
      <c r="E182" s="4">
        <v>49.19</v>
      </c>
      <c r="F182" s="4">
        <v>146.77000000000001</v>
      </c>
      <c r="G182" s="4">
        <v>2.37</v>
      </c>
      <c r="H182" s="4">
        <v>44.11</v>
      </c>
      <c r="I182" s="4">
        <v>124.21</v>
      </c>
      <c r="J182" s="4">
        <v>2.71</v>
      </c>
      <c r="K182" s="4">
        <v>42.49</v>
      </c>
      <c r="L182" s="4">
        <v>116.82</v>
      </c>
      <c r="M182" s="4">
        <v>2.81</v>
      </c>
    </row>
    <row r="183" spans="1:13" x14ac:dyDescent="0.3">
      <c r="B183" s="3">
        <v>54.14</v>
      </c>
      <c r="C183" s="3">
        <v>124.32</v>
      </c>
      <c r="D183" s="3">
        <v>2.39</v>
      </c>
      <c r="E183" s="3">
        <v>42.98</v>
      </c>
      <c r="F183" s="3">
        <v>109.26</v>
      </c>
      <c r="G183" s="3">
        <v>2.92</v>
      </c>
      <c r="H183" s="3">
        <v>53.06</v>
      </c>
      <c r="I183" s="3">
        <v>131.78</v>
      </c>
      <c r="J183" s="3">
        <v>2.35</v>
      </c>
      <c r="K183" s="3">
        <v>52.31</v>
      </c>
      <c r="L183" s="3">
        <v>118.44</v>
      </c>
      <c r="M183" s="3">
        <v>2.52</v>
      </c>
    </row>
    <row r="184" spans="1:13" x14ac:dyDescent="0.3">
      <c r="B184" s="4">
        <v>48.32</v>
      </c>
      <c r="C184" s="4">
        <v>124.25</v>
      </c>
      <c r="D184" s="4">
        <v>2.5299999999999998</v>
      </c>
      <c r="E184" s="4">
        <v>44.45</v>
      </c>
      <c r="F184" s="4">
        <v>124.18</v>
      </c>
      <c r="G184" s="4">
        <v>2.4900000000000002</v>
      </c>
      <c r="H184" s="4">
        <v>53.22</v>
      </c>
      <c r="I184" s="4">
        <v>131.72</v>
      </c>
      <c r="J184" s="4">
        <v>2.37</v>
      </c>
      <c r="K184" s="4">
        <v>50.98</v>
      </c>
      <c r="L184" s="4">
        <v>139.22</v>
      </c>
      <c r="M184" s="4">
        <v>2.39</v>
      </c>
    </row>
    <row r="186" spans="1:13" x14ac:dyDescent="0.3">
      <c r="A186" s="5" t="s">
        <v>42</v>
      </c>
      <c r="B186" s="5">
        <f>AVERAGE(B149:B184)</f>
        <v>36.856388888888894</v>
      </c>
      <c r="C186" s="5">
        <f t="shared" ref="C186:M186" si="8">AVERAGE(C149:C184)</f>
        <v>124.36583333333334</v>
      </c>
      <c r="D186" s="5">
        <f t="shared" si="8"/>
        <v>2.6886111111111113</v>
      </c>
      <c r="E186" s="5">
        <f t="shared" si="8"/>
        <v>36.726388888888891</v>
      </c>
      <c r="F186" s="5">
        <f t="shared" si="8"/>
        <v>126.8077777777778</v>
      </c>
      <c r="G186" s="5">
        <f t="shared" si="8"/>
        <v>2.6252777777777778</v>
      </c>
      <c r="H186" s="5">
        <f t="shared" si="8"/>
        <v>37.303611111111103</v>
      </c>
      <c r="I186" s="5">
        <f t="shared" si="8"/>
        <v>125.90861111111114</v>
      </c>
      <c r="J186" s="5">
        <f t="shared" si="8"/>
        <v>2.6477777777777778</v>
      </c>
      <c r="K186" s="5">
        <f t="shared" si="8"/>
        <v>37.431666666666665</v>
      </c>
      <c r="L186" s="5">
        <f t="shared" si="8"/>
        <v>129.38916666666665</v>
      </c>
      <c r="M186" s="5">
        <f t="shared" si="8"/>
        <v>2.6141666666666659</v>
      </c>
    </row>
    <row r="187" spans="1:13" x14ac:dyDescent="0.3">
      <c r="A187" s="5" t="s">
        <v>35</v>
      </c>
      <c r="B187" s="5">
        <f>AVERAGE(B186,E186,H186,K186)</f>
        <v>37.07951388888889</v>
      </c>
      <c r="C187" s="5">
        <f t="shared" ref="C187:D187" si="9">AVERAGE(C186,F186,I186,L186)</f>
        <v>126.61784722222224</v>
      </c>
      <c r="D187" s="5">
        <f t="shared" si="9"/>
        <v>2.643958333333333</v>
      </c>
      <c r="E187" s="5"/>
      <c r="F187" s="5"/>
      <c r="G187" s="5"/>
      <c r="H187" s="5"/>
      <c r="I187" s="5"/>
      <c r="J187" s="5"/>
      <c r="K187" s="5"/>
      <c r="L187" s="5"/>
      <c r="M187" s="5"/>
    </row>
    <row r="189" spans="1:13" x14ac:dyDescent="0.3">
      <c r="B189" s="38" t="s">
        <v>6</v>
      </c>
      <c r="C189" s="38"/>
      <c r="D189" s="38"/>
      <c r="E189" s="38"/>
    </row>
    <row r="191" spans="1:13" x14ac:dyDescent="0.3">
      <c r="B191" s="39" t="s">
        <v>17</v>
      </c>
      <c r="C191" s="39"/>
      <c r="D191" s="39"/>
      <c r="E191" s="40" t="s">
        <v>18</v>
      </c>
      <c r="F191" s="40"/>
      <c r="G191" s="40"/>
      <c r="H191" s="41" t="s">
        <v>19</v>
      </c>
      <c r="I191" s="41"/>
      <c r="J191" s="41"/>
      <c r="K191" s="42" t="s">
        <v>20</v>
      </c>
      <c r="L191" s="42"/>
      <c r="M191" s="42"/>
    </row>
    <row r="192" spans="1:13" x14ac:dyDescent="0.3">
      <c r="B192" s="1" t="s">
        <v>21</v>
      </c>
      <c r="C192" s="1" t="s">
        <v>22</v>
      </c>
      <c r="D192" s="1" t="s">
        <v>23</v>
      </c>
      <c r="E192" s="1" t="s">
        <v>21</v>
      </c>
      <c r="F192" s="1" t="s">
        <v>22</v>
      </c>
      <c r="G192" s="1" t="s">
        <v>23</v>
      </c>
      <c r="H192" s="1" t="s">
        <v>21</v>
      </c>
      <c r="I192" s="1" t="s">
        <v>22</v>
      </c>
      <c r="J192" s="1" t="s">
        <v>23</v>
      </c>
      <c r="K192" s="1" t="s">
        <v>21</v>
      </c>
      <c r="L192" s="1" t="s">
        <v>22</v>
      </c>
      <c r="M192" s="1" t="s">
        <v>23</v>
      </c>
    </row>
    <row r="193" spans="2:13" x14ac:dyDescent="0.3">
      <c r="B193" s="3">
        <v>13.72</v>
      </c>
      <c r="C193" s="3">
        <v>42.69</v>
      </c>
      <c r="D193" s="3">
        <v>5.39</v>
      </c>
      <c r="E193" s="3">
        <v>11.58</v>
      </c>
      <c r="F193" s="3">
        <v>31.44</v>
      </c>
      <c r="G193" s="3">
        <v>6.82</v>
      </c>
      <c r="H193" s="3">
        <v>9.39</v>
      </c>
      <c r="I193" s="3">
        <v>23.85</v>
      </c>
      <c r="J193" s="3">
        <v>7.65</v>
      </c>
      <c r="K193" s="3">
        <v>12.03</v>
      </c>
      <c r="L193" s="3">
        <v>27.71</v>
      </c>
      <c r="M193" s="3">
        <v>7.06</v>
      </c>
    </row>
    <row r="194" spans="2:13" x14ac:dyDescent="0.3">
      <c r="B194" s="4">
        <v>10.79</v>
      </c>
      <c r="C194" s="4">
        <v>170.32</v>
      </c>
      <c r="D194" s="4">
        <v>8.25</v>
      </c>
      <c r="E194" s="4">
        <v>9.31</v>
      </c>
      <c r="F194" s="4">
        <v>60.2</v>
      </c>
      <c r="G194" s="4">
        <v>7.7</v>
      </c>
      <c r="H194" s="4">
        <v>8.57</v>
      </c>
      <c r="I194" s="4">
        <v>37.630000000000003</v>
      </c>
      <c r="J194" s="4">
        <v>8.52</v>
      </c>
      <c r="K194" s="4">
        <v>8.1199999999999992</v>
      </c>
      <c r="L194" s="4">
        <v>38.96</v>
      </c>
      <c r="M194" s="4">
        <v>8.14</v>
      </c>
    </row>
    <row r="195" spans="2:13" x14ac:dyDescent="0.3">
      <c r="B195" s="3">
        <v>10.220000000000001</v>
      </c>
      <c r="C195" s="3">
        <v>16.37</v>
      </c>
      <c r="D195" s="3">
        <v>9.57</v>
      </c>
      <c r="E195" s="3">
        <v>10.11</v>
      </c>
      <c r="F195" s="3">
        <v>23.88</v>
      </c>
      <c r="G195" s="3">
        <v>9.0500000000000007</v>
      </c>
      <c r="H195" s="3">
        <v>12.44</v>
      </c>
      <c r="I195" s="3">
        <v>23.97</v>
      </c>
      <c r="J195" s="3">
        <v>9.94</v>
      </c>
      <c r="K195" s="3">
        <v>9.7100000000000009</v>
      </c>
      <c r="L195" s="3">
        <v>16.47</v>
      </c>
      <c r="M195" s="3">
        <v>10.06</v>
      </c>
    </row>
    <row r="196" spans="2:13" x14ac:dyDescent="0.3">
      <c r="B196" s="4">
        <v>9.32</v>
      </c>
      <c r="C196" s="4">
        <v>23.88</v>
      </c>
      <c r="D196" s="4">
        <v>7.9</v>
      </c>
      <c r="E196" s="4">
        <v>9.44</v>
      </c>
      <c r="F196" s="4">
        <v>23.82</v>
      </c>
      <c r="G196" s="4">
        <v>9.25</v>
      </c>
      <c r="H196" s="4">
        <v>10.67</v>
      </c>
      <c r="I196" s="4">
        <v>21.39</v>
      </c>
      <c r="J196" s="4">
        <v>8.73</v>
      </c>
      <c r="K196" s="4">
        <v>10.51</v>
      </c>
      <c r="L196" s="4">
        <v>23.87</v>
      </c>
      <c r="M196" s="4">
        <v>8.52</v>
      </c>
    </row>
    <row r="197" spans="2:13" x14ac:dyDescent="0.3">
      <c r="B197" s="3">
        <v>15.09</v>
      </c>
      <c r="C197" s="3">
        <v>31.31</v>
      </c>
      <c r="D197" s="3">
        <v>6.2</v>
      </c>
      <c r="E197" s="3">
        <v>15.29</v>
      </c>
      <c r="F197" s="3">
        <v>38.96</v>
      </c>
      <c r="G197" s="3">
        <v>6</v>
      </c>
      <c r="H197" s="3">
        <v>13.24</v>
      </c>
      <c r="I197" s="3">
        <v>39.72</v>
      </c>
      <c r="J197" s="3">
        <v>6.29</v>
      </c>
      <c r="K197" s="3">
        <v>13.7</v>
      </c>
      <c r="L197" s="3">
        <v>44.92</v>
      </c>
      <c r="M197" s="3">
        <v>6.37</v>
      </c>
    </row>
    <row r="198" spans="2:13" x14ac:dyDescent="0.3">
      <c r="B198" s="4">
        <v>10.87</v>
      </c>
      <c r="C198" s="4">
        <v>16.309999999999999</v>
      </c>
      <c r="D198" s="4">
        <v>8.48</v>
      </c>
      <c r="E198" s="4">
        <v>12.86</v>
      </c>
      <c r="F198" s="4">
        <v>9.08</v>
      </c>
      <c r="G198" s="4">
        <v>9.91</v>
      </c>
      <c r="H198" s="4">
        <v>10.93</v>
      </c>
      <c r="I198" s="4">
        <v>0</v>
      </c>
      <c r="J198" s="4">
        <v>8.59</v>
      </c>
      <c r="K198" s="4">
        <v>10.41</v>
      </c>
      <c r="L198" s="4">
        <v>16.43</v>
      </c>
      <c r="M198" s="4">
        <v>8.8800000000000008</v>
      </c>
    </row>
    <row r="199" spans="2:13" x14ac:dyDescent="0.3">
      <c r="B199" s="3">
        <v>11.04</v>
      </c>
      <c r="C199" s="3">
        <v>39.01</v>
      </c>
      <c r="D199" s="3">
        <v>7.3</v>
      </c>
      <c r="E199" s="3">
        <v>20.75</v>
      </c>
      <c r="F199" s="3">
        <v>72.760000000000005</v>
      </c>
      <c r="G199" s="3">
        <v>5.23</v>
      </c>
      <c r="H199" s="3">
        <v>10.6</v>
      </c>
      <c r="I199" s="3">
        <v>32.57</v>
      </c>
      <c r="J199" s="3">
        <v>7.73</v>
      </c>
      <c r="K199" s="3">
        <v>13.09</v>
      </c>
      <c r="L199" s="3">
        <v>53.83</v>
      </c>
      <c r="M199" s="3">
        <v>7.17</v>
      </c>
    </row>
    <row r="200" spans="2:13" x14ac:dyDescent="0.3">
      <c r="B200" s="4">
        <v>8.61</v>
      </c>
      <c r="C200" s="4">
        <v>23.9</v>
      </c>
      <c r="D200" s="4">
        <v>8.7200000000000006</v>
      </c>
      <c r="E200" s="4">
        <v>9.1199999999999992</v>
      </c>
      <c r="F200" s="4">
        <v>54.05</v>
      </c>
      <c r="G200" s="4">
        <v>8.02</v>
      </c>
      <c r="H200" s="4">
        <v>9.73</v>
      </c>
      <c r="I200" s="4">
        <v>23.87</v>
      </c>
      <c r="J200" s="4">
        <v>8.41</v>
      </c>
      <c r="K200" s="4">
        <v>9.69</v>
      </c>
      <c r="L200" s="4">
        <v>24.06</v>
      </c>
      <c r="M200" s="4">
        <v>8.74</v>
      </c>
    </row>
    <row r="201" spans="2:13" x14ac:dyDescent="0.3">
      <c r="B201" s="3">
        <v>6.71</v>
      </c>
      <c r="C201" s="3">
        <v>23.91</v>
      </c>
      <c r="D201" s="3">
        <v>8.6999999999999993</v>
      </c>
      <c r="E201" s="3">
        <v>9.16</v>
      </c>
      <c r="F201" s="3">
        <v>46.62</v>
      </c>
      <c r="G201" s="3">
        <v>8.09</v>
      </c>
      <c r="H201" s="3">
        <v>9.61</v>
      </c>
      <c r="I201" s="3">
        <v>31.5</v>
      </c>
      <c r="J201" s="3">
        <v>8.52</v>
      </c>
      <c r="K201" s="3">
        <v>9.51</v>
      </c>
      <c r="L201" s="3">
        <v>35.17</v>
      </c>
      <c r="M201" s="3">
        <v>7.87</v>
      </c>
    </row>
    <row r="202" spans="2:13" x14ac:dyDescent="0.3">
      <c r="B202" s="4">
        <v>14.78</v>
      </c>
      <c r="C202" s="4">
        <v>169.04</v>
      </c>
      <c r="D202" s="4">
        <v>6.08</v>
      </c>
      <c r="E202" s="4">
        <v>12.61</v>
      </c>
      <c r="F202" s="4">
        <v>35.17</v>
      </c>
      <c r="G202" s="4">
        <v>7.61</v>
      </c>
      <c r="H202" s="4">
        <v>12.61</v>
      </c>
      <c r="I202" s="4">
        <v>8.94</v>
      </c>
      <c r="J202" s="4">
        <v>8.09</v>
      </c>
      <c r="K202" s="4">
        <v>12.46</v>
      </c>
      <c r="L202" s="4">
        <v>35.17</v>
      </c>
      <c r="M202" s="4">
        <v>7.09</v>
      </c>
    </row>
    <row r="203" spans="2:13" x14ac:dyDescent="0.3">
      <c r="B203" s="3">
        <v>9.58</v>
      </c>
      <c r="C203" s="3">
        <v>24.53</v>
      </c>
      <c r="D203" s="3">
        <v>9.52</v>
      </c>
      <c r="E203" s="3">
        <v>9.4600000000000009</v>
      </c>
      <c r="F203" s="3">
        <v>24.57</v>
      </c>
      <c r="G203" s="3">
        <v>9.4700000000000006</v>
      </c>
      <c r="H203" s="3">
        <v>7.08</v>
      </c>
      <c r="I203" s="3">
        <v>24.22</v>
      </c>
      <c r="J203" s="3">
        <v>9.14</v>
      </c>
      <c r="K203" s="3">
        <v>8.0299999999999994</v>
      </c>
      <c r="L203" s="3">
        <v>8.84</v>
      </c>
      <c r="M203" s="3">
        <v>10.02</v>
      </c>
    </row>
    <row r="204" spans="2:13" x14ac:dyDescent="0.3">
      <c r="B204" s="4">
        <v>8.44</v>
      </c>
      <c r="C204" s="4">
        <v>16.37</v>
      </c>
      <c r="D204" s="4">
        <v>8.5500000000000007</v>
      </c>
      <c r="E204" s="4">
        <v>8.64</v>
      </c>
      <c r="F204" s="4">
        <v>9.0500000000000007</v>
      </c>
      <c r="G204" s="4">
        <v>9.17</v>
      </c>
      <c r="H204" s="4">
        <v>10.24</v>
      </c>
      <c r="I204" s="4">
        <v>9.0299999999999994</v>
      </c>
      <c r="J204" s="4">
        <v>8.76</v>
      </c>
      <c r="K204" s="4">
        <v>9.25</v>
      </c>
      <c r="L204" s="4">
        <v>8.9499999999999993</v>
      </c>
      <c r="M204" s="4">
        <v>11.28</v>
      </c>
    </row>
    <row r="205" spans="2:13" x14ac:dyDescent="0.3">
      <c r="B205" s="3">
        <v>9.67</v>
      </c>
      <c r="C205" s="3">
        <v>46.12</v>
      </c>
      <c r="D205" s="3">
        <v>7.79</v>
      </c>
      <c r="E205" s="3">
        <v>9.6999999999999993</v>
      </c>
      <c r="F205" s="3">
        <v>38.61</v>
      </c>
      <c r="G205" s="3">
        <v>7.9</v>
      </c>
      <c r="H205" s="3">
        <v>9.4600000000000009</v>
      </c>
      <c r="I205" s="3">
        <v>38.61</v>
      </c>
      <c r="J205" s="3">
        <v>7.71</v>
      </c>
      <c r="K205" s="3">
        <v>8.44</v>
      </c>
      <c r="L205" s="3">
        <v>31.12</v>
      </c>
      <c r="M205" s="3">
        <v>8.24</v>
      </c>
    </row>
    <row r="206" spans="2:13" x14ac:dyDescent="0.3">
      <c r="B206" s="4">
        <v>10.92</v>
      </c>
      <c r="C206" s="4">
        <v>187.5</v>
      </c>
      <c r="D206" s="4">
        <v>7.14</v>
      </c>
      <c r="E206" s="4">
        <v>11.13</v>
      </c>
      <c r="F206" s="4">
        <v>187.51</v>
      </c>
      <c r="G206" s="4">
        <v>7.59</v>
      </c>
      <c r="H206" s="4">
        <v>10.199999999999999</v>
      </c>
      <c r="I206" s="4">
        <v>38.58</v>
      </c>
      <c r="J206" s="4">
        <v>7.8</v>
      </c>
      <c r="K206" s="4">
        <v>10.67</v>
      </c>
      <c r="L206" s="4">
        <v>187.5</v>
      </c>
      <c r="M206" s="4">
        <v>7.54</v>
      </c>
    </row>
    <row r="207" spans="2:13" x14ac:dyDescent="0.3">
      <c r="B207" s="3">
        <v>7.61</v>
      </c>
      <c r="C207" s="3">
        <v>23.7</v>
      </c>
      <c r="D207" s="3">
        <v>8.48</v>
      </c>
      <c r="E207" s="3">
        <v>8.77</v>
      </c>
      <c r="F207" s="3">
        <v>38.61</v>
      </c>
      <c r="G207" s="3">
        <v>9.19</v>
      </c>
      <c r="H207" s="3">
        <v>8.01</v>
      </c>
      <c r="I207" s="3">
        <v>31.18</v>
      </c>
      <c r="J207" s="3">
        <v>9.24</v>
      </c>
      <c r="K207" s="3">
        <v>9.85</v>
      </c>
      <c r="L207" s="3">
        <v>23.63</v>
      </c>
      <c r="M207" s="3">
        <v>10.19</v>
      </c>
    </row>
    <row r="208" spans="2:13" x14ac:dyDescent="0.3">
      <c r="B208" s="4">
        <v>8.4600000000000009</v>
      </c>
      <c r="C208" s="4">
        <v>30.5</v>
      </c>
      <c r="D208" s="4">
        <v>8.3800000000000008</v>
      </c>
      <c r="E208" s="4">
        <v>8.0299999999999994</v>
      </c>
      <c r="F208" s="4">
        <v>38.56</v>
      </c>
      <c r="G208" s="4">
        <v>8.77</v>
      </c>
      <c r="H208" s="4">
        <v>10.41</v>
      </c>
      <c r="I208" s="4">
        <v>38.630000000000003</v>
      </c>
      <c r="J208" s="4">
        <v>7.7</v>
      </c>
      <c r="K208" s="4">
        <v>9.57</v>
      </c>
      <c r="L208" s="4">
        <v>31.18</v>
      </c>
      <c r="M208" s="4">
        <v>8.15</v>
      </c>
    </row>
    <row r="209" spans="1:13" x14ac:dyDescent="0.3">
      <c r="B209" s="3">
        <v>9.67</v>
      </c>
      <c r="C209" s="3">
        <v>46.21</v>
      </c>
      <c r="D209" s="3">
        <v>7.86</v>
      </c>
      <c r="E209" s="3">
        <v>12.08</v>
      </c>
      <c r="F209" s="3">
        <v>46.1</v>
      </c>
      <c r="G209" s="3">
        <v>7.06</v>
      </c>
      <c r="H209" s="3">
        <v>11.69</v>
      </c>
      <c r="I209" s="3">
        <v>53.65</v>
      </c>
      <c r="J209" s="3">
        <v>7.24</v>
      </c>
      <c r="K209" s="3">
        <v>8.7100000000000009</v>
      </c>
      <c r="L209" s="3">
        <v>53.69</v>
      </c>
      <c r="M209" s="3">
        <v>8.1300000000000008</v>
      </c>
    </row>
    <row r="210" spans="1:13" x14ac:dyDescent="0.3">
      <c r="B210" s="4">
        <v>7.3</v>
      </c>
      <c r="C210" s="4">
        <v>187.5</v>
      </c>
      <c r="D210" s="4">
        <v>7.41</v>
      </c>
      <c r="E210" s="4">
        <v>8.26</v>
      </c>
      <c r="F210" s="4">
        <v>178.67</v>
      </c>
      <c r="G210" s="4">
        <v>7.25</v>
      </c>
      <c r="H210" s="4">
        <v>9.2100000000000009</v>
      </c>
      <c r="I210" s="4">
        <v>187.5</v>
      </c>
      <c r="J210" s="4">
        <v>9.34</v>
      </c>
      <c r="K210" s="4">
        <v>10.130000000000001</v>
      </c>
      <c r="L210" s="4">
        <v>177.7</v>
      </c>
      <c r="M210" s="4">
        <v>7.87</v>
      </c>
    </row>
    <row r="211" spans="1:13" x14ac:dyDescent="0.3">
      <c r="B211" s="3">
        <v>8.42</v>
      </c>
      <c r="C211" s="3">
        <v>46.25</v>
      </c>
      <c r="D211" s="3">
        <v>8.4600000000000009</v>
      </c>
      <c r="E211" s="3">
        <v>10.28</v>
      </c>
      <c r="F211" s="3">
        <v>53.59</v>
      </c>
      <c r="G211" s="3">
        <v>7.46</v>
      </c>
      <c r="H211" s="3">
        <v>7.34</v>
      </c>
      <c r="I211" s="3">
        <v>37.14</v>
      </c>
      <c r="J211" s="3">
        <v>8.76</v>
      </c>
      <c r="K211" s="3">
        <v>9.65</v>
      </c>
      <c r="L211" s="3">
        <v>53.85</v>
      </c>
      <c r="M211" s="3">
        <v>7.04</v>
      </c>
    </row>
    <row r="212" spans="1:13" x14ac:dyDescent="0.3">
      <c r="B212" s="4">
        <v>10.84</v>
      </c>
      <c r="C212" s="4">
        <v>187.5</v>
      </c>
      <c r="D212" s="4">
        <v>7.92</v>
      </c>
      <c r="E212" s="4">
        <v>9.86</v>
      </c>
      <c r="F212" s="4">
        <v>177.97</v>
      </c>
      <c r="G212" s="4">
        <v>9.4</v>
      </c>
      <c r="H212" s="4">
        <v>9.82</v>
      </c>
      <c r="I212" s="4">
        <v>187.5</v>
      </c>
      <c r="J212" s="4">
        <v>9.94</v>
      </c>
      <c r="K212" s="4">
        <v>8.25</v>
      </c>
      <c r="L212" s="4">
        <v>185.24</v>
      </c>
      <c r="M212" s="4">
        <v>8.68</v>
      </c>
    </row>
    <row r="213" spans="1:13" x14ac:dyDescent="0.3">
      <c r="B213" s="3">
        <v>6.11</v>
      </c>
      <c r="C213" s="3">
        <v>31.15</v>
      </c>
      <c r="D213" s="3">
        <v>9.5</v>
      </c>
      <c r="E213" s="3">
        <v>8.17</v>
      </c>
      <c r="F213" s="3">
        <v>31.08</v>
      </c>
      <c r="G213" s="3">
        <v>8.56</v>
      </c>
      <c r="H213" s="3">
        <v>8.32</v>
      </c>
      <c r="I213" s="3">
        <v>31.19</v>
      </c>
      <c r="J213" s="3">
        <v>7.04</v>
      </c>
      <c r="K213" s="3">
        <v>8.85</v>
      </c>
      <c r="L213" s="3">
        <v>23.63</v>
      </c>
      <c r="M213" s="3">
        <v>10.199999999999999</v>
      </c>
    </row>
    <row r="214" spans="1:13" x14ac:dyDescent="0.3">
      <c r="B214" s="4">
        <v>10.24</v>
      </c>
      <c r="C214" s="4">
        <v>187.51</v>
      </c>
      <c r="D214" s="4">
        <v>7.93</v>
      </c>
      <c r="E214" s="4">
        <v>10.25</v>
      </c>
      <c r="F214" s="4">
        <v>187.5</v>
      </c>
      <c r="G214" s="4">
        <v>8.6199999999999992</v>
      </c>
      <c r="H214" s="4">
        <v>9.7799999999999994</v>
      </c>
      <c r="I214" s="4">
        <v>23.61</v>
      </c>
      <c r="J214" s="4">
        <v>7.59</v>
      </c>
      <c r="K214" s="4">
        <v>10.26</v>
      </c>
      <c r="L214" s="4">
        <v>187.5</v>
      </c>
      <c r="M214" s="4">
        <v>7.12</v>
      </c>
    </row>
    <row r="215" spans="1:13" x14ac:dyDescent="0.3">
      <c r="B215" s="3">
        <v>8.65</v>
      </c>
      <c r="C215" s="3">
        <v>31.56</v>
      </c>
      <c r="D215" s="3">
        <v>7.19</v>
      </c>
      <c r="E215" s="3">
        <v>7.24</v>
      </c>
      <c r="F215" s="3">
        <v>31.08</v>
      </c>
      <c r="G215" s="3">
        <v>7.32</v>
      </c>
      <c r="H215" s="3">
        <v>9.77</v>
      </c>
      <c r="I215" s="3">
        <v>187.5</v>
      </c>
      <c r="J215" s="3">
        <v>7.54</v>
      </c>
      <c r="K215" s="3">
        <v>9.57</v>
      </c>
      <c r="L215" s="3">
        <v>29.41</v>
      </c>
      <c r="M215" s="3">
        <v>9.5500000000000007</v>
      </c>
    </row>
    <row r="216" spans="1:13" x14ac:dyDescent="0.3">
      <c r="B216" s="4">
        <v>7.57</v>
      </c>
      <c r="C216" s="4">
        <v>29.08</v>
      </c>
      <c r="D216" s="4">
        <v>7.97</v>
      </c>
      <c r="E216" s="4">
        <v>8.48</v>
      </c>
      <c r="F216" s="4">
        <v>23.59</v>
      </c>
      <c r="G216" s="4">
        <v>7.94</v>
      </c>
      <c r="H216" s="4">
        <v>8.7799999999999994</v>
      </c>
      <c r="I216" s="4">
        <v>23.66</v>
      </c>
      <c r="J216" s="4">
        <v>8.4700000000000006</v>
      </c>
      <c r="K216" s="4">
        <v>7.53</v>
      </c>
      <c r="L216" s="4">
        <v>23.64</v>
      </c>
      <c r="M216" s="4">
        <v>9.58</v>
      </c>
    </row>
    <row r="218" spans="1:13" x14ac:dyDescent="0.3">
      <c r="A218" s="5" t="s">
        <v>42</v>
      </c>
      <c r="B218" s="5">
        <f>AVERAGE(B193:B216)</f>
        <v>9.776250000000001</v>
      </c>
      <c r="C218" s="5">
        <f t="shared" ref="C218:M218" si="10">AVERAGE(C193:C216)</f>
        <v>68.009166666666673</v>
      </c>
      <c r="D218" s="5">
        <f>AVERAGE(D193:D216)</f>
        <v>7.9454166666666666</v>
      </c>
      <c r="E218" s="5">
        <f>AVERAGE(E193:E216)</f>
        <v>10.440833333333332</v>
      </c>
      <c r="F218" s="5">
        <f t="shared" si="10"/>
        <v>60.936249999999994</v>
      </c>
      <c r="G218" s="5">
        <f t="shared" si="10"/>
        <v>8.057500000000001</v>
      </c>
      <c r="H218" s="5">
        <f t="shared" si="10"/>
        <v>9.9124999999999996</v>
      </c>
      <c r="I218" s="5">
        <f t="shared" si="10"/>
        <v>48.143333333333338</v>
      </c>
      <c r="J218" s="5">
        <f t="shared" si="10"/>
        <v>8.2808333333333319</v>
      </c>
      <c r="K218" s="5">
        <f t="shared" si="10"/>
        <v>9.916249999999998</v>
      </c>
      <c r="L218" s="5">
        <f t="shared" si="10"/>
        <v>55.936250000000008</v>
      </c>
      <c r="M218" s="5">
        <f t="shared" si="10"/>
        <v>8.4787499999999998</v>
      </c>
    </row>
    <row r="219" spans="1:13" x14ac:dyDescent="0.3">
      <c r="A219" s="5" t="s">
        <v>35</v>
      </c>
      <c r="B219" s="5">
        <f>AVERAGE(B218,E218,H218,K218)</f>
        <v>10.011458333333334</v>
      </c>
      <c r="C219" s="5">
        <f>AVERAGE(C218,F218,I218,L218)</f>
        <v>58.256250000000001</v>
      </c>
      <c r="D219" s="5">
        <f>AVERAGE(D218,G218,J218,M218)</f>
        <v>8.1906249999999989</v>
      </c>
      <c r="E219" s="5"/>
      <c r="F219" s="5"/>
      <c r="G219" s="5"/>
      <c r="H219" s="5"/>
      <c r="I219" s="5"/>
      <c r="J219" s="5"/>
      <c r="K219" s="5"/>
      <c r="L219" s="5"/>
      <c r="M219" s="5"/>
    </row>
    <row r="221" spans="1:13" x14ac:dyDescent="0.3">
      <c r="B221" s="38" t="s">
        <v>8</v>
      </c>
      <c r="C221" s="38"/>
      <c r="D221" s="38"/>
      <c r="E221" s="38"/>
    </row>
    <row r="223" spans="1:13" x14ac:dyDescent="0.3">
      <c r="B223" s="39" t="s">
        <v>17</v>
      </c>
      <c r="C223" s="39"/>
      <c r="D223" s="39"/>
      <c r="E223" s="40" t="s">
        <v>18</v>
      </c>
      <c r="F223" s="40"/>
      <c r="G223" s="40"/>
      <c r="H223" s="41" t="s">
        <v>19</v>
      </c>
      <c r="I223" s="41"/>
      <c r="J223" s="41"/>
      <c r="K223" s="42" t="s">
        <v>20</v>
      </c>
      <c r="L223" s="42"/>
      <c r="M223" s="42"/>
    </row>
    <row r="224" spans="1:13" x14ac:dyDescent="0.3">
      <c r="B224" s="1" t="s">
        <v>21</v>
      </c>
      <c r="C224" s="1" t="s">
        <v>22</v>
      </c>
      <c r="D224" s="1" t="s">
        <v>23</v>
      </c>
      <c r="E224" s="1" t="s">
        <v>21</v>
      </c>
      <c r="F224" s="1" t="s">
        <v>22</v>
      </c>
      <c r="G224" s="1" t="s">
        <v>23</v>
      </c>
      <c r="H224" s="1" t="s">
        <v>21</v>
      </c>
      <c r="I224" s="1" t="s">
        <v>22</v>
      </c>
      <c r="J224" s="1" t="s">
        <v>23</v>
      </c>
      <c r="K224" s="1" t="s">
        <v>21</v>
      </c>
      <c r="L224" s="1" t="s">
        <v>22</v>
      </c>
      <c r="M224" s="1" t="s">
        <v>23</v>
      </c>
    </row>
    <row r="225" spans="1:13" x14ac:dyDescent="0.3">
      <c r="A225" t="s">
        <v>27</v>
      </c>
      <c r="B225" s="3">
        <v>30.7</v>
      </c>
      <c r="C225" s="3">
        <v>57.07</v>
      </c>
      <c r="D225" s="3">
        <v>4.54</v>
      </c>
      <c r="E225" s="3">
        <v>32.5</v>
      </c>
      <c r="F225" s="3">
        <v>56.91</v>
      </c>
      <c r="G225" s="3">
        <v>4.49</v>
      </c>
      <c r="H225" s="3">
        <v>22.85</v>
      </c>
      <c r="I225" s="3">
        <v>49.38</v>
      </c>
      <c r="J225" s="3">
        <v>5.37</v>
      </c>
      <c r="K225" s="3">
        <v>22.84</v>
      </c>
      <c r="L225" s="3">
        <v>56.95</v>
      </c>
      <c r="M225" s="3">
        <v>5.33</v>
      </c>
    </row>
    <row r="226" spans="1:13" x14ac:dyDescent="0.3">
      <c r="B226" s="4">
        <v>5.9</v>
      </c>
      <c r="C226" s="4">
        <v>19.39</v>
      </c>
      <c r="D226" s="4">
        <v>11.67</v>
      </c>
      <c r="E226" s="4">
        <v>6.97</v>
      </c>
      <c r="F226" s="4">
        <v>26.95</v>
      </c>
      <c r="G226" s="4">
        <v>11.23</v>
      </c>
      <c r="H226" s="4">
        <v>7.3</v>
      </c>
      <c r="I226" s="4">
        <v>34.44</v>
      </c>
      <c r="J226" s="4">
        <v>10.97</v>
      </c>
      <c r="K226" s="4">
        <v>9.35</v>
      </c>
      <c r="L226" s="4">
        <v>26.99</v>
      </c>
      <c r="M226" s="4">
        <v>10.27</v>
      </c>
    </row>
    <row r="227" spans="1:13" x14ac:dyDescent="0.3">
      <c r="B227" s="3">
        <v>7.39</v>
      </c>
      <c r="C227" s="3">
        <v>12.11</v>
      </c>
      <c r="D227" s="3">
        <v>11.02</v>
      </c>
      <c r="E227" s="3">
        <v>9.67</v>
      </c>
      <c r="F227" s="3">
        <v>19.37</v>
      </c>
      <c r="G227" s="3">
        <v>10.199999999999999</v>
      </c>
      <c r="H227" s="3">
        <v>7.47</v>
      </c>
      <c r="I227" s="3">
        <v>12.04</v>
      </c>
      <c r="J227" s="3">
        <v>11.45</v>
      </c>
      <c r="K227" s="3">
        <v>8.31</v>
      </c>
      <c r="L227" s="3">
        <v>12.02</v>
      </c>
      <c r="M227" s="3">
        <v>10.96</v>
      </c>
    </row>
    <row r="228" spans="1:13" x14ac:dyDescent="0.3">
      <c r="B228" s="4">
        <v>8.1300000000000008</v>
      </c>
      <c r="C228" s="4">
        <v>21.04</v>
      </c>
      <c r="D228" s="4">
        <v>10.63</v>
      </c>
      <c r="E228" s="4">
        <v>10.06</v>
      </c>
      <c r="F228" s="4">
        <v>21.31</v>
      </c>
      <c r="G228" s="4">
        <v>11.63</v>
      </c>
      <c r="H228" s="4">
        <v>4.3099999999999996</v>
      </c>
      <c r="I228" s="4">
        <v>21.14</v>
      </c>
      <c r="J228" s="4">
        <v>10.45</v>
      </c>
      <c r="K228" s="4">
        <v>2.93</v>
      </c>
      <c r="L228" s="4">
        <v>28.69</v>
      </c>
      <c r="M228" s="4">
        <v>10.67</v>
      </c>
    </row>
    <row r="229" spans="1:13" x14ac:dyDescent="0.3">
      <c r="B229" s="3">
        <v>9.8699999999999992</v>
      </c>
      <c r="C229" s="3">
        <v>41.99</v>
      </c>
      <c r="D229" s="3">
        <v>9.07</v>
      </c>
      <c r="E229" s="3">
        <v>12.79</v>
      </c>
      <c r="F229" s="3">
        <v>34.61</v>
      </c>
      <c r="G229" s="3">
        <v>8.9700000000000006</v>
      </c>
      <c r="H229" s="3">
        <v>14.1</v>
      </c>
      <c r="I229" s="3">
        <v>41.95</v>
      </c>
      <c r="J229" s="3">
        <v>8.34</v>
      </c>
      <c r="K229" s="3">
        <v>15.01</v>
      </c>
      <c r="L229" s="3">
        <v>49.64</v>
      </c>
      <c r="M229" s="3">
        <v>8.5399999999999991</v>
      </c>
    </row>
    <row r="230" spans="1:13" x14ac:dyDescent="0.3">
      <c r="B230" s="4">
        <v>20.64</v>
      </c>
      <c r="C230" s="4">
        <v>49.45</v>
      </c>
      <c r="D230" s="4">
        <v>6</v>
      </c>
      <c r="E230" s="4">
        <v>20.6</v>
      </c>
      <c r="F230" s="4">
        <v>49.5</v>
      </c>
      <c r="G230" s="4">
        <v>6.21</v>
      </c>
      <c r="H230" s="4">
        <v>19.98</v>
      </c>
      <c r="I230" s="4">
        <v>64.489999999999995</v>
      </c>
      <c r="J230" s="4">
        <v>5.74</v>
      </c>
      <c r="K230" s="4">
        <v>18.38</v>
      </c>
      <c r="L230" s="4">
        <v>42.33</v>
      </c>
      <c r="M230" s="4">
        <v>6.32</v>
      </c>
    </row>
    <row r="231" spans="1:13" x14ac:dyDescent="0.3">
      <c r="B231" s="3">
        <v>15.87</v>
      </c>
      <c r="C231" s="3">
        <v>51.15</v>
      </c>
      <c r="D231" s="3">
        <v>6.33</v>
      </c>
      <c r="E231" s="3">
        <v>19.82</v>
      </c>
      <c r="F231" s="3">
        <v>72.040000000000006</v>
      </c>
      <c r="G231" s="3">
        <v>5.94</v>
      </c>
      <c r="H231" s="3">
        <v>13.39</v>
      </c>
      <c r="I231" s="3">
        <v>49.52</v>
      </c>
      <c r="J231" s="3">
        <v>7.33</v>
      </c>
      <c r="K231" s="3">
        <v>15.56</v>
      </c>
      <c r="L231" s="3">
        <v>72.12</v>
      </c>
      <c r="M231" s="3">
        <v>6.3</v>
      </c>
    </row>
    <row r="232" spans="1:13" x14ac:dyDescent="0.3">
      <c r="B232" s="4">
        <v>14.33</v>
      </c>
      <c r="C232" s="4">
        <v>19.97</v>
      </c>
      <c r="D232" s="4">
        <v>7.66</v>
      </c>
      <c r="E232" s="4">
        <v>15.34</v>
      </c>
      <c r="F232" s="4">
        <v>19.420000000000002</v>
      </c>
      <c r="G232" s="4">
        <v>7.11</v>
      </c>
      <c r="H232" s="4">
        <v>9.77</v>
      </c>
      <c r="I232" s="4">
        <v>26.95</v>
      </c>
      <c r="J232" s="4">
        <v>9.14</v>
      </c>
      <c r="K232" s="4">
        <v>7.1</v>
      </c>
      <c r="L232" s="4">
        <v>11.94</v>
      </c>
      <c r="M232" s="4">
        <v>11.9</v>
      </c>
    </row>
    <row r="233" spans="1:13" x14ac:dyDescent="0.3">
      <c r="B233" s="3">
        <v>14.09</v>
      </c>
      <c r="C233" s="3">
        <v>23.51</v>
      </c>
      <c r="D233" s="3">
        <v>8.84</v>
      </c>
      <c r="E233" s="3">
        <v>15.86</v>
      </c>
      <c r="F233" s="3">
        <v>13.42</v>
      </c>
      <c r="G233" s="3">
        <v>8.5500000000000007</v>
      </c>
      <c r="H233" s="3">
        <v>2.6</v>
      </c>
      <c r="I233" s="3">
        <v>19.670000000000002</v>
      </c>
      <c r="J233" s="3">
        <v>8.25</v>
      </c>
      <c r="K233" s="3">
        <v>2.92</v>
      </c>
      <c r="L233" s="3">
        <v>13.1</v>
      </c>
      <c r="M233" s="3">
        <v>7.45</v>
      </c>
    </row>
    <row r="234" spans="1:13" x14ac:dyDescent="0.3">
      <c r="B234" s="4">
        <v>16.420000000000002</v>
      </c>
      <c r="C234" s="4">
        <v>34.42</v>
      </c>
      <c r="D234" s="4">
        <v>7.86</v>
      </c>
      <c r="E234" s="4">
        <v>18.95</v>
      </c>
      <c r="F234" s="4">
        <v>42.02</v>
      </c>
      <c r="G234" s="4">
        <v>7.54</v>
      </c>
      <c r="H234" s="4">
        <v>9.1300000000000008</v>
      </c>
      <c r="I234" s="4">
        <v>41.98</v>
      </c>
      <c r="J234" s="4">
        <v>7.25</v>
      </c>
      <c r="K234" s="4">
        <v>8.6199999999999992</v>
      </c>
      <c r="L234" s="4">
        <v>49.43</v>
      </c>
      <c r="M234" s="4">
        <v>8.64</v>
      </c>
    </row>
    <row r="235" spans="1:13" x14ac:dyDescent="0.3">
      <c r="B235" s="3">
        <v>20.010000000000002</v>
      </c>
      <c r="C235" s="3">
        <v>49.4</v>
      </c>
      <c r="D235" s="3">
        <v>5.1100000000000003</v>
      </c>
      <c r="E235" s="3">
        <v>19.579999999999998</v>
      </c>
      <c r="F235" s="3">
        <v>49.43</v>
      </c>
      <c r="G235" s="3">
        <v>5.6</v>
      </c>
      <c r="H235" s="3">
        <v>20.92</v>
      </c>
      <c r="I235" s="3">
        <v>56.94</v>
      </c>
      <c r="J235" s="3">
        <v>5.23</v>
      </c>
      <c r="K235" s="3">
        <v>20.010000000000002</v>
      </c>
      <c r="L235" s="3">
        <v>49.47</v>
      </c>
      <c r="M235" s="3">
        <v>5.71</v>
      </c>
    </row>
    <row r="236" spans="1:13" x14ac:dyDescent="0.3">
      <c r="B236" s="4">
        <v>17.079999999999998</v>
      </c>
      <c r="C236" s="4">
        <v>58.35</v>
      </c>
      <c r="D236" s="4">
        <v>7.42</v>
      </c>
      <c r="E236" s="4">
        <v>17.16</v>
      </c>
      <c r="F236" s="4">
        <v>64.48</v>
      </c>
      <c r="G236" s="4">
        <v>6.66</v>
      </c>
      <c r="H236" s="4">
        <v>15.63</v>
      </c>
      <c r="I236" s="4">
        <v>57.05</v>
      </c>
      <c r="J236" s="4">
        <v>7.08</v>
      </c>
      <c r="K236" s="4">
        <v>19.04</v>
      </c>
      <c r="L236" s="4">
        <v>64.599999999999994</v>
      </c>
      <c r="M236" s="4">
        <v>6.66</v>
      </c>
    </row>
    <row r="237" spans="1:13" x14ac:dyDescent="0.3">
      <c r="B237" s="3">
        <v>35.61</v>
      </c>
      <c r="C237" s="3">
        <v>64.599999999999994</v>
      </c>
      <c r="D237" s="3">
        <v>4.74</v>
      </c>
      <c r="E237" s="3">
        <v>34.97</v>
      </c>
      <c r="F237" s="3">
        <v>64.33</v>
      </c>
      <c r="G237" s="3">
        <v>5.0599999999999996</v>
      </c>
      <c r="H237" s="3">
        <v>28.63</v>
      </c>
      <c r="I237" s="3">
        <v>57.09</v>
      </c>
      <c r="J237" s="3">
        <v>5.4</v>
      </c>
      <c r="K237" s="3">
        <v>30.87</v>
      </c>
      <c r="L237" s="3">
        <v>72.06</v>
      </c>
      <c r="M237" s="3">
        <v>5.0199999999999996</v>
      </c>
    </row>
    <row r="238" spans="1:13" x14ac:dyDescent="0.3">
      <c r="B238" s="4">
        <v>18.55</v>
      </c>
      <c r="C238" s="4">
        <v>46.99</v>
      </c>
      <c r="D238" s="4">
        <v>7.46</v>
      </c>
      <c r="E238" s="4">
        <v>19.649999999999999</v>
      </c>
      <c r="F238" s="4">
        <v>57.51</v>
      </c>
      <c r="G238" s="4">
        <v>9.66</v>
      </c>
      <c r="H238" s="4">
        <v>9.56</v>
      </c>
      <c r="I238" s="4">
        <v>42.13</v>
      </c>
      <c r="J238" s="4">
        <v>7.57</v>
      </c>
      <c r="K238" s="4">
        <v>12.57</v>
      </c>
      <c r="L238" s="4">
        <v>34.520000000000003</v>
      </c>
      <c r="M238" s="4">
        <v>7.88</v>
      </c>
    </row>
    <row r="239" spans="1:13" x14ac:dyDescent="0.3">
      <c r="B239" s="3">
        <v>17.25</v>
      </c>
      <c r="C239" s="3">
        <v>42.21</v>
      </c>
      <c r="D239" s="3">
        <v>9.06</v>
      </c>
      <c r="E239" s="3">
        <v>17.86</v>
      </c>
      <c r="F239" s="3">
        <v>45.04</v>
      </c>
      <c r="G239" s="3">
        <v>8.75</v>
      </c>
      <c r="H239" s="3">
        <v>14.56</v>
      </c>
      <c r="I239" s="3">
        <v>19.59</v>
      </c>
      <c r="J239" s="3">
        <v>8.39</v>
      </c>
      <c r="K239" s="3">
        <v>15.66</v>
      </c>
      <c r="L239" s="3">
        <v>12.01</v>
      </c>
      <c r="M239" s="3">
        <v>7.51</v>
      </c>
    </row>
    <row r="240" spans="1:13" x14ac:dyDescent="0.3">
      <c r="B240" s="4">
        <v>15.41</v>
      </c>
      <c r="C240" s="4">
        <v>41.27</v>
      </c>
      <c r="D240" s="4">
        <v>8.84</v>
      </c>
      <c r="E240" s="4">
        <v>15.09</v>
      </c>
      <c r="F240" s="4">
        <v>41.33</v>
      </c>
      <c r="G240" s="4">
        <v>7.67</v>
      </c>
      <c r="H240" s="4">
        <v>15.97</v>
      </c>
      <c r="I240" s="4">
        <v>21.01</v>
      </c>
      <c r="J240" s="4">
        <v>7.88</v>
      </c>
      <c r="K240" s="4">
        <v>15.41</v>
      </c>
      <c r="L240" s="4">
        <v>13.61</v>
      </c>
      <c r="M240" s="4">
        <v>7.91</v>
      </c>
    </row>
    <row r="241" spans="1:13" x14ac:dyDescent="0.3">
      <c r="B241" s="3">
        <v>16.45</v>
      </c>
      <c r="C241" s="3">
        <v>42.13</v>
      </c>
      <c r="D241" s="3">
        <v>8.39</v>
      </c>
      <c r="E241" s="3">
        <v>14.26</v>
      </c>
      <c r="F241" s="3">
        <v>42.16</v>
      </c>
      <c r="G241" s="3">
        <v>8.69</v>
      </c>
      <c r="H241" s="3">
        <v>14.28</v>
      </c>
      <c r="I241" s="3">
        <v>49.68</v>
      </c>
      <c r="J241" s="3">
        <v>7.11</v>
      </c>
      <c r="K241" s="3">
        <v>15.98</v>
      </c>
      <c r="L241" s="3">
        <v>49.64</v>
      </c>
      <c r="M241" s="3">
        <v>7.37</v>
      </c>
    </row>
    <row r="242" spans="1:13" x14ac:dyDescent="0.3">
      <c r="B242" s="4">
        <v>24.09</v>
      </c>
      <c r="C242" s="4">
        <v>57.06</v>
      </c>
      <c r="D242" s="4">
        <v>6.31</v>
      </c>
      <c r="E242" s="4">
        <v>23.83</v>
      </c>
      <c r="F242" s="4">
        <v>57.17</v>
      </c>
      <c r="G242" s="4">
        <v>6.29</v>
      </c>
      <c r="H242" s="4">
        <v>24.7</v>
      </c>
      <c r="I242" s="4">
        <v>72.08</v>
      </c>
      <c r="J242" s="4">
        <v>6.11</v>
      </c>
      <c r="K242" s="4">
        <v>21.85</v>
      </c>
      <c r="L242" s="4">
        <v>49.6</v>
      </c>
      <c r="M242" s="4">
        <v>6.17</v>
      </c>
    </row>
    <row r="243" spans="1:13" x14ac:dyDescent="0.3">
      <c r="B243" s="3">
        <v>20.76</v>
      </c>
      <c r="C243" s="3">
        <v>64.569999999999993</v>
      </c>
      <c r="D243" s="3">
        <v>5.39</v>
      </c>
      <c r="E243" s="3">
        <v>20.68</v>
      </c>
      <c r="F243" s="3">
        <v>72.08</v>
      </c>
      <c r="G243" s="3">
        <v>5.76</v>
      </c>
      <c r="H243" s="3">
        <v>21.84</v>
      </c>
      <c r="I243" s="3">
        <v>49.58</v>
      </c>
      <c r="J243" s="3">
        <v>6.98</v>
      </c>
      <c r="K243" s="3">
        <v>16.920000000000002</v>
      </c>
      <c r="L243" s="3">
        <v>79.67</v>
      </c>
      <c r="M243" s="3">
        <v>6.57</v>
      </c>
    </row>
    <row r="244" spans="1:13" x14ac:dyDescent="0.3">
      <c r="B244" s="4">
        <v>29.71</v>
      </c>
      <c r="C244" s="4">
        <v>39.549999999999997</v>
      </c>
      <c r="D244" s="4">
        <v>7.26</v>
      </c>
      <c r="E244" s="4">
        <v>28.43</v>
      </c>
      <c r="F244" s="4">
        <v>39.65</v>
      </c>
      <c r="G244" s="4">
        <v>9.15</v>
      </c>
      <c r="H244" s="4">
        <v>22.86</v>
      </c>
      <c r="I244" s="4">
        <v>37.409999999999997</v>
      </c>
      <c r="J244" s="4">
        <v>8.7200000000000006</v>
      </c>
      <c r="K244" s="4">
        <v>22.51</v>
      </c>
      <c r="L244" s="4">
        <v>39.56</v>
      </c>
      <c r="M244" s="4">
        <v>7.85</v>
      </c>
    </row>
    <row r="245" spans="1:13" x14ac:dyDescent="0.3">
      <c r="B245" s="3">
        <v>25.06</v>
      </c>
      <c r="C245" s="3">
        <v>33.119999999999997</v>
      </c>
      <c r="D245" s="3">
        <v>7.31</v>
      </c>
      <c r="E245" s="3">
        <v>26.11</v>
      </c>
      <c r="F245" s="3">
        <v>39.450000000000003</v>
      </c>
      <c r="G245" s="3">
        <v>8.19</v>
      </c>
      <c r="H245" s="3">
        <v>27.85</v>
      </c>
      <c r="I245" s="3">
        <v>38.549999999999997</v>
      </c>
      <c r="J245" s="3">
        <v>7.74</v>
      </c>
      <c r="K245" s="3">
        <v>27.64</v>
      </c>
      <c r="L245" s="3">
        <v>39.71</v>
      </c>
      <c r="M245" s="3">
        <v>7.22</v>
      </c>
    </row>
    <row r="246" spans="1:13" x14ac:dyDescent="0.3">
      <c r="B246" s="4">
        <v>29.55</v>
      </c>
      <c r="C246" s="4">
        <v>42.1</v>
      </c>
      <c r="D246" s="4">
        <v>7.68</v>
      </c>
      <c r="E246" s="4">
        <v>28.99</v>
      </c>
      <c r="F246" s="4">
        <v>42.22</v>
      </c>
      <c r="G246" s="4">
        <v>9.76</v>
      </c>
      <c r="H246" s="4">
        <v>26.98</v>
      </c>
      <c r="I246" s="4">
        <v>49.53</v>
      </c>
      <c r="J246" s="4">
        <v>9.49</v>
      </c>
      <c r="K246" s="4">
        <v>28.77</v>
      </c>
      <c r="L246" s="4">
        <v>49.58</v>
      </c>
      <c r="M246" s="4">
        <v>6.65</v>
      </c>
    </row>
    <row r="247" spans="1:13" x14ac:dyDescent="0.3">
      <c r="B247" s="3">
        <v>23.63</v>
      </c>
      <c r="C247" s="3">
        <v>49.71</v>
      </c>
      <c r="D247" s="3">
        <v>5.43</v>
      </c>
      <c r="E247" s="3">
        <v>24.3</v>
      </c>
      <c r="F247" s="3">
        <v>64.52</v>
      </c>
      <c r="G247" s="3">
        <v>5.18</v>
      </c>
      <c r="H247" s="3">
        <v>24.73</v>
      </c>
      <c r="I247" s="3">
        <v>64.599999999999994</v>
      </c>
      <c r="J247" s="3">
        <v>5.4</v>
      </c>
      <c r="K247" s="3">
        <v>22.59</v>
      </c>
      <c r="L247" s="3">
        <v>49.57</v>
      </c>
      <c r="M247" s="3">
        <v>5.79</v>
      </c>
    </row>
    <row r="248" spans="1:13" x14ac:dyDescent="0.3">
      <c r="B248" s="4">
        <v>20.350000000000001</v>
      </c>
      <c r="C248" s="4">
        <v>64.59</v>
      </c>
      <c r="D248" s="4">
        <v>6.63</v>
      </c>
      <c r="E248" s="4">
        <v>21.45</v>
      </c>
      <c r="F248" s="4">
        <v>72.11</v>
      </c>
      <c r="G248" s="4">
        <v>7.01</v>
      </c>
      <c r="H248" s="4">
        <v>24.11</v>
      </c>
      <c r="I248" s="4">
        <v>64.59</v>
      </c>
      <c r="J248" s="4">
        <v>7.07</v>
      </c>
      <c r="K248" s="4">
        <v>22.11</v>
      </c>
      <c r="L248" s="4">
        <v>72.069999999999993</v>
      </c>
      <c r="M248" s="4">
        <v>7.15</v>
      </c>
    </row>
    <row r="250" spans="1:13" x14ac:dyDescent="0.3">
      <c r="A250" s="5" t="s">
        <v>42</v>
      </c>
      <c r="B250" s="5">
        <f>AVERAGE(B225:B248)</f>
        <v>19.035416666666666</v>
      </c>
      <c r="C250" s="5">
        <f t="shared" ref="C250:M250" si="11">AVERAGE(C225:C248)</f>
        <v>42.739583333333336</v>
      </c>
      <c r="D250" s="5">
        <f t="shared" si="11"/>
        <v>7.5270833333333327</v>
      </c>
      <c r="E250" s="5">
        <f t="shared" si="11"/>
        <v>19.78833333333333</v>
      </c>
      <c r="F250" s="5">
        <f t="shared" si="11"/>
        <v>46.126249999999999</v>
      </c>
      <c r="G250" s="5">
        <f t="shared" si="11"/>
        <v>7.7208333333333323</v>
      </c>
      <c r="H250" s="5">
        <f t="shared" si="11"/>
        <v>16.813333333333336</v>
      </c>
      <c r="I250" s="5">
        <f t="shared" si="11"/>
        <v>43.391249999999992</v>
      </c>
      <c r="J250" s="5">
        <f t="shared" si="11"/>
        <v>7.685833333333334</v>
      </c>
      <c r="K250" s="5">
        <f t="shared" si="11"/>
        <v>16.789583333333329</v>
      </c>
      <c r="L250" s="5">
        <f t="shared" si="11"/>
        <v>43.286666666666669</v>
      </c>
      <c r="M250" s="5">
        <f t="shared" si="11"/>
        <v>7.5766666666666653</v>
      </c>
    </row>
    <row r="251" spans="1:13" x14ac:dyDescent="0.3">
      <c r="A251" s="5" t="s">
        <v>35</v>
      </c>
      <c r="B251" s="5">
        <f>AVERAGE(B250,E250,H250,K250)</f>
        <v>18.106666666666666</v>
      </c>
      <c r="C251" s="5">
        <f t="shared" ref="C251:D251" si="12">AVERAGE(C250,F250,I250,L250)</f>
        <v>43.885937499999997</v>
      </c>
      <c r="D251" s="5">
        <f t="shared" si="12"/>
        <v>7.6276041666666661</v>
      </c>
      <c r="E251" s="5"/>
      <c r="F251" s="5"/>
      <c r="G251" s="5"/>
      <c r="H251" s="5"/>
      <c r="I251" s="5"/>
      <c r="J251" s="5"/>
      <c r="K251" s="5"/>
      <c r="L251" s="5"/>
      <c r="M251" s="5"/>
    </row>
    <row r="253" spans="1:13" x14ac:dyDescent="0.3">
      <c r="A253" t="s">
        <v>28</v>
      </c>
      <c r="B253" s="3">
        <v>30.57</v>
      </c>
      <c r="C253" s="3">
        <v>57.44</v>
      </c>
      <c r="D253" s="3">
        <v>4.4000000000000004</v>
      </c>
      <c r="E253" s="3">
        <v>31.99</v>
      </c>
      <c r="F253" s="3">
        <v>49.9</v>
      </c>
      <c r="G253" s="3">
        <v>4.32</v>
      </c>
      <c r="H253" s="3">
        <v>32.54</v>
      </c>
      <c r="I253" s="3">
        <v>43.38</v>
      </c>
      <c r="J253" s="3">
        <v>4.21</v>
      </c>
      <c r="K253" s="3">
        <v>32.229999999999997</v>
      </c>
      <c r="L253" s="3">
        <v>57.35</v>
      </c>
      <c r="M253" s="3">
        <v>4.3099999999999996</v>
      </c>
    </row>
    <row r="254" spans="1:13" x14ac:dyDescent="0.3">
      <c r="B254" s="4">
        <v>16.97</v>
      </c>
      <c r="C254" s="4">
        <v>19.82</v>
      </c>
      <c r="D254" s="4">
        <v>6.28</v>
      </c>
      <c r="E254" s="4">
        <v>20.36</v>
      </c>
      <c r="F254" s="4">
        <v>19.8</v>
      </c>
      <c r="G254" s="4">
        <v>5.86</v>
      </c>
      <c r="H254" s="4">
        <v>15.29</v>
      </c>
      <c r="I254" s="4">
        <v>27.13</v>
      </c>
      <c r="J254" s="4">
        <v>6.81</v>
      </c>
      <c r="K254" s="4">
        <v>17.55</v>
      </c>
      <c r="L254" s="4">
        <v>34.78</v>
      </c>
      <c r="M254" s="4">
        <v>6.38</v>
      </c>
    </row>
    <row r="255" spans="1:13" x14ac:dyDescent="0.3">
      <c r="B255" s="3">
        <v>11.17</v>
      </c>
      <c r="C255" s="3">
        <v>4.63</v>
      </c>
      <c r="D255" s="3">
        <v>7.87</v>
      </c>
      <c r="E255" s="3">
        <v>15.35</v>
      </c>
      <c r="F255" s="3">
        <v>12.36</v>
      </c>
      <c r="G255" s="3">
        <v>6.67</v>
      </c>
      <c r="H255" s="3">
        <v>10.67</v>
      </c>
      <c r="I255" s="3">
        <v>12.34</v>
      </c>
      <c r="J255" s="3">
        <v>8.07</v>
      </c>
      <c r="K255" s="3">
        <v>12.56</v>
      </c>
      <c r="L255" s="3">
        <v>19.87</v>
      </c>
      <c r="M255" s="3">
        <v>7.88</v>
      </c>
    </row>
    <row r="256" spans="1:13" x14ac:dyDescent="0.3">
      <c r="B256" s="4">
        <v>5.17</v>
      </c>
      <c r="C256" s="4">
        <v>21.22</v>
      </c>
      <c r="D256" s="4">
        <v>9.9600000000000009</v>
      </c>
      <c r="E256" s="4">
        <v>4.54</v>
      </c>
      <c r="F256" s="4">
        <v>21.17</v>
      </c>
      <c r="G256" s="4">
        <v>10.79</v>
      </c>
      <c r="H256" s="4">
        <v>4.0199999999999996</v>
      </c>
      <c r="I256" s="4">
        <v>19.98</v>
      </c>
      <c r="J256" s="4">
        <v>10.85</v>
      </c>
      <c r="K256" s="4">
        <v>4.03</v>
      </c>
      <c r="L256" s="4">
        <v>21.27</v>
      </c>
      <c r="M256" s="4">
        <v>10.69</v>
      </c>
    </row>
    <row r="257" spans="2:13" x14ac:dyDescent="0.3">
      <c r="B257" s="3">
        <v>13.96</v>
      </c>
      <c r="C257" s="3">
        <v>42.62</v>
      </c>
      <c r="D257" s="3">
        <v>7.67</v>
      </c>
      <c r="E257" s="3">
        <v>15.69</v>
      </c>
      <c r="F257" s="3">
        <v>42.4</v>
      </c>
      <c r="G257" s="3">
        <v>7.32</v>
      </c>
      <c r="H257" s="3">
        <v>13.66</v>
      </c>
      <c r="I257" s="3">
        <v>49.9</v>
      </c>
      <c r="J257" s="3">
        <v>7.66</v>
      </c>
      <c r="K257" s="3">
        <v>14.53</v>
      </c>
      <c r="L257" s="3">
        <v>49.93</v>
      </c>
      <c r="M257" s="3">
        <v>7.56</v>
      </c>
    </row>
    <row r="258" spans="2:13" x14ac:dyDescent="0.3">
      <c r="B258" s="4">
        <v>20.73</v>
      </c>
      <c r="C258" s="4">
        <v>57.25</v>
      </c>
      <c r="D258" s="4">
        <v>5.48</v>
      </c>
      <c r="E258" s="4">
        <v>22.11</v>
      </c>
      <c r="F258" s="4">
        <v>57.4</v>
      </c>
      <c r="G258" s="4">
        <v>5.33</v>
      </c>
      <c r="H258" s="4">
        <v>25.3</v>
      </c>
      <c r="I258" s="4">
        <v>49.82</v>
      </c>
      <c r="J258" s="4">
        <v>5.05</v>
      </c>
      <c r="K258" s="4">
        <v>22.12</v>
      </c>
      <c r="L258" s="4">
        <v>57.4</v>
      </c>
      <c r="M258" s="4">
        <v>5.44</v>
      </c>
    </row>
    <row r="259" spans="2:13" x14ac:dyDescent="0.3">
      <c r="B259" s="3">
        <v>27.13</v>
      </c>
      <c r="C259" s="3">
        <v>49.94</v>
      </c>
      <c r="D259" s="3">
        <v>4.43</v>
      </c>
      <c r="E259" s="3">
        <v>31.26</v>
      </c>
      <c r="F259" s="3">
        <v>42.54</v>
      </c>
      <c r="G259" s="3">
        <v>3.97</v>
      </c>
      <c r="H259" s="3">
        <v>31.52</v>
      </c>
      <c r="I259" s="3">
        <v>49.87</v>
      </c>
      <c r="J259" s="3">
        <v>4.09</v>
      </c>
      <c r="K259" s="3">
        <v>27.89</v>
      </c>
      <c r="L259" s="3">
        <v>49.94</v>
      </c>
      <c r="M259" s="3">
        <v>4.0599999999999996</v>
      </c>
    </row>
    <row r="260" spans="2:13" x14ac:dyDescent="0.3">
      <c r="B260" s="4">
        <v>13.64</v>
      </c>
      <c r="C260" s="4">
        <v>12.5</v>
      </c>
      <c r="D260" s="4">
        <v>7.64</v>
      </c>
      <c r="E260" s="4">
        <v>9.5399999999999991</v>
      </c>
      <c r="F260" s="4">
        <v>12.41</v>
      </c>
      <c r="G260" s="4">
        <v>8.8800000000000008</v>
      </c>
      <c r="H260" s="4">
        <v>10.08</v>
      </c>
      <c r="I260" s="4">
        <v>12.37</v>
      </c>
      <c r="J260" s="4">
        <v>8.91</v>
      </c>
      <c r="K260" s="4">
        <v>17.45</v>
      </c>
      <c r="L260" s="4">
        <v>12.3</v>
      </c>
      <c r="M260" s="4">
        <v>6.49</v>
      </c>
    </row>
    <row r="261" spans="2:13" x14ac:dyDescent="0.3">
      <c r="B261" s="3">
        <v>6.89</v>
      </c>
      <c r="C261" s="3">
        <v>13.47</v>
      </c>
      <c r="D261" s="3">
        <v>9.44</v>
      </c>
      <c r="E261" s="3">
        <v>7.24</v>
      </c>
      <c r="F261" s="3">
        <v>13.46</v>
      </c>
      <c r="G261" s="3">
        <v>9.07</v>
      </c>
      <c r="H261" s="3">
        <v>7.84</v>
      </c>
      <c r="I261" s="3">
        <v>13.47</v>
      </c>
      <c r="J261" s="3">
        <v>9</v>
      </c>
      <c r="K261" s="3">
        <v>6.88</v>
      </c>
      <c r="L261" s="3">
        <v>13.43</v>
      </c>
      <c r="M261" s="3">
        <v>9.23</v>
      </c>
    </row>
    <row r="262" spans="2:13" x14ac:dyDescent="0.3">
      <c r="B262" s="4">
        <v>7.42</v>
      </c>
      <c r="C262" s="4">
        <v>50.01</v>
      </c>
      <c r="D262" s="4">
        <v>9.0399999999999991</v>
      </c>
      <c r="E262" s="4">
        <v>6.05</v>
      </c>
      <c r="F262" s="4">
        <v>50.02</v>
      </c>
      <c r="G262" s="4">
        <v>9.57</v>
      </c>
      <c r="H262" s="4">
        <v>6.24</v>
      </c>
      <c r="I262" s="4">
        <v>49.83</v>
      </c>
      <c r="J262" s="4">
        <v>9.4700000000000006</v>
      </c>
      <c r="K262" s="4">
        <v>5.66</v>
      </c>
      <c r="L262" s="4">
        <v>42.36</v>
      </c>
      <c r="M262" s="4">
        <v>9.7899999999999991</v>
      </c>
    </row>
    <row r="263" spans="2:13" x14ac:dyDescent="0.3">
      <c r="B263" s="3">
        <v>21.9</v>
      </c>
      <c r="C263" s="3">
        <v>49.88</v>
      </c>
      <c r="D263" s="3">
        <v>5.4</v>
      </c>
      <c r="E263" s="3">
        <v>26.66</v>
      </c>
      <c r="F263" s="3">
        <v>49.8</v>
      </c>
      <c r="G263" s="3">
        <v>5.04</v>
      </c>
      <c r="H263" s="3">
        <v>26.69</v>
      </c>
      <c r="I263" s="3">
        <v>57.34</v>
      </c>
      <c r="J263" s="3">
        <v>5.03</v>
      </c>
      <c r="K263" s="3">
        <v>22.13</v>
      </c>
      <c r="L263" s="3">
        <v>49.87</v>
      </c>
      <c r="M263" s="3">
        <v>5.51</v>
      </c>
    </row>
    <row r="264" spans="2:13" x14ac:dyDescent="0.3">
      <c r="B264" s="4">
        <v>30.21</v>
      </c>
      <c r="C264" s="4">
        <v>49.89</v>
      </c>
      <c r="D264" s="4">
        <v>4.59</v>
      </c>
      <c r="E264" s="4">
        <v>28.5</v>
      </c>
      <c r="F264" s="4">
        <v>49.92</v>
      </c>
      <c r="G264" s="4">
        <v>4.74</v>
      </c>
      <c r="H264" s="4">
        <v>29.43</v>
      </c>
      <c r="I264" s="4">
        <v>49.94</v>
      </c>
      <c r="J264" s="4">
        <v>4.6399999999999997</v>
      </c>
      <c r="K264" s="4">
        <v>31.2</v>
      </c>
      <c r="L264" s="4">
        <v>49.87</v>
      </c>
      <c r="M264" s="4">
        <v>4.5</v>
      </c>
    </row>
    <row r="265" spans="2:13" x14ac:dyDescent="0.3">
      <c r="B265" s="3">
        <v>31.78</v>
      </c>
      <c r="C265" s="3">
        <v>65.5</v>
      </c>
      <c r="D265" s="3">
        <v>4.9400000000000004</v>
      </c>
      <c r="E265" s="3">
        <v>36.71</v>
      </c>
      <c r="F265" s="3">
        <v>65.05</v>
      </c>
      <c r="G265" s="3">
        <v>4.4000000000000004</v>
      </c>
      <c r="H265" s="3">
        <v>35.840000000000003</v>
      </c>
      <c r="I265" s="3">
        <v>65.5</v>
      </c>
      <c r="J265" s="3">
        <v>4.43</v>
      </c>
      <c r="K265" s="3">
        <v>36.130000000000003</v>
      </c>
      <c r="L265" s="3">
        <v>72.459999999999994</v>
      </c>
      <c r="M265" s="3">
        <v>4.32</v>
      </c>
    </row>
    <row r="266" spans="2:13" x14ac:dyDescent="0.3">
      <c r="B266" s="4">
        <v>18.34</v>
      </c>
      <c r="C266" s="4">
        <v>27.47</v>
      </c>
      <c r="D266" s="4">
        <v>6.44</v>
      </c>
      <c r="E266" s="4">
        <v>21.34</v>
      </c>
      <c r="F266" s="4">
        <v>27.49</v>
      </c>
      <c r="G266" s="4">
        <v>5.99</v>
      </c>
      <c r="H266" s="4">
        <v>16.260000000000002</v>
      </c>
      <c r="I266" s="4">
        <v>27.47</v>
      </c>
      <c r="J266" s="4">
        <v>6.59</v>
      </c>
      <c r="K266" s="4">
        <v>18.87</v>
      </c>
      <c r="L266" s="4">
        <v>42.51</v>
      </c>
      <c r="M266" s="4">
        <v>6.41</v>
      </c>
    </row>
    <row r="267" spans="2:13" x14ac:dyDescent="0.3">
      <c r="B267" s="3">
        <v>10.94</v>
      </c>
      <c r="C267" s="3">
        <v>48.52</v>
      </c>
      <c r="D267" s="3">
        <v>8.43</v>
      </c>
      <c r="E267" s="3">
        <v>15.11</v>
      </c>
      <c r="F267" s="3">
        <v>48.65</v>
      </c>
      <c r="G267" s="3">
        <v>7.24</v>
      </c>
      <c r="H267" s="3">
        <v>12.23</v>
      </c>
      <c r="I267" s="3">
        <v>45.74</v>
      </c>
      <c r="J267" s="3">
        <v>7.53</v>
      </c>
      <c r="K267" s="3">
        <v>13.32</v>
      </c>
      <c r="L267" s="3">
        <v>47.55</v>
      </c>
      <c r="M267" s="3">
        <v>7.8</v>
      </c>
    </row>
    <row r="268" spans="2:13" x14ac:dyDescent="0.3">
      <c r="B268" s="4">
        <v>4.6100000000000003</v>
      </c>
      <c r="C268" s="4">
        <v>41.22</v>
      </c>
      <c r="D268" s="4">
        <v>7.87</v>
      </c>
      <c r="E268" s="4">
        <v>4.4400000000000004</v>
      </c>
      <c r="F268" s="4">
        <v>42.51</v>
      </c>
      <c r="G268" s="4">
        <v>7.54</v>
      </c>
      <c r="H268" s="4">
        <v>3.79</v>
      </c>
      <c r="I268" s="4">
        <v>41.96</v>
      </c>
      <c r="J268" s="4">
        <v>7.65</v>
      </c>
      <c r="K268" s="4">
        <v>3.88</v>
      </c>
      <c r="L268" s="4">
        <v>51.54</v>
      </c>
      <c r="M268" s="4">
        <v>7.66</v>
      </c>
    </row>
    <row r="269" spans="2:13" x14ac:dyDescent="0.3">
      <c r="B269" s="3">
        <v>15.41</v>
      </c>
      <c r="C269" s="3">
        <v>50.19</v>
      </c>
      <c r="D269" s="3">
        <v>7.82</v>
      </c>
      <c r="E269" s="3">
        <v>18.079999999999998</v>
      </c>
      <c r="F269" s="3">
        <v>49.94</v>
      </c>
      <c r="G269" s="3">
        <v>7.07</v>
      </c>
      <c r="H269" s="3">
        <v>15.83</v>
      </c>
      <c r="I269" s="3">
        <v>50.19</v>
      </c>
      <c r="J269" s="3">
        <v>7.37</v>
      </c>
      <c r="K269" s="3">
        <v>16.649999999999999</v>
      </c>
      <c r="L269" s="3">
        <v>50.16</v>
      </c>
      <c r="M269" s="3">
        <v>7.43</v>
      </c>
    </row>
    <row r="270" spans="2:13" x14ac:dyDescent="0.3">
      <c r="B270" s="4">
        <v>23.88</v>
      </c>
      <c r="C270" s="4">
        <v>65.12</v>
      </c>
      <c r="D270" s="4">
        <v>5.68</v>
      </c>
      <c r="E270" s="4">
        <v>22.52</v>
      </c>
      <c r="F270" s="4">
        <v>58.48</v>
      </c>
      <c r="G270" s="4">
        <v>5.8</v>
      </c>
      <c r="H270" s="4">
        <v>27.15</v>
      </c>
      <c r="I270" s="4">
        <v>65.12</v>
      </c>
      <c r="J270" s="4">
        <v>5.39</v>
      </c>
      <c r="K270" s="4">
        <v>23.67</v>
      </c>
      <c r="L270" s="4">
        <v>57.7</v>
      </c>
      <c r="M270" s="4">
        <v>5.81</v>
      </c>
    </row>
    <row r="271" spans="2:13" x14ac:dyDescent="0.3">
      <c r="B271" s="3">
        <v>28.41</v>
      </c>
      <c r="C271" s="3">
        <v>49.99</v>
      </c>
      <c r="D271" s="3">
        <v>7.8</v>
      </c>
      <c r="E271" s="3">
        <v>33.619999999999997</v>
      </c>
      <c r="F271" s="3">
        <v>43.59</v>
      </c>
      <c r="G271" s="3">
        <v>7.85</v>
      </c>
      <c r="H271" s="3">
        <v>35.04</v>
      </c>
      <c r="I271" s="3">
        <v>49.99</v>
      </c>
      <c r="J271" s="3">
        <v>7.89</v>
      </c>
      <c r="K271" s="3">
        <v>30.1</v>
      </c>
      <c r="L271" s="3">
        <v>57.45</v>
      </c>
      <c r="M271" s="3">
        <v>7.87</v>
      </c>
    </row>
    <row r="272" spans="2:13" x14ac:dyDescent="0.3">
      <c r="B272" s="4">
        <v>16.18</v>
      </c>
      <c r="C272" s="4">
        <v>41.52</v>
      </c>
      <c r="D272" s="4">
        <v>7.2</v>
      </c>
      <c r="E272" s="4">
        <v>9.7799999999999994</v>
      </c>
      <c r="F272" s="4">
        <v>42.52</v>
      </c>
      <c r="G272" s="4">
        <v>6.88</v>
      </c>
      <c r="H272" s="4">
        <v>11.78</v>
      </c>
      <c r="I272" s="4">
        <v>45.11</v>
      </c>
      <c r="J272" s="4">
        <v>7.11</v>
      </c>
      <c r="K272" s="4">
        <v>20.61</v>
      </c>
      <c r="L272" s="4">
        <v>47.56</v>
      </c>
      <c r="M272" s="4">
        <v>6.51</v>
      </c>
    </row>
    <row r="273" spans="1:13" x14ac:dyDescent="0.3">
      <c r="B273" s="3">
        <v>7.95</v>
      </c>
      <c r="C273" s="3">
        <v>43.53</v>
      </c>
      <c r="D273" s="3">
        <v>7.38</v>
      </c>
      <c r="E273" s="3">
        <v>7.68</v>
      </c>
      <c r="F273" s="3">
        <v>43.03</v>
      </c>
      <c r="G273" s="3">
        <v>7.25</v>
      </c>
      <c r="H273" s="3">
        <v>6.28</v>
      </c>
      <c r="I273" s="3">
        <v>46.25</v>
      </c>
      <c r="J273" s="3">
        <v>7.25</v>
      </c>
      <c r="K273" s="3">
        <v>5.95</v>
      </c>
      <c r="L273" s="3">
        <v>42.11</v>
      </c>
      <c r="M273" s="3">
        <v>6.41</v>
      </c>
    </row>
    <row r="274" spans="1:13" x14ac:dyDescent="0.3">
      <c r="B274" s="4">
        <v>8.56</v>
      </c>
      <c r="C274" s="4">
        <v>50.5</v>
      </c>
      <c r="D274" s="4">
        <v>7.35</v>
      </c>
      <c r="E274" s="4">
        <v>6.97</v>
      </c>
      <c r="F274" s="4">
        <v>49.96</v>
      </c>
      <c r="G274" s="4">
        <v>7.41</v>
      </c>
      <c r="H274" s="4">
        <v>7.84</v>
      </c>
      <c r="I274" s="4">
        <v>50.5</v>
      </c>
      <c r="J274" s="4">
        <v>7.25</v>
      </c>
      <c r="K274" s="4">
        <v>7.61</v>
      </c>
      <c r="L274" s="4">
        <v>42.53</v>
      </c>
      <c r="M274" s="4">
        <v>7.68</v>
      </c>
    </row>
    <row r="275" spans="1:13" x14ac:dyDescent="0.3">
      <c r="B275" s="3">
        <v>24.1</v>
      </c>
      <c r="C275" s="3">
        <v>57.7</v>
      </c>
      <c r="D275" s="3">
        <v>6.39</v>
      </c>
      <c r="E275" s="3">
        <v>28.74</v>
      </c>
      <c r="F275" s="3">
        <v>57.45</v>
      </c>
      <c r="G275" s="3">
        <v>6.55</v>
      </c>
      <c r="H275" s="3">
        <v>26.21</v>
      </c>
      <c r="I275" s="3">
        <v>57.7</v>
      </c>
      <c r="J275" s="3">
        <v>6.41</v>
      </c>
      <c r="K275" s="3">
        <v>25.54</v>
      </c>
      <c r="L275" s="3">
        <v>57.61</v>
      </c>
      <c r="M275" s="3">
        <v>6.35</v>
      </c>
    </row>
    <row r="276" spans="1:13" x14ac:dyDescent="0.3">
      <c r="B276" s="4">
        <v>35.21</v>
      </c>
      <c r="C276" s="4">
        <v>65.010000000000005</v>
      </c>
      <c r="D276" s="4">
        <v>6.63</v>
      </c>
      <c r="E276" s="4">
        <v>27.83</v>
      </c>
      <c r="F276" s="4">
        <v>57.45</v>
      </c>
      <c r="G276" s="4">
        <v>6.99</v>
      </c>
      <c r="H276" s="4">
        <v>32.99</v>
      </c>
      <c r="I276" s="4">
        <v>65.010000000000005</v>
      </c>
      <c r="J276" s="4">
        <v>6.73</v>
      </c>
      <c r="K276" s="4">
        <v>33.68</v>
      </c>
      <c r="L276" s="4">
        <v>57.51</v>
      </c>
      <c r="M276" s="4">
        <v>6.77</v>
      </c>
    </row>
    <row r="278" spans="1:13" x14ac:dyDescent="0.3">
      <c r="A278" s="5" t="s">
        <v>42</v>
      </c>
      <c r="B278" s="5">
        <f>AVERAGE(B253:B276)</f>
        <v>17.963750000000001</v>
      </c>
      <c r="C278" s="5">
        <f t="shared" ref="C278:M278" si="13">AVERAGE(C253:C276)</f>
        <v>43.122500000000002</v>
      </c>
      <c r="D278" s="5">
        <f t="shared" si="13"/>
        <v>6.9220833333333323</v>
      </c>
      <c r="E278" s="5">
        <f t="shared" si="13"/>
        <v>18.837916666666665</v>
      </c>
      <c r="F278" s="5">
        <f t="shared" si="13"/>
        <v>41.970833333333339</v>
      </c>
      <c r="G278" s="5">
        <f t="shared" si="13"/>
        <v>6.7720833333333346</v>
      </c>
      <c r="H278" s="5">
        <f t="shared" si="13"/>
        <v>18.521666666666665</v>
      </c>
      <c r="I278" s="5">
        <f t="shared" si="13"/>
        <v>43.579583333333339</v>
      </c>
      <c r="J278" s="5">
        <f t="shared" si="13"/>
        <v>6.8912500000000003</v>
      </c>
      <c r="K278" s="5">
        <f t="shared" si="13"/>
        <v>18.760000000000002</v>
      </c>
      <c r="L278" s="5">
        <f t="shared" si="13"/>
        <v>45.210833333333333</v>
      </c>
      <c r="M278" s="5">
        <f t="shared" si="13"/>
        <v>6.7858333333333336</v>
      </c>
    </row>
    <row r="279" spans="1:13" x14ac:dyDescent="0.3">
      <c r="A279" s="5" t="s">
        <v>35</v>
      </c>
      <c r="B279" s="5">
        <f>AVERAGE(B278,E278,H278,K278)</f>
        <v>18.520833333333332</v>
      </c>
      <c r="C279" s="5">
        <f t="shared" ref="C279:D279" si="14">AVERAGE(C278,F278,I278,L278)</f>
        <v>43.470937500000005</v>
      </c>
      <c r="D279" s="5">
        <f t="shared" si="14"/>
        <v>6.8428125</v>
      </c>
      <c r="E279" s="5"/>
      <c r="F279" s="5"/>
      <c r="G279" s="5"/>
      <c r="H279" s="5"/>
      <c r="I279" s="5"/>
      <c r="J279" s="5"/>
      <c r="K279" s="5"/>
      <c r="L279" s="5"/>
      <c r="M279" s="5"/>
    </row>
  </sheetData>
  <mergeCells count="32">
    <mergeCell ref="B221:E221"/>
    <mergeCell ref="B223:D223"/>
    <mergeCell ref="E223:G223"/>
    <mergeCell ref="H223:J223"/>
    <mergeCell ref="K223:M223"/>
    <mergeCell ref="B191:D191"/>
    <mergeCell ref="E191:G191"/>
    <mergeCell ref="H191:J191"/>
    <mergeCell ref="K191:M191"/>
    <mergeCell ref="B113:E113"/>
    <mergeCell ref="B115:D115"/>
    <mergeCell ref="E115:G115"/>
    <mergeCell ref="H115:J115"/>
    <mergeCell ref="K115:M115"/>
    <mergeCell ref="B145:E145"/>
    <mergeCell ref="B147:D147"/>
    <mergeCell ref="E147:G147"/>
    <mergeCell ref="H147:J147"/>
    <mergeCell ref="K147:M147"/>
    <mergeCell ref="B189:E189"/>
    <mergeCell ref="K11:M11"/>
    <mergeCell ref="B53:E53"/>
    <mergeCell ref="B55:D55"/>
    <mergeCell ref="E55:G55"/>
    <mergeCell ref="H55:J55"/>
    <mergeCell ref="K55:M55"/>
    <mergeCell ref="H11:J11"/>
    <mergeCell ref="B2:D3"/>
    <mergeCell ref="G5:G8"/>
    <mergeCell ref="B9:E9"/>
    <mergeCell ref="B11:D11"/>
    <mergeCell ref="E11:G1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77F7C-0406-440F-87AE-6CAE90EAA354}">
  <dimension ref="A2:K22"/>
  <sheetViews>
    <sheetView workbookViewId="0">
      <selection activeCell="E6" sqref="E6"/>
    </sheetView>
  </sheetViews>
  <sheetFormatPr baseColWidth="10" defaultRowHeight="14.4" x14ac:dyDescent="0.3"/>
  <sheetData>
    <row r="2" spans="1:8" x14ac:dyDescent="0.3">
      <c r="B2" s="44" t="s">
        <v>49</v>
      </c>
      <c r="C2" s="44"/>
      <c r="D2" s="44"/>
      <c r="G2" s="23" t="s">
        <v>60</v>
      </c>
      <c r="H2" s="23" t="s">
        <v>64</v>
      </c>
    </row>
    <row r="3" spans="1:8" x14ac:dyDescent="0.3">
      <c r="B3" s="44"/>
      <c r="C3" s="44"/>
      <c r="D3" s="44"/>
      <c r="G3" s="23" t="s">
        <v>61</v>
      </c>
      <c r="H3" s="23" t="s">
        <v>64</v>
      </c>
    </row>
    <row r="4" spans="1:8" x14ac:dyDescent="0.3">
      <c r="B4" s="15"/>
      <c r="C4" s="15"/>
      <c r="D4" s="15"/>
      <c r="G4" s="23" t="s">
        <v>62</v>
      </c>
      <c r="H4" s="23" t="s">
        <v>63</v>
      </c>
    </row>
    <row r="5" spans="1:8" x14ac:dyDescent="0.3">
      <c r="A5" t="s">
        <v>50</v>
      </c>
      <c r="B5" s="15"/>
      <c r="C5" s="15"/>
      <c r="D5" s="15"/>
    </row>
    <row r="6" spans="1:8" x14ac:dyDescent="0.3">
      <c r="B6" s="13"/>
      <c r="C6" s="13"/>
      <c r="D6" s="13"/>
    </row>
    <row r="7" spans="1:8" x14ac:dyDescent="0.3">
      <c r="B7" s="14" t="s">
        <v>43</v>
      </c>
      <c r="C7" s="5">
        <v>16.8</v>
      </c>
      <c r="D7" s="5" t="s">
        <v>56</v>
      </c>
    </row>
    <row r="8" spans="1:8" x14ac:dyDescent="0.3">
      <c r="B8" s="14" t="s">
        <v>44</v>
      </c>
      <c r="C8" s="5">
        <v>4.33</v>
      </c>
      <c r="D8" s="5" t="s">
        <v>48</v>
      </c>
    </row>
    <row r="9" spans="1:8" x14ac:dyDescent="0.3">
      <c r="B9" s="14" t="s">
        <v>45</v>
      </c>
      <c r="C9" s="5">
        <v>1.05</v>
      </c>
      <c r="D9" s="5" t="s">
        <v>47</v>
      </c>
    </row>
    <row r="10" spans="1:8" x14ac:dyDescent="0.3">
      <c r="B10" s="14" t="s">
        <v>46</v>
      </c>
      <c r="C10" s="5">
        <v>8.4000000000000005E-2</v>
      </c>
      <c r="D10" s="5" t="s">
        <v>47</v>
      </c>
    </row>
    <row r="12" spans="1:8" x14ac:dyDescent="0.3">
      <c r="A12" t="s">
        <v>51</v>
      </c>
      <c r="F12" t="s">
        <v>52</v>
      </c>
    </row>
    <row r="13" spans="1:8" x14ac:dyDescent="0.3">
      <c r="B13" s="14" t="s">
        <v>43</v>
      </c>
      <c r="C13" s="5">
        <v>109.2</v>
      </c>
      <c r="D13" s="5" t="s">
        <v>48</v>
      </c>
      <c r="F13" s="14" t="s">
        <v>43</v>
      </c>
      <c r="G13" s="5">
        <v>4.75</v>
      </c>
      <c r="H13" s="5" t="s">
        <v>48</v>
      </c>
    </row>
    <row r="14" spans="1:8" x14ac:dyDescent="0.3">
      <c r="B14" s="14" t="s">
        <v>44</v>
      </c>
      <c r="C14" s="5">
        <v>65520</v>
      </c>
      <c r="D14" s="5" t="s">
        <v>48</v>
      </c>
      <c r="F14" s="14" t="s">
        <v>44</v>
      </c>
      <c r="G14" s="5">
        <v>2563</v>
      </c>
      <c r="H14" s="5" t="s">
        <v>48</v>
      </c>
    </row>
    <row r="15" spans="1:8" x14ac:dyDescent="0.3">
      <c r="B15" s="14" t="s">
        <v>45</v>
      </c>
      <c r="C15" s="5">
        <v>21.84</v>
      </c>
      <c r="D15" s="5" t="s">
        <v>48</v>
      </c>
      <c r="F15" s="14" t="s">
        <v>45</v>
      </c>
      <c r="G15" s="5">
        <v>0.73140000000000005</v>
      </c>
      <c r="H15" s="5" t="s">
        <v>48</v>
      </c>
    </row>
    <row r="16" spans="1:8" x14ac:dyDescent="0.3">
      <c r="B16" s="14" t="s">
        <v>46</v>
      </c>
      <c r="C16" s="5">
        <v>5.46</v>
      </c>
      <c r="D16" s="5" t="s">
        <v>48</v>
      </c>
      <c r="F16" s="14" t="s">
        <v>46</v>
      </c>
      <c r="G16" s="5">
        <v>0.38059999999999999</v>
      </c>
      <c r="H16" s="5" t="s">
        <v>48</v>
      </c>
    </row>
    <row r="18" spans="6:11" x14ac:dyDescent="0.3">
      <c r="F18" s="16" t="s">
        <v>59</v>
      </c>
      <c r="J18" t="s">
        <v>58</v>
      </c>
    </row>
    <row r="19" spans="6:11" x14ac:dyDescent="0.3">
      <c r="F19" s="14" t="s">
        <v>43</v>
      </c>
      <c r="G19" s="5">
        <v>1</v>
      </c>
      <c r="H19" s="5" t="s">
        <v>56</v>
      </c>
      <c r="J19" s="5">
        <v>21</v>
      </c>
      <c r="K19" s="5" t="s">
        <v>57</v>
      </c>
    </row>
    <row r="20" spans="6:11" x14ac:dyDescent="0.3">
      <c r="F20" s="14" t="s">
        <v>44</v>
      </c>
      <c r="G20" s="5">
        <v>800</v>
      </c>
      <c r="H20" s="5" t="s">
        <v>56</v>
      </c>
      <c r="J20" s="5">
        <v>16100</v>
      </c>
      <c r="K20" s="5" t="s">
        <v>57</v>
      </c>
    </row>
    <row r="21" spans="6:11" x14ac:dyDescent="0.3">
      <c r="F21" s="14" t="s">
        <v>45</v>
      </c>
      <c r="G21" s="5">
        <v>5</v>
      </c>
      <c r="H21" s="5" t="s">
        <v>56</v>
      </c>
      <c r="J21" s="5">
        <v>75</v>
      </c>
      <c r="K21" s="5" t="s">
        <v>57</v>
      </c>
    </row>
    <row r="22" spans="6:11" x14ac:dyDescent="0.3">
      <c r="F22" s="14" t="s">
        <v>46</v>
      </c>
      <c r="G22" s="5">
        <v>0.05</v>
      </c>
      <c r="H22" s="5" t="s">
        <v>56</v>
      </c>
      <c r="J22" s="5">
        <f>G22*21</f>
        <v>1.05</v>
      </c>
      <c r="K22" s="5" t="s">
        <v>57</v>
      </c>
    </row>
  </sheetData>
  <mergeCells count="1">
    <mergeCell ref="B2:D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GENERAL</vt:lpstr>
      <vt:lpstr>IDA ORIGINAL</vt:lpstr>
      <vt:lpstr>VUELTA ORIGINAL</vt:lpstr>
      <vt:lpstr>IDA BRT</vt:lpstr>
      <vt:lpstr>VUELTA BRT</vt:lpstr>
      <vt:lpstr>IDA BRT TRANS</vt:lpstr>
      <vt:lpstr>VUELTA BRT TRANS</vt:lpstr>
      <vt:lpstr>emisiones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Tovar</dc:creator>
  <cp:lastModifiedBy>Carlos Tovar</cp:lastModifiedBy>
  <dcterms:created xsi:type="dcterms:W3CDTF">2024-07-09T19:20:07Z</dcterms:created>
  <dcterms:modified xsi:type="dcterms:W3CDTF">2024-07-26T19:14:14Z</dcterms:modified>
</cp:coreProperties>
</file>